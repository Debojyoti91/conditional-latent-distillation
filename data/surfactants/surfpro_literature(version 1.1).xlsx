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/>
  <mc:AlternateContent xmlns:mc="http://schemas.openxmlformats.org/markup-compatibility/2006">
    <mc:Choice Requires="x15">
      <x15ac:absPath xmlns:x15ac="http://schemas.microsoft.com/office/spreadsheetml/2010/11/ac" url="https://lsumail2-my.sharepoint.com/personal/gtheis2_lsu_edu/Documents/Research/surfactants/surfpro_cleaning/"/>
    </mc:Choice>
  </mc:AlternateContent>
  <xr:revisionPtr revIDLastSave="2395" documentId="8_{D24F58A6-5A0E-4BEC-B27E-788C14DD40BE}" xr6:coauthVersionLast="47" xr6:coauthVersionMax="47" xr10:uidLastSave="{18D40273-1FD0-4FDB-8F7E-A5336CA9DFEA}"/>
  <bookViews>
    <workbookView xWindow="-120" yWindow="-120" windowWidth="38640" windowHeight="21120" xr2:uid="{DAE8481E-FFAD-49E2-B73D-794F18ECE988}"/>
  </bookViews>
  <sheets>
    <sheet name="Sheet1" sheetId="1" r:id="rId1"/>
  </sheets>
  <definedNames>
    <definedName name="_xlnm._FilterDatabase" localSheetId="0" hidden="1">Sheet1!$A$1:$AA$1654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45" i="1" l="1"/>
  <c r="A1646" i="1" s="1"/>
  <c r="A1647" i="1" s="1"/>
  <c r="A1648" i="1" s="1"/>
  <c r="A1649" i="1" s="1"/>
  <c r="A1650" i="1" s="1"/>
  <c r="A1602" i="1" s="1"/>
  <c r="A1605" i="1" s="1"/>
  <c r="A1607" i="1" s="1"/>
  <c r="A1609" i="1" s="1"/>
  <c r="L1538" i="1"/>
  <c r="L1524" i="1"/>
  <c r="L1518" i="1"/>
  <c r="L1485" i="1"/>
  <c r="L1474" i="1"/>
  <c r="L1353" i="1"/>
  <c r="L1309" i="1"/>
  <c r="L1180" i="1"/>
  <c r="L1399" i="1"/>
  <c r="G1399" i="1"/>
  <c r="J1609" i="1"/>
  <c r="J1607" i="1"/>
  <c r="L1609" i="1"/>
  <c r="L1607" i="1"/>
  <c r="F1609" i="1"/>
  <c r="F1607" i="1"/>
  <c r="L1605" i="1"/>
  <c r="L1602" i="1"/>
  <c r="J1605" i="1"/>
  <c r="J1602" i="1"/>
  <c r="F1605" i="1"/>
  <c r="F1602" i="1"/>
  <c r="L1650" i="1"/>
  <c r="F1650" i="1"/>
  <c r="L1649" i="1"/>
  <c r="F1649" i="1"/>
  <c r="L1648" i="1"/>
  <c r="F1648" i="1"/>
  <c r="L1173" i="1"/>
  <c r="F1173" i="1"/>
  <c r="F1172" i="1"/>
  <c r="L849" i="1"/>
  <c r="F849" i="1"/>
  <c r="L848" i="1"/>
  <c r="F848" i="1"/>
  <c r="F110" i="1"/>
  <c r="F686" i="1"/>
  <c r="L685" i="1"/>
  <c r="L537" i="1"/>
  <c r="F685" i="1"/>
  <c r="L1452" i="1"/>
  <c r="L1451" i="1"/>
  <c r="I1452" i="1"/>
  <c r="I1451" i="1"/>
  <c r="F1204" i="1"/>
  <c r="F1293" i="1"/>
  <c r="L1135" i="1"/>
  <c r="K1135" i="1" s="1"/>
  <c r="I1135" i="1"/>
  <c r="I1134" i="1"/>
  <c r="L1134" i="1"/>
  <c r="K1134" i="1" s="1"/>
  <c r="L1110" i="1"/>
  <c r="L1086" i="1"/>
  <c r="I1110" i="1"/>
  <c r="I1086" i="1"/>
  <c r="F500" i="1"/>
  <c r="L496" i="1"/>
  <c r="K496" i="1" s="1"/>
  <c r="I496" i="1"/>
  <c r="L1350" i="1" l="1"/>
  <c r="L1174" i="1"/>
  <c r="L1076" i="1"/>
  <c r="L1077" i="1"/>
  <c r="L1075" i="1"/>
  <c r="I321" i="1"/>
  <c r="L321" i="1"/>
  <c r="K321" i="1" s="1"/>
  <c r="G321" i="1"/>
  <c r="L320" i="1"/>
  <c r="K320" i="1" s="1"/>
  <c r="I320" i="1"/>
  <c r="G320" i="1"/>
  <c r="G318" i="1"/>
  <c r="G311" i="1"/>
  <c r="I311" i="1"/>
  <c r="L342" i="1"/>
  <c r="L214" i="1"/>
  <c r="I341" i="1"/>
  <c r="I213" i="1"/>
  <c r="I202" i="1"/>
  <c r="G202" i="1"/>
  <c r="L201" i="1"/>
  <c r="I201" i="1"/>
  <c r="G134" i="1"/>
  <c r="I124" i="1"/>
  <c r="L106" i="1"/>
  <c r="G106" i="1"/>
  <c r="L105" i="1"/>
  <c r="I105" i="1"/>
  <c r="I61" i="1"/>
  <c r="I49" i="1"/>
  <c r="I60" i="1"/>
  <c r="I52" i="1" l="1"/>
  <c r="I1647" i="1" l="1"/>
  <c r="I1646" i="1"/>
  <c r="I1645" i="1"/>
  <c r="I1644" i="1"/>
  <c r="E1645" i="1"/>
  <c r="E1646" i="1"/>
  <c r="E1647" i="1"/>
  <c r="E1644" i="1"/>
  <c r="I1643" i="1"/>
  <c r="E1643" i="1"/>
  <c r="I33" i="1"/>
  <c r="I32" i="1"/>
  <c r="I31" i="1"/>
  <c r="I1620" i="1"/>
  <c r="L1620" i="1"/>
  <c r="K1620" i="1" s="1"/>
  <c r="L1622" i="1"/>
  <c r="K1622" i="1" s="1"/>
  <c r="L1611" i="1"/>
  <c r="K1611" i="1" s="1"/>
  <c r="I1622" i="1"/>
  <c r="I1611" i="1"/>
  <c r="F1622" i="1"/>
  <c r="F1611" i="1"/>
  <c r="G1313" i="1"/>
  <c r="L1313" i="1"/>
  <c r="L1152" i="1"/>
  <c r="F716" i="1"/>
  <c r="F28" i="1"/>
  <c r="F497" i="1" l="1"/>
  <c r="L21" i="1"/>
  <c r="K21" i="1" s="1"/>
  <c r="H17" i="1"/>
  <c r="H18" i="1"/>
  <c r="H19" i="1"/>
  <c r="H16" i="1"/>
  <c r="J16" i="1"/>
  <c r="J17" i="1"/>
  <c r="J18" i="1"/>
  <c r="J15" i="1"/>
  <c r="J20" i="1"/>
  <c r="J21" i="1"/>
  <c r="J22" i="1"/>
  <c r="J19" i="1"/>
  <c r="J24" i="1"/>
  <c r="J23" i="1"/>
  <c r="L24" i="1"/>
  <c r="K24" i="1" s="1"/>
  <c r="L23" i="1"/>
  <c r="K23" i="1" s="1"/>
  <c r="L22" i="1"/>
  <c r="K22" i="1" s="1"/>
  <c r="F16" i="1"/>
  <c r="F17" i="1"/>
  <c r="F18" i="1"/>
  <c r="F19" i="1"/>
  <c r="F20" i="1"/>
  <c r="F21" i="1"/>
  <c r="F22" i="1"/>
  <c r="F23" i="1"/>
  <c r="F24" i="1"/>
  <c r="F15" i="1"/>
  <c r="J14" i="1"/>
  <c r="J13" i="1"/>
  <c r="F13" i="1"/>
  <c r="F14" i="1"/>
  <c r="J12" i="1"/>
  <c r="F12" i="1"/>
  <c r="J1654" i="1"/>
  <c r="F1654" i="1"/>
  <c r="L1653" i="1"/>
  <c r="K1653" i="1" s="1"/>
  <c r="J1653" i="1"/>
  <c r="F1653" i="1"/>
  <c r="J11" i="1"/>
  <c r="L11" i="1"/>
  <c r="K11" i="1" s="1"/>
  <c r="F11" i="1"/>
  <c r="K4" i="1" l="1"/>
  <c r="K3" i="1"/>
  <c r="K2" i="1"/>
  <c r="F3" i="1"/>
  <c r="F4" i="1"/>
  <c r="F2" i="1"/>
  <c r="F1639" i="1"/>
  <c r="F1640" i="1"/>
  <c r="F1638" i="1"/>
  <c r="J1640" i="1"/>
  <c r="J1639" i="1"/>
  <c r="J269" i="1"/>
  <c r="J268" i="1"/>
  <c r="F268" i="1"/>
  <c r="F269" i="1"/>
  <c r="J1350" i="1"/>
  <c r="F1350" i="1"/>
  <c r="J1174" i="1"/>
  <c r="F1174" i="1"/>
  <c r="F1076" i="1"/>
  <c r="F1077" i="1"/>
  <c r="F1075" i="1"/>
  <c r="L853" i="1"/>
  <c r="J853" i="1"/>
  <c r="F853" i="1"/>
  <c r="F13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tc={05CC7677-5D12-422C-8F16-B1920524B0A8}</author>
    <author>tc={FD0644BC-0748-4C38-B51F-B33A94450772}</author>
  </authors>
  <commentList>
    <comment ref="G972" authorId="0" shapeId="0" xr:uid="{05CC7677-5D12-422C-8F16-B1920524B0A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 H2O ( in 0.1 M NaCl)</t>
      </text>
    </comment>
    <comment ref="B1639" authorId="1" shapeId="0" xr:uid="{FD0644BC-0748-4C38-B51F-B33A94450772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Completed data with paper</t>
      </text>
    </comment>
  </commentList>
</comments>
</file>

<file path=xl/sharedStrings.xml><?xml version="1.0" encoding="utf-8"?>
<sst xmlns="http://schemas.openxmlformats.org/spreadsheetml/2006/main" count="13962" uniqueCount="5919">
  <si>
    <t>ID</t>
  </si>
  <si>
    <t>SMILES</t>
  </si>
  <si>
    <t>Surfactant_Type</t>
  </si>
  <si>
    <t>check</t>
  </si>
  <si>
    <t>CMC</t>
  </si>
  <si>
    <t>pCMC</t>
  </si>
  <si>
    <t>AW_ST_CMC</t>
  </si>
  <si>
    <t>Gamma_max</t>
  </si>
  <si>
    <t>Area_min</t>
  </si>
  <si>
    <t>Pi_CMC</t>
  </si>
  <si>
    <t>pC20</t>
  </si>
  <si>
    <t>C20</t>
  </si>
  <si>
    <t>Temp_Celsius</t>
  </si>
  <si>
    <t>Ref_CMC</t>
  </si>
  <si>
    <t>Ref_AW_ST_CMC</t>
  </si>
  <si>
    <t>SubRef_CMC</t>
  </si>
  <si>
    <t>SubRef_AW_ST_CMC</t>
  </si>
  <si>
    <t>Ref_Gamma_max</t>
  </si>
  <si>
    <t>Ref_Pi_CMC</t>
  </si>
  <si>
    <t>Ref_Area_min</t>
  </si>
  <si>
    <t>Ref_pC20</t>
  </si>
  <si>
    <t>Ref_C20</t>
  </si>
  <si>
    <t>IUPAC_name</t>
  </si>
  <si>
    <t>InChI</t>
  </si>
  <si>
    <t>InChIKey</t>
  </si>
  <si>
    <t>Molecular_Weight</t>
  </si>
  <si>
    <t>ST vs. LogC</t>
  </si>
  <si>
    <t>c1(/N=C/c2ccccc2)cc[n+](CCCCCCCCCCCC[n+]3ccc(/N=C/c4ccccc4)cc3)cc1.[Br-].[Br-]</t>
  </si>
  <si>
    <t>gemini cationic</t>
  </si>
  <si>
    <t>10.1016/j.ces.2022.118208</t>
  </si>
  <si>
    <t>10.1007/s11743-013-1478-9</t>
  </si>
  <si>
    <t>calculated</t>
  </si>
  <si>
    <t>InChI=1S/C36H44N4.2BrH/c1(3-5-7-15-25-39-27-21-35(22-28-39)37-31-33-17-11-9-12-18-33)2-4-6-8-16-26-40-29-23-36(24-30-40)38-32-34-19-13-10-14-20-34;;/h9-14,17-24,27-32H,1-8,15-16,25-26H2;2*1H/q+2;;/p-2</t>
  </si>
  <si>
    <t>DPTDXTODPMJJNL-UHFFFAOYSA-L</t>
  </si>
  <si>
    <t>c1(/N=C/c2ccccc2)cc[n+](CCCCCC[n+]3ccc(/N=C/c4ccccc4)cc3)cc1.[Br-].[Br-]</t>
  </si>
  <si>
    <t>InChI=1S/C30H32N4.2BrH/c1(9-19-33-21-15-29(16-22-33)31-25-27-11-5-3-6-12-27)2-10-20-34-23-17-30(18-24-34)32-26-28-13-7-4-8-14-28;;/h3-8,11-18,21-26H,1-2,9-10,19-20H2;2*1H/q+2;;/p-2</t>
  </si>
  <si>
    <t>AHXCMXJBNCLAHK-UHFFFAOYSA-L</t>
  </si>
  <si>
    <t>c1(/N=C/c2ccccc2)cc[n+](CC[n+]3ccc(/N=C/c4ccccc4)cc3)cc1.[Br-].[Br-]</t>
  </si>
  <si>
    <t>InChI=1S/C26H24N4.2BrH/c1-3-7-23(8-4-1)21-27-25-11-15-29(16-12-25)19-20-30-17-13-26(14-18-30)28-22-24-9-5-2-6-10-24;;/h1-18,21-22H,19-20H2;2*1H/q+2;;/p-2</t>
  </si>
  <si>
    <t>MVHGWIJZXNNERZ-UHFFFAOYSA-L</t>
  </si>
  <si>
    <t>C=CC(=O)OC(C[N+](C)(C)CCCCCCCCCCCC)C[N+](C)(C)CCCCCCCCCCCC.[Br-].[Br-]</t>
  </si>
  <si>
    <t>10.1016/j.colsurfa.2013.12.079</t>
  </si>
  <si>
    <t>1,3-Bis(N,N-dimethyl-N-dodecylammonium)-2-proplylacrylatedibromide</t>
  </si>
  <si>
    <t>InChI=1S/C34H70N2O2.2BrH/c1-8-11-13-15-17-19-21-23-25-27-29-35(4,5)31-33(38-34(37)10-3)32-36(6,7)30-28-26-24-22-20-18-16-14-12-9-2;;/h10,33H,3,8-9,11-32H2,1-2,4-7H3;2*1H/q+2;;/p-2</t>
  </si>
  <si>
    <t>ARKWXUQYSTUBMC-UHFFFAOYSA-L</t>
  </si>
  <si>
    <t>C=CC(=O)OC(C[N+](C)(C)CCCCCCCCCCCCCC)C[N+](C)(C)CCCCCCCCCCCCCC.[Br-].[Br-]</t>
  </si>
  <si>
    <t>1,3-Bis(N,N-dimethyl-N-tetradecylammonium)-2-proplylacrylatedibromide</t>
  </si>
  <si>
    <t>InChI=1S/C38H78N2O2.2BrH/c1-8-11-13-15-17-19-21-23-25-27-29-31-33-39(4,5)35-37(42-38(41)10-3)36-40(6,7)34-32-30-28-26-24-22-20-18-16-14-12-9-2;;/h10,37H,3,8-9,11-36H2,1-2,4-7H3;2*1H/q+2;;/p-2</t>
  </si>
  <si>
    <t>VTTIVKLPSBNYRL-UHFFFAOYSA-L</t>
  </si>
  <si>
    <t>C=CC(=O)OC(C[N+](C)(C)CCCCCCCCCCCCCCCC)C[N+](C)(C)CCCCCCCCCCCCCCCC.[Br-].[Br-]</t>
  </si>
  <si>
    <t>1,3-Bis(N,N-dimethyl-N-hexadecylammonium)-2-proplylacrylatedibromide</t>
  </si>
  <si>
    <t>InChI=1S/C42H86N2O2.2BrH/c1-8-11-13-15-17-19-21-23-25-27-29-31-33-35-37-43(4,5)39-41(46-42(45)10-3)40-44(6,7)38-36-34-32-30-28-26-24-22-20-18-16-14-12-9-2;;/h10,41H,3,8-9,11-40H2,1-2,4-7H3;2*1H/q+2;;/p-2</t>
  </si>
  <si>
    <t>AYSHVAGUBNGNGN-UHFFFAOYSA-L</t>
  </si>
  <si>
    <t>C=CC(=O)OCC[N+](C)(C)CCCCCCCCCCCC.[Br-]</t>
  </si>
  <si>
    <t>cationic</t>
  </si>
  <si>
    <t>acrylateoxyethyldodecyldimethylammoniumbromide</t>
  </si>
  <si>
    <t>InChI=1S/C19H38NO2.BrH/c1-5-7-8-9-10-11-12-13-14-15-16-20(3,4)17-18-22-19(21)6-2;/h6H,2,5,7-18H2,1,3-4H3;1H/q+1;/p-1</t>
  </si>
  <si>
    <t>MFEOCVXPDXJAAC-UHFFFAOYSA-M</t>
  </si>
  <si>
    <t>C=CC(=O)OCC[N+](C)(C)CCCCCCCCCCCCCC.[Br-]</t>
  </si>
  <si>
    <t>acrylateoxyethyltetradecyldimethylammoniumbromide</t>
  </si>
  <si>
    <t>InChI=1S/C21H42NO2.BrH/c1-5-7-8-9-10-11-12-13-14-15-16-17-18-22(3,4)19-20-24-21(23)6-2;/h6H,2,5,7-20H2,1,3-4H3;1H/q+1;/p-1</t>
  </si>
  <si>
    <t>QXDISTFHDWVGFG-UHFFFAOYSA-M</t>
  </si>
  <si>
    <t>C=CC(=O)OCC[N+](C)(C)CCCCCCCCCCCCCCCC.[Br-]</t>
  </si>
  <si>
    <t>acrylateoxyethylhexadecyldimethylammoniumbromide</t>
  </si>
  <si>
    <t>InChI=1S/C23H46NO2.BrH/c1-5-7-8-9-10-11-12-13-14-15-16-17-18-19-20-24(3,4)21-22-26-23(25)6-2;/h6H,2,5,7-22H2,1,3-4H3;1H/q+1;/p-1</t>
  </si>
  <si>
    <t>SAJCTJNLJMJPDP-UHFFFAOYSA-M</t>
  </si>
  <si>
    <t>C=CC(OC(C[N+](C)(CCCCCCCCCCCC)C)C[N+](C)(CCCCCCCCCCCC)C)=O.[Cl-].[Cl-]</t>
  </si>
  <si>
    <t>10.1007/s11743-010-1211-x</t>
  </si>
  <si>
    <t>calculated using CMC/C20 from ref</t>
  </si>
  <si>
    <t>InChI=1S/C34H72N2O2.2ClH/c1-8-11-13-15-17-19-21-23-25-27-29-35(4,5)31-33(38-34(37)10-3)32-36(6,7)30-28-26-24-22-20-18-16-14-12-9-2;;/h10,33-34,37H,3,8-9,11-32H2,1-2,4-7H3;2*1H/q+2;;/p-2</t>
  </si>
  <si>
    <t>DFWUOFQLFACELX-UHFFFAOYSA-L</t>
  </si>
  <si>
    <t>yes</t>
  </si>
  <si>
    <t>C=CC[N+](C)(C)CCCCCCCCCCCC.[Br-]</t>
  </si>
  <si>
    <t>10.1080/01932690701688458</t>
  </si>
  <si>
    <t>InChI=1S/C17H36N.BrH/c1-5-7-8-9-10-11-12-13-14-15-17-18(3,4)16-6-2;/h6H,2,5,7-17H2,1,3-4H3;1H/q+1;/p-1</t>
  </si>
  <si>
    <t>UTPOUIWLUACLGC-UHFFFAOYSA-M</t>
  </si>
  <si>
    <t>C=CC[N+](C)(C)CCCCCCCCCCCCCCCC.[Br-]</t>
  </si>
  <si>
    <t>InChI=1S/C21H44N.BrH/c1-5-7-8-9-10-11-12-13-14-15-16-17-18-19-21-22(3,4)20-6-2;/h6H,2,5,7-21H2,1,3-4H3;1H/q+1;/p-1</t>
  </si>
  <si>
    <t>YCEDJOZOSVGNKO-UHFFFAOYSA-M</t>
  </si>
  <si>
    <t>C=CC[N+](C)(C)CCCCCCCCCCCCCCCCCC.[Br-]</t>
  </si>
  <si>
    <t>InChI=1S/C23H48N.BrH/c1-5-7-8-9-10-11-12-13-14-15-16-17-18-19-20-21-23-24(3,4)22-6-2;/h6H,2,5,7-23H2,1,3-4H3;1H/q+1;/p-1</t>
  </si>
  <si>
    <t>DXYIAZYJALPNPY-UHFFFAOYSA-M</t>
  </si>
  <si>
    <t>CC(C)(C)CC(C)(C)c1ccc(OCCO)cc1</t>
  </si>
  <si>
    <t>non-ionic</t>
  </si>
  <si>
    <t>10.1021/j100804a010</t>
  </si>
  <si>
    <t>10.1021/j100794a026</t>
  </si>
  <si>
    <t>InChI=1S/C16H26O2/c1-15(2,3)12-16(4,5)13-6-8-14(9-7-13)18-11-10-17/h6-9,17H,10-12H2,1-5H3</t>
  </si>
  <si>
    <t>JYCQQPHGFMYQCF-UHFFFAOYSA-N</t>
  </si>
  <si>
    <t>CC(C)(C)CC(C)(C)c1ccc(OCCOCCO)cc1</t>
  </si>
  <si>
    <t>10.1021/acs.jpcb.1c05264</t>
  </si>
  <si>
    <t>InChI=1S/C18H30O3/c1-17(2,3)14-18(4,5)15-6-8-16(9-7-15)21-13-12-20-11-10-19/h6-9,19H,10-14H2,1-5H3</t>
  </si>
  <si>
    <t>LBCZOTMMGHGTPH-UHFFFAOYSA-N</t>
  </si>
  <si>
    <t>CC(C)(C)CC(C)(C)c1ccc(OCCOCCOCCO)cc1</t>
  </si>
  <si>
    <t>InChI=1S/C20H34O4/c1-19(2,3)16-20(4,5)17-6-8-18(9-7-17)24-15-14-23-13-12-22-11-10-21/h6-9,21H,10-16H2,1-5H3</t>
  </si>
  <si>
    <t>OLOHNJXENGJYTB-UHFFFAOYSA-N</t>
  </si>
  <si>
    <t>CC(C)(C)CC(C)(C)c1ccc(OCCOCCOCCOCCO)cc1</t>
  </si>
  <si>
    <t>InChI=1S/C22H38O5/c1-21(2,3)18-22(4,5)19-6-8-20(9-7-19)27-17-16-26-15-14-25-13-12-24-11-10-23/h6-9,23H,10-18H2,1-5H3</t>
  </si>
  <si>
    <t>UYDLBVPAAFVANX-UHFFFAOYSA-N</t>
  </si>
  <si>
    <t>CC(C)(C)CC(C)(C)c1ccc(OCCOCCOCCOCCOCCO)cc1</t>
  </si>
  <si>
    <t>p-t-O-P-POE(5)E</t>
  </si>
  <si>
    <t>InChI=1S/C24H42O6/c1-23(2,3)20-24(4,5)21-6-8-22(9-7-21)30-19-18-29-17-16-28-15-14-27-13-12-26-11-10-25/h6-9,25H,10-20H2,1-5H3</t>
  </si>
  <si>
    <t>WQBPSJIAFZCNBR-UHFFFAOYSA-N</t>
  </si>
  <si>
    <t>CC(C)(C)CC(C)(C)c1ccc(OCCOCCOCCOCCOCCOCCO)cc1</t>
  </si>
  <si>
    <t>10.1002/9781118228920</t>
  </si>
  <si>
    <t>InChI=1S/C26H46O7/c1-25(2,3)22-26(4,5)23-6-8-24(9-7-23)33-21-20-32-19-18-31-17-16-30-15-14-29-13-12-28-11-10-27/h6-9,27H,10-22H2,1-5H3</t>
  </si>
  <si>
    <t>SQAUJCLQNBQZMT-UHFFFAOYSA-N</t>
  </si>
  <si>
    <t>CC(C)(C)CC(C)(C)c1ccc(OCCOCCOCCOCCOCCOCCOCCO)cc1</t>
  </si>
  <si>
    <t>InChI=1S/C28H50O8/c1-27(2,3)24-28(4,5)25-6-8-26(9-7-25)36-23-22-35-21-20-34-19-18-33-17-16-32-15-14-31-13-12-30-11-10-29/h6-9,29H,10-24H2,1-5H3</t>
  </si>
  <si>
    <t>HNLXNOZHXNSSPN-UHFFFAOYSA-N</t>
  </si>
  <si>
    <t>CC(C)(C)CC(C)(C)c1ccc(OCCOCCOCCOCCOCCOCCOCCOCCO)cc1</t>
  </si>
  <si>
    <t>InChI=1S/C30H54O9/c1-29(2,3)26-30(4,5)27-6-8-28(9-7-27)39-25-24-38-23-22-37-21-20-36-19-18-35-17-16-34-15-14-33-13-12-32-11-10-31/h6-9,31H,10-26H2,1-5H3</t>
  </si>
  <si>
    <t>OJLRAIOADFIRJN-UHFFFAOYSA-N</t>
  </si>
  <si>
    <t>CC(C)(C)CC(C)(C)c1ccc(OCCOCCOCCOCCOCCOCCOCCOCCOCCO)cc1</t>
  </si>
  <si>
    <t>2-[2-[2-[2-[2-[2-[2-[2-[2-[4-(2,4,4-trimethylpentan-2-yl)phenoxy]ethoxy]ethoxy]ethoxy]ethoxy]ethoxy]ethoxy]ethoxy]ethoxy]ethanol</t>
  </si>
  <si>
    <t>InChI=1S/C32H58O10/c1-31(2,3)28-32(4,5)29-6-8-30(9-7-29)42-27-26-41-25-24-40-23-22-39-21-20-38-19-18-37-17-16-36-15-14-35-13-12-34-11-10-33/h6-9,33H,10-28H2,1-5H3</t>
  </si>
  <si>
    <t>VJYAJQFKKLYARJ-UHFFFAOYSA-N</t>
  </si>
  <si>
    <t>CC(C)(C)CC(C)(C)c1ccc(OCCOCCOCCOCCOCCOCCOCCOCCOCCOCCO)cc1</t>
  </si>
  <si>
    <t>2-[2-[2-[2-[2-[2-[2-[2-[2-[2-[4-(2,4,4-trimethylpentan-2-yl)phenoxy]ethoxy]ethoxy]ethoxy]ethoxy]ethoxy]ethoxy]ethoxy]ethoxy]ethoxy]ethanol</t>
  </si>
  <si>
    <t>InChI=1S/C34H62O11/c1-33(2,3)30-34(4,5)31-6-8-32(9-7-31)45-29-28-44-27-26-43-25-24-42-23-22-41-21-20-40-19-18-39-17-16-38-15-14-37-13-12-36-11-10-35/h6-9,35H,10-30H2,1-5H3</t>
  </si>
  <si>
    <t>IVKNZCBNXPYYKL-UHFFFAOYSA-N</t>
  </si>
  <si>
    <t>CC(C)(C)CC(C)(C)c1ccc(OCCOCCOCCOCCOCCOCCOCCOCCOCCOCCOCCOCCOCCOCCOCCOCCO)cc1</t>
  </si>
  <si>
    <t>10.1007/s11743-001-0184-2</t>
  </si>
  <si>
    <t>p-t-O-P-POE(16)E</t>
  </si>
  <si>
    <t>InChI=1S/C46H86O17/c1-45(2,3)42-46(4,5)43-6-8-44(9-7-43)63-41-40-62-39-38-61-37-36-60-35-34-59-33-32-58-31-30-57-29-28-56-27-26-55-25-24-54-23-22-53-21-20-52-19-18-51-17-16-50-15-14-49-13-12-48-11-10-47/h6-9,47H,10-42H2,1-5H3</t>
  </si>
  <si>
    <t>GKFYMSIYJJSQAO-UHFFFAOYSA-N</t>
  </si>
  <si>
    <t>CC(C)(C)CC(C)(C)c1ccc(OCCOCCOCCOCCOCCOCCOCCOCCOCCOCCOCCOCCOCCOCCOCCOCCOCCOCCOCCOCCOCCOCCOCCOCCOCCOCCOCCOCCOCCOCCO)cc1</t>
  </si>
  <si>
    <t>p-t-O-P-POE(30)E</t>
  </si>
  <si>
    <t>InChI=1S/C74H142O31/c1-73(2,3)70-74(4,5)71-6-8-72(9-7-71)105-69-68-104-67-66-103-65-64-102-63-62-101-61-60-100-59-58-99-57-56-98-55-54-97-53-52-96-51-50-95-49-48-94-47-46-93-45-44-92-43-42-91-41-40-90-39-38-89-37-36-88-35-34-87-33-32-86-31-30-85-29-28-84-27-26-83-25-24-82-23-22-81-21-20-80-19-18-79-17-16-78-15-14-77-13-12-76-11-10-75/h6-9,75H,10-70H2,1-5H3</t>
  </si>
  <si>
    <t>WEGJDERSZWOWIB-UHFFFAOYSA-N</t>
  </si>
  <si>
    <t>CC(C)(C)CC(C)(C)c1ccc(OCCOCCOCCOCCOCCOCCOCCOCCOCCOCCOCCOCCOCCOCCOCCOCCOCCOCCOCCOCCOCCOCCOCCOCCOCCOCCOCCOCCOCCOCCOCCOCCOCCOCCOCCOCCOCCOCCOCCOCCO)cc1</t>
  </si>
  <si>
    <t>p-t-O-P-POE(40)E</t>
  </si>
  <si>
    <t>InChI=1S/C94H182O41/c1-93(2,3)90-94(4,5)91-6-8-92(9-7-91)135-89-88-134-87-86-133-85-84-132-83-82-131-81-80-130-79-78-129-77-76-128-75-74-127-73-72-126-71-70-125-69-68-124-67-66-123-65-64-122-63-62-121-61-60-120-59-58-119-57-56-118-55-54-117-53-52-116-51-50-115-49-48-114-47-46-113-45-44-112-43-42-111-41-40-110-39-38-109-37-36-108-35-34-107-33-32-106-31-30-105-29-28-104-27-26-103-25-24-102-23-22-101-21-20-100-19-18-99-17-16-98-15-14-97-13-12-96-11-10-95/h6-9,95H,10-90H2,1-5H3</t>
  </si>
  <si>
    <t>VSJXWXCCNNOFFF-UHFFFAOYSA-N</t>
  </si>
  <si>
    <t>CCCCOCCCCCCCCCCCCOS(=O)([O-])=O.[Na+]</t>
  </si>
  <si>
    <t>anionic</t>
  </si>
  <si>
    <t>10.1002/9781118228920.ch3</t>
  </si>
  <si>
    <t>10.1007/BF02540047</t>
  </si>
  <si>
    <t>10.1002/9781118228920.ch5</t>
  </si>
  <si>
    <t>InChI=1S/C16H34O5S.Na/c1-16(2,3)20-14-12-10-8-6-4-5-7-9-11-13-15-21-22(17,18)19;/h4-15H2,1-3H3,(H,17,18,19);/q;+1/p-1</t>
  </si>
  <si>
    <t>OYJMJSBEWMOFGJ-UHFFFAOYSA-M</t>
  </si>
  <si>
    <t>C[Si](CCSCCOCCOCCOCCOCCOCCOCCOCCOCCOCCOCCOCCOCCOCCOCCOCCOC)(O[Si](C)(C)C)O[Si](C)(C)C</t>
  </si>
  <si>
    <t>10.1002/jsde.12276</t>
  </si>
  <si>
    <t>InChI=1S/C43H90O18SSi3/c1-42(2,3)63-60-65(7,61-64-43(4,5)6)41-40-62-39-38-59-37-36-58-35-34-57-33-32-56-31-30-55-29-28-54-27-26-53-25-24-52-23-22-51-21-20-50-19-18-49-17-16-48-15-14-47-13-12-46-11-10-45-9-8-44/h44H,8-41H2,1-7H3</t>
  </si>
  <si>
    <t>HYUCJILMOIHINE-UHFFFAOYSA-N</t>
  </si>
  <si>
    <t>C[Si](O[Si](C)(C)CCSCCOCCOCCOCCOCCOCCOCCOCCOCCOCCOCCOCCOCCOCCOCCOCCOC)(O[Si](C)(C)C)O[Si](C)(C)C</t>
  </si>
  <si>
    <t>InChI=1S/C43H90O19SSi4/c1-42(2,3)65-61-67(7,62-66-43(4,5)6)60-64-41-40-63-39-38-59-37-36-58-35-34-57-33-32-56-31-30-55-29-28-54-27-26-53-25-24-52-23-22-51-21-20-50-19-18-49-17-16-48-15-14-47-13-12-46-11-10-45-9-8-44/h44H,8-41H2,1-7H3</t>
  </si>
  <si>
    <t>KSXGCBPFZMGQBQ-UHFFFAOYSA-N</t>
  </si>
  <si>
    <t>C[Si](C)(O[Si](C)(O[Si](C)(C)C)CCCOCCOCCOCCOCCO)C</t>
  </si>
  <si>
    <t>10.1021/la00008a011</t>
  </si>
  <si>
    <t>InChI=1S/C23H48O7Si3/c1-21(2,3)31-29-33(23(7,8)9,30-32-22(4,5)6)20-10-12-25-14-16-27-18-19-28-17-15-26-13-11-24/h11H,10,12-20H2,1-9H3</t>
  </si>
  <si>
    <t>KPRWADFOWGLAAJ-UHFFFAOYSA-N</t>
  </si>
  <si>
    <t>C[Si](C)(O[Si](C)(O[Si](C)(C)C)CCCOCCOCCOCCOCCOCCOCCOCCOCCO)C</t>
  </si>
  <si>
    <t>InChI=1S/C31H64O11Si3/c1-29(2,3)43-41-45(31(7,8)9,42-44-30(4,5)6)28-10-12-33-14-16-35-18-20-37-22-24-39-26-27-40-25-23-38-21-19-36-17-15-34-13-11-32/h11H,10,12-28H2,1-9H3</t>
  </si>
  <si>
    <t>NOBSCNMSOCGMGZ-UHFFFAOYSA-N</t>
  </si>
  <si>
    <t>C[Si](C)(O[Si](C)(O[Si](C)(C)C)CCCOCCOCCOCCOCCOCCOCCOCCOCCOCCOCCOCCOCCO)C</t>
  </si>
  <si>
    <t>InChI=1S/C39H80O15Si3/c1-37(2,3)55-53-57(39(7,8)9,54-56-38(4,5)6)36-10-12-41-14-16-43-18-20-45-22-24-47-26-28-49-30-32-51-34-35-52-33-31-50-29-27-48-25-23-46-21-19-44-17-15-42-13-11-40/h11H,10,12-36H2,1-9H3</t>
  </si>
  <si>
    <t>UBHBWGXMHQCUIN-UHFFFAOYSA-N</t>
  </si>
  <si>
    <t>C[Si](C)(C)O[Si](CCSCCOCCOCCOCCOCCOCCOCCOCCOCCOCCOCCOCCOCCOCCOCCOCCOC)(O[Si](C)(C)C)O[Si](C)(C)C</t>
  </si>
  <si>
    <t>InChI=1S/C42H87O19SSi4/c1-41(2,3)64-60-66(59-63,61-65-42(4,5)6)40-39-62-38-37-58-36-35-57-34-33-56-32-31-55-30-29-54-28-27-53-26-25-52-24-23-51-22-21-50-20-19-49-18-17-48-16-15-47-14-13-46-12-11-45-10-9-44-8-7-43/h43H,7-40H2,1-6H3</t>
  </si>
  <si>
    <t>LEXYGJHVAQRSEK-UHFFFAOYSA-N</t>
  </si>
  <si>
    <t>CC(C)CCCC(C)CCOC1OC(CO)C(OC2OC(CO)C(O)C(O)C2O)C(O)C1O</t>
  </si>
  <si>
    <t>sugar-based non-ionic</t>
  </si>
  <si>
    <t>10.1021/acs.iecr.6b02890</t>
  </si>
  <si>
    <t>10.1016/j.jcis.2018.01.051</t>
  </si>
  <si>
    <t>10.1016/j.molliq.2018.01.037</t>
  </si>
  <si>
    <t>10.1016/j.chemphyslip.2005.01.001</t>
  </si>
  <si>
    <t>3,7-Dimethyloctyl-Î²-D-maltoside</t>
  </si>
  <si>
    <t>InChI=1S/C22H42O11/c1-11(2)5-4-6-12(3)7-8-30-21-19(29)17(27)20(14(10-24)32-21)33-22-18(28)16(26)15(25)13(9-23)31-22/h11-29H,4-10H2,1-3H3</t>
  </si>
  <si>
    <t>HALLPIGEKSALTD-UHFFFAOYSA-N</t>
  </si>
  <si>
    <t>CC(C)CCCC(C)CCOC1OC(CO)C(OC2OC(CO)C(OC3OC(CO)C(O)C(O)C3O)C(O)C2O)C(O)C1O</t>
  </si>
  <si>
    <t>3,7-Dimethyloctyl-Î²-D-maltotrioside</t>
  </si>
  <si>
    <t>InChI=1S/C28H52O16/c1-12(2)5-4-6-13(3)7-8-39-26-22(37)19(34)24(15(10-30)41-26)44-28-23(38)20(35)25(16(11-31)42-28)43-27-21(36)18(33)17(32)14(9-29)40-27/h12-38H,4-11H2,1-3H3</t>
  </si>
  <si>
    <t>SFMCWDLHZXFDLR-UHFFFAOYSA-N</t>
  </si>
  <si>
    <t>CC(C)CCCC(C)CCO[C@@H]1O[C@H](CO)[C@@H](O)[C@H](O)[C@H]1O</t>
  </si>
  <si>
    <t>3,7-Dimethyloctyl-Î²-D-glucoside</t>
  </si>
  <si>
    <t>InChI=1S/C16H32O6/c1-10(2)5-4-6-11(3)7-8-21-16-15(20)14(19)13(18)12(9-17)22-16/h10-20H,4-9H2,1-3H3/t11?,12-,13-,14+,15-,16-/m1/s1</t>
  </si>
  <si>
    <t>OUOKJYJHOQRUFW-DJCOPSFNSA-N</t>
  </si>
  <si>
    <t>CC(C)CCCCCc1ccc(OCCOCCOCCOCCOCCOCCOCCOCCOCCOCCOCCOCCOCCOCCOCCOCCOCCOCCOCCOCCOP(=O)([O-])[O-])cc1.[Na+].[Na+]</t>
  </si>
  <si>
    <t>gemini anionic</t>
  </si>
  <si>
    <t>10.1021/ci600462d</t>
  </si>
  <si>
    <t>10.1006/jcis.1996.4680</t>
  </si>
  <si>
    <t>InChI=1S/C54H103O24P.2Na/c1-52(2)6-4-3-5-7-53-8-10-54(11-9-53)77-50-48-75-46-44-73-42-40-71-38-36-69-34-32-67-30-28-65-26-24-63-22-20-61-18-16-59-14-12-58-13-15-60-17-19-62-21-23-64-25-27-66-29-31-68-33-35-70-37-39-72-41-43-74-45-47-76-49-51-78-79(55,56)57;;/h8-11,52H,3-7,12-51H2,1-2H3,(H2,55,56,57);;/q;2*+1/p-2</t>
  </si>
  <si>
    <t>GMGMVUBNKTYARA-UHFFFAOYSA-L</t>
  </si>
  <si>
    <t>CC(C)CCCCCc1ccc(OCCOCCOCCOCCOCCOCCOCCOCCOCCOCCOCCOCCOCCOCCOCCOP(=O)([O-])[O-])cc1.[Na+].[Na+]</t>
  </si>
  <si>
    <t>InChI=1S/C44H83O19P.2Na/c1-42(2)6-4-3-5-7-43-8-10-44(11-9-43)62-40-38-60-36-34-58-32-30-56-28-26-54-24-22-52-20-18-50-16-14-48-12-13-49-15-17-51-19-21-53-23-25-55-27-29-57-31-33-59-35-37-61-39-41-63-64(45,46)47;;/h8-11,42H,3-7,12-41H2,1-2H3,(H2,45,46,47);;/q;2*+1/p-2</t>
  </si>
  <si>
    <t>DSASAEXRUISRSX-UHFFFAOYSA-L</t>
  </si>
  <si>
    <t>CC(C)CCCCCc1ccc(OCCOCCOCCOCCOCCOCCOCCOCCOCCOCCOP(=O)([O-])[O-])cc1.[Na+].[Na+]</t>
  </si>
  <si>
    <t>InChI=1S/C34H63O14P.2Na/c1-32(2)6-4-3-5-7-33-8-10-34(11-9-33)47-30-28-45-26-24-43-22-20-41-18-16-39-14-12-38-13-15-40-17-19-42-21-23-44-25-27-46-29-31-48-49(35,36)37;;/h8-11,32H,3-7,12-31H2,1-2H3,(H2,35,36,37);;/q;2*+1/p-2</t>
  </si>
  <si>
    <t>GZOKJKIMBYEFEO-UHFFFAOYSA-L</t>
  </si>
  <si>
    <t>CC(C)COCCOCCOCCOCCOCCOCCO</t>
  </si>
  <si>
    <t>10.1007/BF01500880</t>
  </si>
  <si>
    <t>InChI=1S/C16H34O7/c1-16(2)15-23-14-13-22-12-11-21-10-9-20-8-7-19-6-5-18-4-3-17/h16-17H,3-15H2,1-2H3</t>
  </si>
  <si>
    <t>YAXANHFNMATPNL-UHFFFAOYSA-N</t>
  </si>
  <si>
    <t>CC(OCC(OCC(OCC(OCC(OCC(OCCOCCOCCOCCOCCOCCOCCOCCOCCOCCOCCOCCOCCOCCOCCOCCOCCOCCOCCOCCOCCOCCOCCOCCOCCOCCOCCOCCCSCCC[Si](O[Si](C)(C)C)(O[Si](C)(C)C)O[Si](C)(C)C)C)C)C)C)C)CO</t>
  </si>
  <si>
    <t>10.1021/acs.jpcb.8b10727</t>
  </si>
  <si>
    <t>InChI=1S/C85H178O37SSi4/c1-80(71-86)118-73-82(3)120-75-84(5)122-76-85(6)121-74-83(4)119-72-81(2)117-67-66-116-65-64-115-63-62-114-61-60-113-59-58-112-57-56-111-55-54-110-53-52-109-51-50-108-49-48-107-47-46-106-45-44-105-43-42-104-41-40-103-39-38-102-37-36-101-35-34-100-33-32-99-31-30-98-29-28-97-27-26-96-25-24-95-23-22-94-21-20-93-19-18-92-17-16-91-15-14-90-13-11-68-123-69-12-70-126(9,77-124(7)87)79-127(10,89)78-125(8)88/h80-89H,11-79H2,1-10H3</t>
  </si>
  <si>
    <t>YVWYPQHZEJYMCW-UHFFFAOYSA-N</t>
  </si>
  <si>
    <t>OCC(OCC(OCC(OCC(OCC(OCC(OCCOCCOCCOCCOCCOCCOCCOCCOCCOCCOCCOCCOCCOCCOCCOCCOCCOCCOCCOCCOCCOCCOCCOCCOCCOCCOCCOCCCSCCC[Si](C)(O[Si](C)(C)C)O[Si](C)(C)C)C)C)C)C)C)C</t>
  </si>
  <si>
    <t>InChI=1S/C83H172O36SSi3/c1-78(70-84)115-72-80(3)117-74-82(5)119-75-83(6)118-73-81(4)116-71-79(2)114-66-65-113-64-63-112-62-61-111-60-59-110-58-57-109-56-55-108-54-53-107-52-51-106-50-49-105-48-47-104-46-45-103-44-43-102-42-41-101-40-39-100-38-37-99-36-35-98-34-33-97-32-31-96-30-29-95-28-27-94-26-25-93-24-23-92-22-21-91-20-19-90-18-17-89-16-15-88-14-13-87-12-10-67-120-68-11-69-123(9,76-121(7)85)77-122(8)86/h78-86H,10-77H2,1-9H3</t>
  </si>
  <si>
    <t>SBRMBKSVHSJDTJ-UHFFFAOYSA-N</t>
  </si>
  <si>
    <t>C[Si](CCSCCOCCOCCOCCOCCOCCOCCOCCOCCOCCOCCOCCOCCOCCOCCOCCOC)(O[Si](CC)(CC)CC)O[Si](CC)(CC)CC</t>
  </si>
  <si>
    <t>InChI=1S/C49H102O18SSi3/c1-8-48(9-2,10-3)69-66-71(7,67-70-49(11-4,12-5)13-6)47-46-68-45-44-65-43-42-64-41-40-63-39-38-62-37-36-61-35-34-60-33-32-59-31-30-58-29-28-57-27-26-56-25-24-55-23-22-54-21-20-53-19-18-52-17-16-51-15-14-50/h50H,8-47H2,1-7H3</t>
  </si>
  <si>
    <t>ZWLGLDJPGGMSOD-UHFFFAOYSA-N</t>
  </si>
  <si>
    <t>CCC(CC)COCCOCCOCCOCCOCCOCCO</t>
  </si>
  <si>
    <t>InChI=1S/C18H38O7/c1-3-18(4-2)17-25-16-15-24-14-13-23-12-11-22-10-9-21-8-7-20-6-5-19/h18-19H,3-17H2,1-2H3</t>
  </si>
  <si>
    <t>HRNFPTXIJKMRHB-UHFFFAOYSA-N</t>
  </si>
  <si>
    <t>CCC=COOCCOCCOCCOCCOCCOCC</t>
  </si>
  <si>
    <t>10.1021/ie4016232</t>
  </si>
  <si>
    <t>InChI=1S/C16H32O7/c1-3-5-6-22-23-16-15-21-14-13-20-12-11-19-10-9-18-8-7-17-4-2/h5-6H,3-4,7-16H2,1-2H3</t>
  </si>
  <si>
    <t>MGUDORGUAXKYLZ-UHFFFAOYSA-N</t>
  </si>
  <si>
    <t>CCCC(CC(F)C(F)(F)F)OS(=O)(=O)[O-].[Na+]</t>
  </si>
  <si>
    <t>10.1016/s0008-6215(01)00077-5</t>
  </si>
  <si>
    <t>InChI=1S/C7H12F4O4S.Na/c1-2-3-5(15-16(12,13)14)4-6(8)7(9,10)11;/h5-6H,2-4H2,1H3,(H,12,13,14);/q;+1/p-1</t>
  </si>
  <si>
    <t>FRBUVSAGGCTBDL-UHFFFAOYSA-M</t>
  </si>
  <si>
    <t>C[Si](O[Si](C(C)C)(C(C)C)C(C)C)(O[Si](C(C)C)(C(C)C)C(C)C)CCSCCOCCOCCOCCOCCOCCOCCOCCOCCOCCOCCOCCOCCOCCOCCOCCO</t>
  </si>
  <si>
    <t>InChI=1S/C55H114O18SSi3/c1-8-14-54(15-9-2,16-10-3)75-72-77(7,73-76-55(17-11-4,18-12-5)19-13-6)53-52-74-51-50-71-49-48-70-47-46-69-45-44-68-43-42-67-41-40-66-39-38-65-37-36-64-35-34-63-33-32-62-31-30-61-29-28-60-27-26-59-25-24-58-23-22-57-21-20-56/h56H,8-53H2,1-7H3</t>
  </si>
  <si>
    <t>ZNWNCGGHVGWMSP-UHFFFAOYSA-N</t>
  </si>
  <si>
    <t>CCCC(COCCOCCOCCOCCOCCOCCO)CCC</t>
  </si>
  <si>
    <t>InChI=1S/C20H42O7/c1-4-7-19(8-5-2)20(21)27-18-17-26-16-15-25-14-13-24-12-11-23-10-9-22-6-3/h19-21H,4-18H2,1-3H3</t>
  </si>
  <si>
    <t>HTHPBVSWTGVOOT-UHFFFAOYSA-N</t>
  </si>
  <si>
    <t>CCCC(CCC)COCCOCCOCCOCCOCCOCCO</t>
  </si>
  <si>
    <t>InChI=1S/C20H42O7/c1-3-5-20(6-4-2)19-27-18-17-26-16-15-25-14-13-24-12-11-23-10-9-22-8-7-21/h20-21H,3-19H2,1-2H3</t>
  </si>
  <si>
    <t>OREFNIPXPIKHBF-UHFFFAOYSA-N</t>
  </si>
  <si>
    <t>CCCC(F)(OS(=O)(=O)[O-])C(F)(F)C(F)(F)C(F)(F)F.[Na+]</t>
  </si>
  <si>
    <t>10.1016/j.jfluchem.2003.08.007</t>
  </si>
  <si>
    <t>InChI=1S/C7H8F8O4S.Na/c1-2-3-4(8,19-20(16,17)18)5(9,10)6(11,12)7(13,14)15;/h2-3H2,1H3,(H,16,17,18);/q;+1/p-1</t>
  </si>
  <si>
    <t>INMPQELAKDBVIY-UHFFFAOYSA-M</t>
  </si>
  <si>
    <t>CCCCOCCOCCOCCOCCOCCOCCO</t>
  </si>
  <si>
    <t>InChI=1S/C16H34O7/c1-3-5-16(17)23-15-14-22-13-12-21-11-10-20-9-8-19-7-6-18-4-2/h16-17H,3-15H2,1-2H3</t>
  </si>
  <si>
    <t>BYUILTLLSBUMTN-UHFFFAOYSA-N</t>
  </si>
  <si>
    <t>CCCC(OS(=O)(=O)[O-])C(F)C(F)(F)C(F)(F)F.[Na+]</t>
  </si>
  <si>
    <t>InChI=1S/C7H10F6O4S.Na/c1-2-3-4(17-18(14,15)16)5(8)6(9,10)7(11,12)13;/h4-5H,2-3H2,1H3,(H,14,15,16);/q;+1/p-1</t>
  </si>
  <si>
    <t>KCWOCRVIELKWLU-UHFFFAOYSA-M</t>
  </si>
  <si>
    <t>CCCC=NCCC[N+](C)(C)CCCCCCCCCC.[Br-]</t>
  </si>
  <si>
    <t>10.1016/j.jiec.2014.01.020</t>
  </si>
  <si>
    <t>N-(3-(butylidenamino)propyl)-N,N-dimethyldecan-1-ammonium</t>
  </si>
  <si>
    <t>InChI=1S/C19H41N2.BrH/c1-5-7-9-10-11-12-13-14-18-21(3,4)19-15-17-20-16-8-6-2;/h16H,5-15,17-19H2,1-4H3;1H/q+1;/p-1</t>
  </si>
  <si>
    <t>RRCBDKFYMUMFLS-UHFFFAOYSA-M</t>
  </si>
  <si>
    <t>CCCC=NCCC[N+](C)(C)CCCCCCCCCCCC.[Br-]</t>
  </si>
  <si>
    <t>N-(3-(butylidenamino)propyl)-N,N-dimethyldodecan-1-ammonium</t>
  </si>
  <si>
    <t>InChI=1S/C21H45N2.BrH/c1-5-7-9-10-11-12-13-14-15-16-20-23(3,4)21-17-19-22-18-8-6-2;/h18H,5-17,19-21H2,1-4H3;1H/q+1;/p-1</t>
  </si>
  <si>
    <t>XXDOCYAYBWVMOR-UHFFFAOYSA-M</t>
  </si>
  <si>
    <t>CCCC=NCCC[N+](C)(C)CCCCCCCCCCCCCCCC.[Br-]</t>
  </si>
  <si>
    <t>N-(3-(butylidenamino)propyl)-N,N-dimethylhexadecan-1-ammonium</t>
  </si>
  <si>
    <t>InChI=1S/C25H53N2.BrH/c1-5-7-9-10-11-12-13-14-15-16-17-18-19-20-24-27(3,4)25-21-23-26-22-8-6-2;/h22H,5-21,23-25H2,1-4H3;1H/q+1;/p-1</t>
  </si>
  <si>
    <t>QFIWPJKSRGDLBW-UHFFFAOYSA-M</t>
  </si>
  <si>
    <t>CCCCC(=O)OCC(COC(=O)CCCC)S(=O)(=O)[O-].[Na+]</t>
  </si>
  <si>
    <t>InChI=1S/C13H24O7S.Na/c1-3-5-7-12(14)19-9-11(21(16,17)18)10-20-13(15)8-6-4-2;/h11H,3-10H2,1-2H3,(H,16,17,18);/q;+1/p-1</t>
  </si>
  <si>
    <t>DHDXKVSAYRKROB-UHFFFAOYSA-M</t>
  </si>
  <si>
    <t>CCCCC(CC)CC(=O)OCC(COC(=O)CC(CC)CCCC)S(=O)(=O)[O-].[Na+]</t>
  </si>
  <si>
    <t>InChI=1S/C21H40O7S.Na/c1-5-9-11-17(7-3)13-20(22)27-15-19(29(24,25)26)16-28-21(23)14-18(8-4)12-10-6-2;/h17-19H,5-16H2,1-4H3,(H,24,25,26);/q;+1/p-1</t>
  </si>
  <si>
    <t>MBICJFHVOBQECC-UHFFFAOYSA-M</t>
  </si>
  <si>
    <t>CCCCC(CC)COC(=O)CC(C(=O)OCC(CC)CCCC)S(=O)(=O)[O-].[Na+]</t>
  </si>
  <si>
    <t>sodium-1,4-bis(2-ethylhexoxy)-1,4-dioxobutane-2-sulfonate</t>
  </si>
  <si>
    <t>InChI=1S/C20H38O7S.Na/c1-5-9-11-16(7-3)14-26-19(21)13-18(28(23,24)25)20(22)27-15-17(8-4)12-10-6-2;/h16-18H,5-15H2,1-4H3,(H,23,24,25);/q;+1/p-1</t>
  </si>
  <si>
    <t>APSBXTVYXVQYAB-UHFFFAOYSA-M</t>
  </si>
  <si>
    <t>CCCCC(COCCOCCOCCOCCOCCOCCO)CCCC</t>
  </si>
  <si>
    <t>InChI=1S/C22H46O7/c1-4-7-9-21(10-8-5-2)22(23)29-20-19-28-18-17-27-16-15-26-14-13-25-12-11-24-6-3/h21-23H,4-20H2,1-3H3</t>
  </si>
  <si>
    <t>HPVHIAWWUUFXPB-UHFFFAOYSA-N</t>
  </si>
  <si>
    <t>CCCCC(COCCOCCOCCOCCOCCOCCOCCOCCOCCO)CCCC</t>
  </si>
  <si>
    <t>InChI=1S/C28H58O10/c1-4-7-9-27(10-8-5-2)28(29)38-26-25-37-24-23-36-22-21-35-20-19-34-18-17-33-16-15-32-14-13-31-12-11-30-6-3/h27-29H,4-26H2,1-3H3</t>
  </si>
  <si>
    <t>CKOVQADQWKJNHR-UHFFFAOYSA-N</t>
  </si>
  <si>
    <t>CCCCC(CCCC)COCCOCCOCCOCCOCCOCCOCCOCCOCCO</t>
  </si>
  <si>
    <t>InChI=1S/C28H58O10/c1-3-5-7-28(8-6-4-2)27-38-26-25-37-24-23-36-22-21-35-20-19-34-18-17-33-16-15-32-14-13-31-12-11-30-10-9-29/h28-29H,3-27H2,1-2H3</t>
  </si>
  <si>
    <t>MJUXHQHOYOACDN-UHFFFAOYSA-N</t>
  </si>
  <si>
    <t>CCCCC=COOCCOCCOCCOCCOCCOCC</t>
  </si>
  <si>
    <t>InChI=1S/C18H36O7/c1-3-5-6-7-8-24-25-18-17-23-16-15-22-14-13-21-12-11-20-10-9-19-4-2/h7-8H,3-6,9-18H2,1-2H3</t>
  </si>
  <si>
    <t>YCAJQXPPTPUNAO-UHFFFAOYSA-N</t>
  </si>
  <si>
    <t>CCCCCC(=O)CC(=O)NC1CCOC1=O</t>
  </si>
  <si>
    <t>3-oxo-N-(2-oxooxolan-3-yl)octanamide</t>
  </si>
  <si>
    <t>InChI=1S/C12H19NO4/c1-2-3-4-5-9(14)8-11(15)13-10-6-7-17-12(10)16/h10H,2-8H2,1H3,(H,13,15)</t>
  </si>
  <si>
    <t>FXCMGCFNLNFLSH-UHFFFAOYSA-N</t>
  </si>
  <si>
    <t>CCCCCC(=O)OCC(COC(=O)CCCCC)S(=O)(=O)[O-].[Na+]</t>
  </si>
  <si>
    <t>InChI=1S/C15H28O7S.Na/c1-3-5-7-9-14(16)21-11-13(23(18,19)20)12-22-15(17)10-8-6-4-2;/h13H,3-12H2,1-2H3,(H,18,19,20);/q;+1/p-1</t>
  </si>
  <si>
    <t>XBWPLRILPRSTBZ-UHFFFAOYSA-M</t>
  </si>
  <si>
    <t>CCCCCC(CC(F)C(F)(F)F)OS(=O)(=O)[O-].[Na+]</t>
  </si>
  <si>
    <t>InChI=1S/C9H16F4O4S.Na/c1-2-3-4-5-7(17-18(14,15)16)6-8(10)9(11,12)13;/h7-8H,2-6H2,1H3,(H,14,15,16);/q;+1/p-1</t>
  </si>
  <si>
    <t>CSXDCKIHVAYRAO-UHFFFAOYSA-M</t>
  </si>
  <si>
    <t>CCCCCC(CCCC)O[C@@H]1O[C@H](CO)[C@@H](O)[C@H](O)[C@H]1O</t>
  </si>
  <si>
    <t>10.5650/jos1956.40.709</t>
  </si>
  <si>
    <t>1-Butylhexyl-Î²-D-glucoside</t>
  </si>
  <si>
    <t>InChI=1S/C16H32O6/c1-3-5-7-9-11(8-6-4-2)21-16-15(20)14(19)13(18)12(10-17)22-16/h11-20H,3-10H2,1-2H3/t11?,12-,13-,14+,15-,16-/m1/s1</t>
  </si>
  <si>
    <t>AENKUMOCHIQYMT-DJCOPSFNSA-N</t>
  </si>
  <si>
    <t>CCCCCC(CCCC)c1ccc(S(=O)(=O)[O-])cc1.[Na+]</t>
  </si>
  <si>
    <t>sodium-4-decan-5-ylbenzenesulfonate</t>
  </si>
  <si>
    <t>InChI=1S/C16H26O3S.Na/c1-3-5-7-9-14(8-6-4-2)15-10-12-16(13-11-15)20(17,18)19;/h10-14H,3-9H2,1-2H3,(H,17,18,19);/q;+1/p-1</t>
  </si>
  <si>
    <t>NVCWGZCBTMDLLK-UHFFFAOYSA-M</t>
  </si>
  <si>
    <t>CCCCCC(CCCCC)OS(=O)(=O)[O-].[Na+]</t>
  </si>
  <si>
    <t>10.1021/j100550a001</t>
  </si>
  <si>
    <t>10.1081/DIS-120014014</t>
  </si>
  <si>
    <t>sodium-undecan-6-ylsulfate</t>
  </si>
  <si>
    <t>InChI=1S/C11H24O4S.Na/c1-3-5-7-9-11(10-8-6-4-2)15-16(12,13)14;/h11H,3-10H2,1-2H3,(H,12,13,14);/q;+1/p-1</t>
  </si>
  <si>
    <t>MWVDQKGHXGDXOB-UHFFFAOYSA-M</t>
  </si>
  <si>
    <t>CCCCCC(CCCCC)c1ccc(S(=O)(=O)[O-])cc1.[Na+]</t>
  </si>
  <si>
    <t>10.1016/j.theochem.2004.08.039</t>
  </si>
  <si>
    <t>sodium-4-undecan-6-yl-benzenesulfonate</t>
  </si>
  <si>
    <t>InChI=1S/C17H28O3S.Na/c1-3-5-7-9-15(10-8-6-4-2)16-11-13-17(14-12-16)21(18,19)20;/h11-15H,3-10H2,1-2H3,(H,18,19,20);/q;+1/p-1</t>
  </si>
  <si>
    <t>AKOSYNSGGSMKDU-UHFFFAOYSA-M</t>
  </si>
  <si>
    <t>CCCCCC(CS(=O)(=O)[O-])OCO.[Na+]</t>
  </si>
  <si>
    <t>InChI=1S/C8H18O5S.Na/c1-2-3-4-5-8(13-7-9)6-14(10,11)12;/h8-9H,2-7H2,1H3,(H,10,11,12);/q;+1/p-1</t>
  </si>
  <si>
    <t>KLJXTSPKCQWHFO-UHFFFAOYSA-M</t>
  </si>
  <si>
    <t>CCCCCC(F)(OS(=O)(=O)[O-])C(F)(F)C(F)(F)C(F)(F)F.[Na+]</t>
  </si>
  <si>
    <t>InChI=1S/C9H12F8O4S.Na/c1-2-3-4-5-6(10,21-22(18,19)20)7(11,12)8(13,14)9(15,16)17;/h2-5H2,1H3,(H,18,19,20);/q;+1/p-1</t>
  </si>
  <si>
    <t>NEJKQDGGROAZSJ-UHFFFAOYSA-M</t>
  </si>
  <si>
    <t>CCCCCCOCCOCCOCCOCCOCCOCCO</t>
  </si>
  <si>
    <t>InChI=1S/C18H38O7/c1-3-5-6-7-18(19)25-17-16-24-15-14-23-13-12-22-11-10-21-9-8-20-4-2/h18-19H,3-17H2,1-2H3</t>
  </si>
  <si>
    <t>SQPWAXCTRHSGJS-UHFFFAOYSA-N</t>
  </si>
  <si>
    <t>CCCCCC(OS(=O)(=O)[O-])C(F)C(F)(F)C(F)(F)F.[Na+]</t>
  </si>
  <si>
    <t>InChI=1S/C9H14F6O4S.Na/c1-2-3-4-5-6(19-20(16,17)18)7(10)8(11,12)9(13,14)15;/h6-7H,2-5H2,1H3,(H,16,17,18);/q;+1/p-1</t>
  </si>
  <si>
    <t>YAQHINZRCKOVKR-UHFFFAOYSA-M</t>
  </si>
  <si>
    <t>CCCCCCC(=O)OC(C)C(=O)NCCC[N+](C)(C)C.COS(=O)(=O)[O-]</t>
  </si>
  <si>
    <t>zwitterionic</t>
  </si>
  <si>
    <t>10.1007/s11743-000-0142-z</t>
  </si>
  <si>
    <t>InChI=1S/C16H32N2O3.CH4O4S/c1-6-7-8-9-11-15(19)21-14(2)16(20)17-12-10-13-18(3,4)5;1-5-6(2,3)4/h14H,6-13H2,1-5H3;1H3,(H,2,3,4)</t>
  </si>
  <si>
    <t>HMMQTASLGDEUDR-UHFFFAOYSA-N</t>
  </si>
  <si>
    <t>CCCCCCC(=O)OCC(O)C(O)C(O)CO</t>
  </si>
  <si>
    <t>2,3,4,5-tetrahydroxypentyl-heptanoate</t>
  </si>
  <si>
    <t>InChI=1S/C12H24O6/c1-2-3-4-5-6-11(16)18-8-10(15)12(17)9(14)7-13/h9-10,12-15,17H,2-8H2,1H3</t>
  </si>
  <si>
    <t>QWMDBXNQUYIYJL-UHFFFAOYSA-N</t>
  </si>
  <si>
    <t>CCCCCCC(C)OS(=O)(=O)[O-].[Na+]</t>
  </si>
  <si>
    <t>sodium-octan-2-ylsulfate</t>
  </si>
  <si>
    <t>InChI=1S/C8H18O4S.Na/c1-3-4-5-6-7-8(2)12-13(9,10)11;/h8H,3-7H2,1-2H3,(H,9,10,11);/q;+1/p-1</t>
  </si>
  <si>
    <t>XYDHYQBWZXNZDP-UHFFFAOYSA-M</t>
  </si>
  <si>
    <t>CCCCCCC(CC)c1ccc(S(=O)(=O)[O-])cc1.[Na+]</t>
  </si>
  <si>
    <t>sodium-4-nonan-3-ylbenzenesulfonate</t>
  </si>
  <si>
    <t>InChI=1S/C15H24O3S.Na/c1-3-5-6-7-8-13(4-2)14-9-11-15(12-10-14)19(16,17)18;/h9-13H,3-8H2,1-2H3,(H,16,17,18);/q;+1/p-1</t>
  </si>
  <si>
    <t>WJUPSPPHGOSIDZ-UHFFFAOYSA-M</t>
  </si>
  <si>
    <t>CCCCCCC(CCC)O[C@@H]1O[C@H](CO)[C@@H](O)[C@H](O)[C@H]1O</t>
  </si>
  <si>
    <t>1-Propylheptyl-Î²-D-glucoside</t>
  </si>
  <si>
    <t>InChI=1S/C16H32O6/c1-3-5-6-7-9-11(8-4-2)21-16-15(20)14(19)13(18)12(10-17)22-16/h11-20H,3-10H2,1-2H3/t11?,12-,13-,14+,15-,16-/m1/s1</t>
  </si>
  <si>
    <t>HSUMARIUFKUVLV-DJCOPSFNSA-N</t>
  </si>
  <si>
    <t>CCCCCCC(CCCCC)S(=O)(=O)[O-].[Na+]</t>
  </si>
  <si>
    <t>sodium-dodecane-6-sulfonate</t>
  </si>
  <si>
    <t>InChI=1S/C12H26O3S.Na/c1-3-5-7-9-11-12(16(13,14)15)10-8-6-4-2;/h12H,3-11H2,1-2H3,(H,13,14,15);/q;+1/p-1</t>
  </si>
  <si>
    <t>OVIHDFQZAANAIK-UHFFFAOYSA-M</t>
  </si>
  <si>
    <t>CCCCCCC(CCCCC)c1ccc(S(=O)(=O)[O-])cc1.[Na+]</t>
  </si>
  <si>
    <t>sodium-4-dodecan-6-ylbenzenesulfonat</t>
  </si>
  <si>
    <t>InChI=1S/C18H30O3S.Na/c1-3-5-7-9-11-16(10-8-6-4-2)17-12-14-18(15-13-17)22(19,20)21;/h12-16H,3-11H2,1-2H3,(H,19,20,21);/q;+1/p-1</t>
  </si>
  <si>
    <t>BTOWBMRQUJCRTH-UHFFFAOYSA-M</t>
  </si>
  <si>
    <t>CCCCCCC(CCCCCC)OS(=O)(=O)[O-].[Na+]</t>
  </si>
  <si>
    <t>sodium-tridecan-7-ylsulfate</t>
  </si>
  <si>
    <t>InChI=1S/C13H28O4S.Na/c1-3-5-7-9-11-13(17-18(14,15)16)12-10-8-6-4-2;/h13H,3-12H2,1-2H3,(H,14,15,16);/q;+1/p-1</t>
  </si>
  <si>
    <t>ZRYSUDWQNKEYRP-UHFFFAOYSA-M</t>
  </si>
  <si>
    <t>O[C@H]1[C@@H]([C@H]([C@@H]([C@H](O1)COC(CCSCCCCCCCCCCCCCC)=O)O)O)O</t>
  </si>
  <si>
    <t>10.1016/j.carres.2013.07.003</t>
  </si>
  <si>
    <t>6-O-[(hexyloctyl)-3-propylsulfide)ethanoyl]-D-mannose</t>
  </si>
  <si>
    <t>InChI=1S/C26H52O6S/c1-4-7-8-12-15-20(22(6-3)33-18-5-2)16-13-10-9-11-14-17-31-19-21-23(27)24(28)25(29)26(30)32-21/h20-30H,4-19H2,1-3H3/t20?,21-,22?,23-,24+,25+,26?/m1/s1</t>
  </si>
  <si>
    <t>KYKLZZBQHIVDQS-NPIWRBDGSA-N</t>
  </si>
  <si>
    <t>CCCCCCC1(CCCCCC)OCC(C[N+](C)(C)C)O1.[Br-]</t>
  </si>
  <si>
    <t>10.1016/0927-7757(95)03093-S</t>
  </si>
  <si>
    <t>InChI=1S/C19H40NO2.BrH/c1-6-8-10-12-14-19(15-13-11-9-7-2)21-17-18(22-19)16-20(3,4)5;/h18H,6-17H2,1-5H3;1H/q+1;/p-1</t>
  </si>
  <si>
    <t>KPWIYVJIXZPHPS-UHFFFAOYSA-M</t>
  </si>
  <si>
    <t>CCCCCCC=COOCCOCCOCCOCCOCCOCC</t>
  </si>
  <si>
    <t>InChI=1S/C20H40O7/c1-3-5-6-7-8-9-10-26-27-20-19-25-18-17-24-16-15-23-14-13-22-12-11-21-4-2/h9-10H,3-8,11-20H2,1-2H3</t>
  </si>
  <si>
    <t>NEYKGHGZTUZNBI-UHFFFAOYSA-N</t>
  </si>
  <si>
    <t>CCCCCCCC(N[C@@H]1O[C@H](CO)[C@@H](O)[C@H](O)[C@H]1O)=O</t>
  </si>
  <si>
    <t>Octanoyl-Î²-D-galactosylamine</t>
  </si>
  <si>
    <t>InChI=1S/C14H27NO6/c1-2-3-4-5-6-7-8(16)9(17)13-11(19)10(18)12(20)14(15)21-13/h9-14,17-20H,2-7,15H2,1H3</t>
  </si>
  <si>
    <t>OAXQHCZOTJFIMF-UHFFFAOYSA-N</t>
  </si>
  <si>
    <t>CCCCCCCC(N[C@H]1O[C@H]([C@@H]([C@H]([C@@H]1O)O)O)CO)=O</t>
  </si>
  <si>
    <t>Octanoyl-Î²-D-glucosylamine</t>
  </si>
  <si>
    <t>InChI=1S/C15H28N2O7/c1-2-3-4-5-6-7-10(19)8-17(16-23)15-14(22)13(21)12(20)11(9-18)24-15/h11-15,18,20-22H,2-9H2,1H3</t>
  </si>
  <si>
    <t>KBQNJCQAXKSNHB-UHFFFAOYSA-N</t>
  </si>
  <si>
    <t>CCCCCCCC(=O)N(C)CC(O)C(O)C(O)C(O)CO</t>
  </si>
  <si>
    <t>Octanoyl-N-methylglucamine</t>
  </si>
  <si>
    <t>InChI=1S/C15H31NO6/c1-3-4-5-6-7-8-13(20)16(2)9-11(18)14(21)15(22)12(19)10-17/h11-12,14-15,17-19,21-22H,3-10H2,1-2H3</t>
  </si>
  <si>
    <t>SBWGZAXBCCNRTM-UHFFFAOYSA-N</t>
  </si>
  <si>
    <t>CCCCCCCC(=O)OC(C)C(=O)NCCC[N+](C)(C)C.COS(=O)(=O)[O-]</t>
  </si>
  <si>
    <t>InChI=1S/C17H34N2O3.CH4O4S/c1-6-7-8-9-10-12-16(20)22-15(2)17(21)18-13-11-14-19(3,4)5;1-5-6(2,3)4/h15H,6-14H2,1-5H3;1H3,(H,2,3,4)</t>
  </si>
  <si>
    <t>IYJULMUKMLXJJR-UHFFFAOYSA-N</t>
  </si>
  <si>
    <t>CCCCCCCC(CC(F)C(F)(F)F)OS(=O)(=O)[O-].[Na+]</t>
  </si>
  <si>
    <t>InChI=1S/C11H20F4O4S.Na/c1-2-3-4-5-6-7-9(19-20(16,17)18)8-10(12)11(13,14)15;/h9-10H,2-8H2,1H3,(H,16,17,18);/q;+1/p-1</t>
  </si>
  <si>
    <t>WPAYBAXLNBUKTQ-UHFFFAOYSA-M</t>
  </si>
  <si>
    <t>CCCCCCCC(CC)O[C@@H]1O[C@H](CO)[C@@H](O)[C@H](O)[C@H]1O</t>
  </si>
  <si>
    <t>1-Ethyloctyl-Î²-D-glucoside</t>
  </si>
  <si>
    <t>InChI=1S/C16H32O6/c1-3-5-6-7-8-9-11(4-2)21-16-15(20)14(19)13(18)12(10-17)22-16/h11-20H,3-10H2,1-2H3/t11?,12-,13-,14+,15-,16-/m1/s1</t>
  </si>
  <si>
    <t>MLIXOQUQIJTPEB-DJCOPSFNSA-N</t>
  </si>
  <si>
    <t>CCCCCCCC(CC)c1ccc(S(=O)(=O)[O-])cc1.[Na+]</t>
  </si>
  <si>
    <t>sodium-4-decan-3-ylbenzenesulfonate</t>
  </si>
  <si>
    <t>InChI=1S/C16H26O3S.Na/c1-3-5-6-7-8-9-14(4-2)15-10-12-16(13-11-15)20(17,18)19;/h10-14H,3-9H2,1-2H3,(H,17,18,19);/q;+1/p-1</t>
  </si>
  <si>
    <t>RKYIBTYKESBLTH-UHFFFAOYSA-M</t>
  </si>
  <si>
    <t>CCCCCCCC(CCC)c1ccc(S(=O)(=O)[O-])cc1.[Na+]</t>
  </si>
  <si>
    <t>sodium 4-undecan-4-yl-benzenesulfonate</t>
  </si>
  <si>
    <t>InChI=1S/C17H28O3S.Na/c1-3-5-6-7-8-10-15(9-4-2)16-11-13-17(14-12-16)21(18,19)20;/h11-15H,3-10H2,1-2H3,(H,18,19,20);/q;+1/p-1</t>
  </si>
  <si>
    <t>YHJNLRGMJYIVRZ-UHFFFAOYSA-M</t>
  </si>
  <si>
    <t>CCCCCCCC(CCCC)S(=O)(=O)[O-].[Na+]</t>
  </si>
  <si>
    <t>sodium-dodecane-5-sulfonate</t>
  </si>
  <si>
    <t>InChI=1S/C12H26O3S.Na/c1-3-5-7-8-9-11-12(10-6-4-2)16(13,14)15;/h12H,3-11H2,1-2H3,(H,13,14,15);/q;+1/p-1</t>
  </si>
  <si>
    <t>HVCXODZMDZCTRX-UHFFFAOYSA-M</t>
  </si>
  <si>
    <t>CCCCCCCC(CCCC)c1ccc(S(=O)(=O)[O-])cc1.[Na+]</t>
  </si>
  <si>
    <t>sodium-4-dodecan-5-ylbenzenesulfonate</t>
  </si>
  <si>
    <t>InChI=1S/C18H30O3S.Na/c1-3-5-7-8-9-11-16(10-6-4-2)17-12-14-18(15-13-17)22(19,20)21;/h12-16H,3-11H2,1-2H3,(H,19,20,21);/q;+1/p-1</t>
  </si>
  <si>
    <t>HSNPFUMWJPMFLI-UHFFFAOYSA-M</t>
  </si>
  <si>
    <t>CCCCCCCC(CCCCCC)OS(=O)(=O)[O-].[Na+]</t>
  </si>
  <si>
    <t>sodium-tetradecan-7-ylsulfate</t>
  </si>
  <si>
    <t>InChI=1S/C14H30O4S.Na/c1-3-5-7-9-11-13-14(18-19(15,16)17)12-10-8-6-4-2;/h14H,3-13H2,1-2H3,(H,15,16,17);/q;+1/p-1</t>
  </si>
  <si>
    <t>ISRVIRSFUGCKMH-UHFFFAOYSA-M</t>
  </si>
  <si>
    <t>CCCCCCCC(CCCCCC)c1ccc(S(=O)(=O)[O-])cc1.[Na+]</t>
  </si>
  <si>
    <t>sodium-4-tetradecan-7-ylbenzenesulfonate</t>
  </si>
  <si>
    <t>InChI=1S/C20H34O3S.Na/c1-3-5-7-9-11-13-18(12-10-8-6-4-2)19-14-16-20(17-15-19)24(21,22)23;/h14-18H,3-13H2,1-2H3,(H,21,22,23);/q;+1/p-1</t>
  </si>
  <si>
    <t>FGDRGHMPAMKHFT-UHFFFAOYSA-M</t>
  </si>
  <si>
    <t>CCCCCCCC(CCCCCCC)COS(=O)(=O)[O-].[Na+]</t>
  </si>
  <si>
    <t>sodium-2-heptylnonyl-sulfate</t>
  </si>
  <si>
    <t>InChI=1S/C16H34O4S.Na/c1-3-5-7-9-11-13-16(15-20-21(17,18)19)14-12-10-8-6-4-2;/h16H,3-15H2,1-2H3,(H,17,18,19);/q;+1/p-1</t>
  </si>
  <si>
    <t>VUBWMAOJZANAOY-UHFFFAOYSA-M</t>
  </si>
  <si>
    <t>CCCCCCCC(CCCCCCC)OS(=O)(=O)[O-].[Na+]</t>
  </si>
  <si>
    <t>sodium-pentadecan-8-yl-sulfate</t>
  </si>
  <si>
    <t>InChI=1S/C15H32O4S.Na/c1-3-5-7-9-11-13-15(19-20(16,17)18)14-12-10-8-6-4-2;/h15H,3-14H2,1-2H3,(H,16,17,18);/q;+1/p-1</t>
  </si>
  <si>
    <t>MSDGJRHNSCDTHJ-UHFFFAOYSA-M</t>
  </si>
  <si>
    <t>CCCCCCCC(CCCCCCC)S(=O)(=O)[O-].[Na+]</t>
  </si>
  <si>
    <t>sodium-pentadecane-8-sulfonate</t>
  </si>
  <si>
    <t>InChI=1S/C15H32O3S.Na/c1-3-5-7-9-11-13-15(19(16,17)18)14-12-10-8-6-4-2;/h15H,3-14H2,1-2H3,(H,16,17,18);/q;+1/p-1</t>
  </si>
  <si>
    <t>UHELFKQYUUCMFQ-UHFFFAOYSA-M</t>
  </si>
  <si>
    <t>CCCCCCCC(CS(=O)(=O)[O-])OCO.[Na+]</t>
  </si>
  <si>
    <t>InChI=1S/C10H22O5S.Na/c1-2-3-4-5-6-7-10(15-9-11)8-16(12,13)14;/h10-11H,2-9H2,1H3,(H,12,13,14);/q;+1/p-1</t>
  </si>
  <si>
    <t>DMUYEEHFJSQNNJ-UHFFFAOYSA-M</t>
  </si>
  <si>
    <t>CCCCCCCC(F)(OS(=O)(=O)[O-])C(F)(F)C(F)(F)C(F)(F)F.[Na+]</t>
  </si>
  <si>
    <t>InChI=1S/C11H16F8O4S.Na/c1-2-3-4-5-6-7-8(12,23-24(20,21)22)9(13,14)10(15,16)11(17,18)19;/h2-7H2,1H3,(H,20,21,22);/q;+1/p-1</t>
  </si>
  <si>
    <t>OPFSCERLCHUVSW-UHFFFAOYSA-M</t>
  </si>
  <si>
    <t>CCCCCCCC(O)CO</t>
  </si>
  <si>
    <t>10.1021/j150575a003</t>
  </si>
  <si>
    <t>Octylglycol</t>
  </si>
  <si>
    <t>InChI=1S/C9H20O2/c1-2-3-4-5-6-7-9(11)8-10/h9-11H,2-8H2,1H3</t>
  </si>
  <si>
    <t>LJZULWUXNKDPCG-UHFFFAOYSA-N</t>
  </si>
  <si>
    <t>CCCCCCCC(O)NC(O)(OS(=O)(=O)[O-])[C@H]1OC(O)[C@H](O)[C@@H](O)[C@@H]1O.[Na+]</t>
  </si>
  <si>
    <t>InChI=1S/C14H29NO11S.Na/c1-2-3-4-5-6-7-8(16)15-14(21,26-27(22,23)24)12-10(18)9(17)11(19)13(20)25-12;/h8-13,15-21H,2-7H2,1H3,(H,22,23,24);/q;+1/p-1/t8?,9-,10-,11+,12-,13?,14?;/m0./s1</t>
  </si>
  <si>
    <t>OHSOFFUCKCDNJI-JTKNJVIASA-M</t>
  </si>
  <si>
    <t>CCCCCCCCOCCO</t>
  </si>
  <si>
    <t>InChI=1S/C14H30O4/c1-3-5-6-7-8-9-14(15)18-13-12-17-11-10-16-4-2/h14-15H,3-13H2,1-2H3</t>
  </si>
  <si>
    <t>GGMNEMYXIXGPHE-UHFFFAOYSA-N</t>
  </si>
  <si>
    <t>CCCCCCCCOCCOCCOCCOCCOCCO</t>
  </si>
  <si>
    <t>10.1016/0021-9797(91)90171-4</t>
  </si>
  <si>
    <t>InChI=1S/C18H38O6/c1-3-5-6-7-8-9-18(19)24-17-16-23-15-14-22-13-12-21-11-10-20-4-2/h18-19H,3-17H2,1-2H3</t>
  </si>
  <si>
    <t>MSCOLEHBVBMTTD-UHFFFAOYSA-N</t>
  </si>
  <si>
    <t>CCCCCCCCOCCOCCOCCOCCOCCOCCO</t>
  </si>
  <si>
    <t>1964/tf/tf9646000202</t>
  </si>
  <si>
    <t>InChI=1S/C20H42O7/c1-3-5-6-7-8-9-20(21)27-19-18-26-17-16-25-15-14-24-13-12-23-11-10-22-4-2/h20-21H,3-19H2,1-2H3</t>
  </si>
  <si>
    <t>OVDQGUFSAMGQPZ-UHFFFAOYSA-N</t>
  </si>
  <si>
    <t>CCCCCCCC(OS(=O)(=O)[O-])C(F)C(F)(F)C(F)(F)F.[Na+]</t>
  </si>
  <si>
    <t>InChI=1S/C11H18F6O4S.Na/c1-2-3-4-5-6-7-8(21-22(18,19)20)9(12)10(13,14)11(15,16)17;/h8-9H,2-7H2,1H3,(H,18,19,20);/q;+1/p-1</t>
  </si>
  <si>
    <t>FFDAZRQFLOLJIK-UHFFFAOYSA-M</t>
  </si>
  <si>
    <t>CCCCCCCC/C=C/CCCCCCCC(=O)O[C@@]1(OC2(CO)O[C@H](CO)[C@@H](O)[C@@H]2O)O[C@H](CO)[C@@H](O)[C@H](O)[C@H]1O</t>
  </si>
  <si>
    <t>[(2R,3R,4S,5S,6R)-2-[(3S,4S,5R)-3,4-dihydroxy-2,5-bis(hydroxymethyl)oxolan-2-yl]oxy-3,4,5-trihydroxy-6-(hydroxymethyl)oxan-2-yl]-(E)-octadec-9-enoate</t>
  </si>
  <si>
    <t>InChI=1S/C30H54O13/c1-2-3-4-5-6-7-8-9-10-11-12-13-14-15-16-17-23(34)42-30(28(39)26(37)24(35)21(18-31)41-30)43-29(20-33)27(38)25(36)22(19-32)40-29/h9-10,21-22,24-28,31-33,35-39H,2-8,11-20H2,1H3/b10-9+/t21-,22-,24-,25-,26+,27+,28-,29?,30+/m1/s1</t>
  </si>
  <si>
    <t>HPPQWNPSADYETG-WLYWYRRFSA-N</t>
  </si>
  <si>
    <t>CCCCCCCC/C=C\CCCCCCCCN(C)C(=O)[C@H](O)[C@@H](O)[C@H](O)[C@H](O)CO</t>
  </si>
  <si>
    <t>10.1006/jcis.2001.7704</t>
  </si>
  <si>
    <t>N-oleyl-N-methylgluconamide</t>
  </si>
  <si>
    <t>InChI=1S/C25H49NO6/c1-3-4-5-6-7-8-9-10-11-12-13-14-15-16-17-18-19-26(2)25(32)24(31)23(30)22(29)21(28)20-27/h10-11,21-24,27-31H,3-9,12-20H2,1-2H3/b11-10-/t21-,22-,23+,24-/m1/s1</t>
  </si>
  <si>
    <t>LCDSWVJBQYHPMH-WZSMXJODSA-N</t>
  </si>
  <si>
    <t>CCCCCCCC/C=C\CCCCCCCCOC1OC(CO)C(OC2OC(CO)C(O)C(O)C2O)C(O)C1O</t>
  </si>
  <si>
    <t>10.1016/j.jcis.2004.10.039</t>
  </si>
  <si>
    <t>Oleyl-Î²-D-maltoside</t>
  </si>
  <si>
    <t>InChI=1S/C30H56O11/c1-2-3-4-5-6-7-8-9-10-11-12-13-14-15-16-17-18-38-29-27(37)25(35)28(22(20-32)40-29)41-30-26(36)24(34)23(33)21(19-31)39-30/h9-10,21-37H,2-8,11-20H2,1H3/b10-9-</t>
  </si>
  <si>
    <t>OSLHWOXBYRYOIB-KTKRTIGZSA-N</t>
  </si>
  <si>
    <t>OC1C(O)C(OC2OC(CO)C(O)C(O)C2O)C(CO)OC1OCCNC(CCCCCCC/C=C/CCCCCCCC)=O</t>
  </si>
  <si>
    <t>N-(oleoyl)-2-ethylamino]-Î²-D-maltoside</t>
  </si>
  <si>
    <t>InChI=1S/C32H61NO11/c1-3-5-6-7-8-9-10-11-12-13-14-15-16-17-18-19-20-41-33(4-2)31-28(39)27(38)30(24(22-35)42-31)44-32-29(40)26(37)25(36)23(21-34)43-32/h11-12,23-32,34-40H,3-10,13-22H2,1-2H3/b12-11-</t>
  </si>
  <si>
    <t>BSHRAMGBXGWKRM-QXMHVHEDSA-N</t>
  </si>
  <si>
    <t>CCCCCCCC/C=C\CCCCCCCCO[C@@H]1O[C@H](CO)[C@@H](O[C@H]2O[C@H](CO)[C@@H](O[C@H]3O[C@H](CO)[C@@H](O)[C@H](O)[C@H]3O)[C@H](O)[C@H]2O)[C@H](O)[C@H]1O</t>
  </si>
  <si>
    <t>Oleyl-Î²-D-maltotrioside</t>
  </si>
  <si>
    <t>InChI=1S/C36H66O16/c1-2-3-4-5-6-7-8-9-10-11-12-13-14-15-16-17-18-47-34-30(45)27(42)32(23(20-38)49-34)52-36-31(46)28(43)33(24(21-39)50-36)51-35-29(44)26(41)25(40)22(19-37)48-35/h9-10,22-46H,2-8,11-21H2,1H3/b10-9-/t22-,23-,24-,25-,26+,27-,28-,29-,30-,31-,32-,33-,34-,35-,36-/m1/s1</t>
  </si>
  <si>
    <t>WHWHZAJYKGAJMV-YYJOHXKCSA-N</t>
  </si>
  <si>
    <t>CCCCCCCC1=NCC[N+]1(CCCCCC[N+]1(CCNCCN)CCN=C1CCCCCCC)CCNCCN.[Br-].[Br-]</t>
  </si>
  <si>
    <t>10.1080/01932691.2019.1584112</t>
  </si>
  <si>
    <t>InChI=1S/C34H72N8.2BrH/c1-3-5-7-9-13-17-33-39-25-31-41(33,29-23-37-21-19-35)27-15-11-12-16-28-42(30-24-38-22-20-36)32-26-40-34(42)18-14-10-8-6-4-2;;/h37-38H,3-32,35-36H2,1-2H3;2*1H/q+2;;/p-2</t>
  </si>
  <si>
    <t>VBQZEXLLXGYMLM-UHFFFAOYSA-L</t>
  </si>
  <si>
    <t>CCCCCCCC=CCCCCCCCCC(=O)NCCC[N+](C)(C)CC=CC[N+](C)(C)CCCNC(=O)CCCCCCCC=CCCCCCCCC.[Br-].[Br-]</t>
  </si>
  <si>
    <t>10.1007/s11743-017-1969-1</t>
  </si>
  <si>
    <t>InChI=1S/C50H96N4O2.2BrH/c1-7-9-11-13-15-17-19-21-23-25-27-29-31-33-35-41-49(55)51-43-39-47-53(3,4)45-37-38-46-54(5,6)48-40-44-52-50(56)42-36-34-32-30-28-26-24-22-20-18-16-14-12-10-8-2;;/h19,21-22,24,37-38H,7-18,20,23,25-36,39-48H2,1-6H3;2*1H</t>
  </si>
  <si>
    <t>POODQRCMMGIDKG-UHFFFAOYSA-N</t>
  </si>
  <si>
    <t>CCCCCCCC=CCCCCCCCCC(=O)NCCC[N+](C)(C)CC=CC[N+](C)(C)CCCNC(=O)CCCCCCCC=CCCCCCCCC.[Cl-].[Cl-]</t>
  </si>
  <si>
    <t>InChI=1S/C50H96N4O2.2ClH/c1-7-9-11-13-15-17-19-21-23-25-27-29-31-33-35-41-49(55)51-43-39-47-53(3,4)45-37-38-46-54(5,6)48-40-44-52-50(56)42-36-34-32-30-28-26-24-22-20-18-16-14-12-10-8-2;;/h19,21-22,24,37-38H,7-18,20,23,25-36,39-48H2,1-6H3;2*1H</t>
  </si>
  <si>
    <t>JNKBDCMZSRVDIG-UHFFFAOYSA-N</t>
  </si>
  <si>
    <t>CCCCCCCCC(=O)N(C)CC(O)C(O)C(O)C(O)CO</t>
  </si>
  <si>
    <t>Nonanoyl-N-methylglucamine</t>
  </si>
  <si>
    <t>InChI=1S/C16H33NO6/c1-3-4-5-6-7-8-9-14(21)17(2)10-12(19)15(22)16(23)13(20)11-18/h12-13,15-16,18-20,22-23H,3-11H2,1-2H3</t>
  </si>
  <si>
    <t>GCRLIVCNZWDCDE-UHFFFAOYSA-N</t>
  </si>
  <si>
    <t>CCCCCCCCC(=O)NCCC[N+](C)(C)CC(O)C[N+](C)(C)CCCNC(=O)CCCCCCCC.[Cl-].[Cl-]</t>
  </si>
  <si>
    <t>10.1016/j.colsurfa.2018.11.061</t>
  </si>
  <si>
    <t>1,3-2(octylamidepropyldimethylammoniumchloride)isopropylalcohol</t>
  </si>
  <si>
    <t>InChI=1S/C31H64N4O3.2ClH/c1-7-9-11-13-15-17-21-30(37)32-23-19-25-34(3,4)27-29(36)28-35(5,6)26-20-24-33-31(38)22-18-16-14-12-10-8-2;;/h29,36H,7-28H2,1-6H3;2*1H</t>
  </si>
  <si>
    <t>VQWUNUCXLSNQMQ-UHFFFAOYSA-N</t>
  </si>
  <si>
    <t>CCCCCCCCC(=O)N[N+](C)(C)CCC[N+](C)(C)NC(=O)CCCCCCCC.[Br-].[Br-]</t>
  </si>
  <si>
    <t>10.1063/5.0051623</t>
  </si>
  <si>
    <t>InChI=1S/C25H52N4O2.2BrH/c1-7-9-11-13-15-17-20-24(30)26-28(3,4)22-19-23-29(5,6)27-25(31)21-18-16-14-12-10-8-2;;/h7-23H2,1-6H3;2*1H</t>
  </si>
  <si>
    <t>JGXZZFJNEFMIQI-UHFFFAOYSA-N</t>
  </si>
  <si>
    <t>CCCCCCCCC(=O)OC(C)C(=O)NCCC[N+](C)(C)C.COS(=O)(=O)[O-]</t>
  </si>
  <si>
    <t>InChI=1S/C18H36N2O3.CH4O4S/c1-6-7-8-9-10-11-13-17(21)23-16(2)18(22)19-14-12-15-20(3,4)5;1-5-6(2,3)4/h16H,6-15H2,1-5H3;1H3,(H,2,3,4)</t>
  </si>
  <si>
    <t>VNBFIWTWZLUABE-UHFFFAOYSA-N</t>
  </si>
  <si>
    <t>CCCCCCCCC(=O)OCC(COC(=O)CCCCCCCC)S(=O)(=O)[O-].[Na+]</t>
  </si>
  <si>
    <t>InChI=1S/C21H40O7S.Na/c1-3-5-7-9-11-13-15-20(22)27-17-19(29(24,25)26)18-28-21(23)16-14-12-10-8-6-4-2;/h19H,3-18H2,1-2H3,(H,24,25,26);/q;+1/p-1</t>
  </si>
  <si>
    <t>NECXBMUCCDPLDC-UHFFFAOYSA-M</t>
  </si>
  <si>
    <t>CCCCCCCCC(=O)OCCCCCC[N+](C)(C)CC(O)C[N+](C)(C)CCCCCCOC(=O)CCCCCCCC.[Cl-].[Cl-]</t>
  </si>
  <si>
    <t>10.1007/s11743-000-0121-4</t>
  </si>
  <si>
    <t>InChI=1S/C37H76N2O5.2ClH/c1-7-9-11-13-15-21-27-36(41)43-31-25-19-17-23-29-38(3,4)33-35(40)34-39(5,6)30-24-18-20-26-32-44-37(42)28-22-16-14-12-10-8-2;;/h35,40H,7-34H2,1-6H3;2*1H/q+2;;/p-2</t>
  </si>
  <si>
    <t>DDGRPLBWZKSSEE-UHFFFAOYSA-L</t>
  </si>
  <si>
    <t>CCCCCCCCC(=O)[O-].[K+]</t>
  </si>
  <si>
    <t>10.1021/j150457a013</t>
  </si>
  <si>
    <t>InChI=1S/C9H18O2.K/c1-2-3-4-5-6-7-8-9(10)11;/h2-8H2,1H3,(H,10,11);/q;+1/p-1</t>
  </si>
  <si>
    <t>WQEDQSDEIXNCCI-UHFFFAOYSA-M</t>
  </si>
  <si>
    <t>O=C([O-])C[N+](C)(C)CCCCCCCC</t>
  </si>
  <si>
    <t>10.1007/BF01500287</t>
  </si>
  <si>
    <t>2-(trimethylazaniumyl)decanoate</t>
  </si>
  <si>
    <t>InChI=1S/C13H27NO2/c1-5-6-7-8-9-10-11-12(13(15)16)14(2,3)4/h12H,5-11H2,1-4H3</t>
  </si>
  <si>
    <t>AATOGXGPMOMOQY-UHFFFAOYSA-N</t>
  </si>
  <si>
    <t>CCCCCCCCC(C)OS(=O)(=O)[O-].[Na+]</t>
  </si>
  <si>
    <t>sodium-decan-2-yl-sulfate</t>
  </si>
  <si>
    <t>InChI=1S/C10H22O4S.Na/c1-3-4-5-6-7-8-9-10(2)14-15(11,12)13;/h10H,3-9H2,1-2H3,(H,11,12,13);/q;+1/p-1</t>
  </si>
  <si>
    <t>UOCBNOYTNWINFD-UHFFFAOYSA-M</t>
  </si>
  <si>
    <t>CCCCCCCCC(C)O[C@@H]1O[C@H](CO)[C@@H](O)[C@H](O)[C@H]1O</t>
  </si>
  <si>
    <t>1-Methylnonyl-Î²-D-glucoside</t>
  </si>
  <si>
    <t>InChI=1S/C16H32O6/c1-3-4-5-6-7-8-9-11(2)21-16-15(20)14(19)13(18)12(10-17)22-16/h11-20H,3-10H2,1-2H3/t11?,12-,13-,14+,15-,16-/m1/s1</t>
  </si>
  <si>
    <t>NZGZLAJIQOCLBS-DJCOPSFNSA-N</t>
  </si>
  <si>
    <t>CCCCCCCCC(C)c1ccc(S(=O)(=O)[O-])cc1.[Na+]</t>
  </si>
  <si>
    <t>sodium-4-decan-2-ylbenzenesulfonate</t>
  </si>
  <si>
    <t>InChI=1S/C16H26O3S.Na/c1-3-4-5-6-7-8-9-14(2)15-10-12-16(13-11-15)20(17,18)19;/h10-14H,3-9H2,1-2H3,(H,17,18,19);/q;+1/p-1</t>
  </si>
  <si>
    <t>HJIRZYHOLOBQCA-UHFFFAOYSA-M</t>
  </si>
  <si>
    <t>CCCCCCCCC(CC)OS(=O)(=O)[O-].[Na+]</t>
  </si>
  <si>
    <t>sodium-undecan-3-ylsulfate</t>
  </si>
  <si>
    <t>InChI=1S/C11H24O4S.Na/c1-3-5-6-7-8-9-10-11(4-2)15-16(12,13)14;/h11H,3-10H2,1-2H3,(H,12,13,14);/q;+1/p-1</t>
  </si>
  <si>
    <t>UXPGWVKMWGDKBT-UHFFFAOYSA-M</t>
  </si>
  <si>
    <t>CCCCCCCCC(CC)c1ccc(S(=O)(=O)[O-])cc1.[Na+]</t>
  </si>
  <si>
    <t>sodium-4-undecan-3-yl-benzenesulfonate</t>
  </si>
  <si>
    <t>InChI=1S/C17H28O3S.Na/c1-3-5-6-7-8-9-10-15(4-2)16-11-13-17(14-12-16)21(18,19)20;/h11-15H,3-10H2,1-2H3,(H,18,19,20);/q;+1/p-1</t>
  </si>
  <si>
    <t>HUKUZKXWBQJYTO-UHFFFAOYSA-M</t>
  </si>
  <si>
    <t>CCCCCCCCC(CCC)S(=O)(=O)[O-].[Na+]</t>
  </si>
  <si>
    <t>sodium-dodecane-4-sulfonate</t>
  </si>
  <si>
    <t>InChI=1S/C12H26O3S.Na/c1-3-5-6-7-8-9-11-12(10-4-2)16(13,14)15;/h12H,3-11H2,1-2H3,(H,13,14,15);/q;+1/p-1</t>
  </si>
  <si>
    <t>NXTOJYRPCOIJLR-UHFFFAOYSA-M</t>
  </si>
  <si>
    <t>CCCCCCCCC(CCC)c1ccc(S(=O)(=O)[O-])cc1.[Na+]</t>
  </si>
  <si>
    <t>sodium-4-dodecan-4-ylbenzenesulfonate</t>
  </si>
  <si>
    <t>InChI=1S/C18H30O3S.Na/c1-3-5-6-7-8-9-11-16(10-4-2)17-12-14-18(15-13-17)22(19,20)21;/h12-16H,3-11H2,1-2H3,(H,19,20,21);/q;+1/p-1</t>
  </si>
  <si>
    <t>FKIHMDBMCCDUBP-UHFFFAOYSA-M</t>
  </si>
  <si>
    <t>CCCCCCCCC(CCCC)c1ccc(S(=O)(=O)[O-])cc1.[Na+]</t>
  </si>
  <si>
    <t>sodium-4-tridecan-5-ylbenzenesulfonate</t>
  </si>
  <si>
    <t>InChI=1S/C19H32O3S.Na/c1-3-5-7-8-9-10-12-17(11-6-4-2)18-13-15-19(16-14-18)23(20,21)22;/h13-17H,3-12H2,1-2H3,(H,20,21,22);/q;+1/p-1</t>
  </si>
  <si>
    <t>IOUKMWZWDKREQW-UHFFFAOYSA-M</t>
  </si>
  <si>
    <t>CCCCCCCCC(CCCCC)c1ccc(S(=O)(=O)[O-])cc1.[Na+]</t>
  </si>
  <si>
    <t>sodium-4-tetradecan-6-ylbenzenesulfonate</t>
  </si>
  <si>
    <t>InChI=1S/C20H34O3S.Na/c1-3-5-7-8-9-11-13-18(12-10-6-4-2)19-14-16-20(17-15-19)24(21,22)23;/h14-18H,3-13H2,1-2H3,(H,21,22,23);/q;+1/p-1</t>
  </si>
  <si>
    <t>IKKGZRJVRRZHPJ-UHFFFAOYSA-M</t>
  </si>
  <si>
    <t>CCCCCCCCC(CCCCCC)COCCOCCOCCOCCOCCOS(=O)(=O)[O-].[Na+]</t>
  </si>
  <si>
    <t>10.1016/0021-9797(90)90317-H</t>
  </si>
  <si>
    <t>InChI=1S/C26H54O9S.Na/c1-3-5-7-9-10-12-14-26(13-11-8-6-4-2)25-34-22-21-32-18-17-30-15-16-31-19-20-33-23-24-35-36(27,28)29;/h26H,3-25H2,1-2H3,(H,27,28,29);/q;+1/p-1</t>
  </si>
  <si>
    <t>FLWFLOUDCCMYBM-UHFFFAOYSA-M</t>
  </si>
  <si>
    <t>CCCCCCCCC(CCCCCC)COS(=O)(=O)[O-].[Na+]</t>
  </si>
  <si>
    <t>sodium-2-hexyldecyl-sulfate</t>
  </si>
  <si>
    <t>InChI=1S/C16H34O4S.Na/c1-3-5-7-9-10-12-14-16(13-11-8-6-4-2)15-20-21(17,18)19;/h16H,3-15H2,1-2H3,(H,17,18,19);/q;+1/p-1</t>
  </si>
  <si>
    <t>SLPFSOBFHLCNBM-UHFFFAOYSA-M</t>
  </si>
  <si>
    <t>CCCCCCCCC(CCCCCC)C[N+](C)(C)C.[Cl-]</t>
  </si>
  <si>
    <t>10.1007/s00396-015-3771-9</t>
  </si>
  <si>
    <t>Guerbet-cetyltrimethylammoniumchloride</t>
  </si>
  <si>
    <t>InChI=1S/C19H42N.ClH/c1-6-8-10-12-13-15-17-19(18-20(3,4)5)16-14-11-9-7-2;/h19H,6-18H2,1-5H3;1H/q+1;/p-1</t>
  </si>
  <si>
    <t>RDHQHZHKYWOVBL-UHFFFAOYSA-M</t>
  </si>
  <si>
    <t>CCCCCCCCC(CCCCCC)c1ccc(S(=O)(=O)[O-])cc1.[Na+]</t>
  </si>
  <si>
    <t>sodium-4-pentadecan-7-ylbenzenesulfonate</t>
  </si>
  <si>
    <t>InChI=1S/C21H36O3S.Na/c1-3-5-7-9-10-12-14-19(13-11-8-6-4-2)20-15-17-21(18-16-20)25(22,23)24;/h15-19H,3-14H2,1-2H3,(H,22,23,24);/q;+1/p-1</t>
  </si>
  <si>
    <t>DQMSDODRZBOQJH-UHFFFAOYSA-M</t>
  </si>
  <si>
    <t>CCCCCCCCC(CCCCCCC)OS(=O)(=O)[O-].[Na+]</t>
  </si>
  <si>
    <t>sodium-hexadecan-8-yl-sulfate</t>
  </si>
  <si>
    <t>InChI=1S/C16H34O4S.Na/c1-3-5-7-9-11-13-15-16(20-21(17,18)19)14-12-10-8-6-4-2;/h16H,3-15H2,1-2H3,(H,17,18,19);/q;+1/p-1</t>
  </si>
  <si>
    <t>AXFVBAZQNRELFG-UHFFFAOYSA-M</t>
  </si>
  <si>
    <t>CCCCCCCCC(CCCCCCCC)C[N+](C)(C)CCO.[Cl-]</t>
  </si>
  <si>
    <t>10.1039/C5RA22115C</t>
  </si>
  <si>
    <t>InChI=1S/C22H48NO.ClH/c1-5-7-9-11-13-15-17-22(21-23(3,4)19-20-24)18-16-14-12-10-8-6-2;/h22,24H,5-21H2,1-4H3;1H/q+1;/p-1</t>
  </si>
  <si>
    <t>QEUOEZHMKXTIPA-UHFFFAOYSA-M</t>
  </si>
  <si>
    <t>CCCCCCCCC(CCCCCCCC)OS(=O)(=O)[O-].[Na+]</t>
  </si>
  <si>
    <t>sodium-heptadecan-9-yl-sulfate</t>
  </si>
  <si>
    <t>InChI=1S/C17H36O4S.Na/c1-3-5-7-9-11-13-15-17(21-22(18,19)20)16-14-12-10-8-6-4-2;/h17H,3-16H2,1-2H3,(H,18,19,20);/q;+1/p-1</t>
  </si>
  <si>
    <t>YENCWIBAQRGAMK-UHFFFAOYSA-M</t>
  </si>
  <si>
    <t>CCCCCCCCC(O)C(O)CCCCCCCC(=O)NCCCO</t>
  </si>
  <si>
    <t>InChI=1S/C21H43NO4/c1-2-3-4-5-7-10-14-19(24)20(25)15-11-8-6-9-12-16-21(26)22-17-13-18-23/h19-20,23-25H,2-18H2,1H3,(H,22,26)</t>
  </si>
  <si>
    <t>JYVFXJZRTGQALN-UHFFFAOYSA-N</t>
  </si>
  <si>
    <t>CCCCCCCCC(O)C(O)CCCCCCCC(=O)NCCO</t>
  </si>
  <si>
    <t>InChI=1S/C20H41NO4/c1-2-3-4-5-7-10-13-18(23)19(24)14-11-8-6-9-12-15-20(25)21-16-17-22/h18-19,22-24H,2-17H2,1H3,(H,21,25)</t>
  </si>
  <si>
    <t>XUTGMKCKJJYMGA-UHFFFAOYSA-N</t>
  </si>
  <si>
    <t>CCCCCCCCC(O)CCO</t>
  </si>
  <si>
    <t>10.1002/0471670561</t>
  </si>
  <si>
    <t>10.1021/j100442a021</t>
  </si>
  <si>
    <t>undecane-1,3-diol</t>
  </si>
  <si>
    <t>InChI=1S/C11H24O2/c1-2-3-4-5-6-7-8-11(13)9-10-12/h11-13H,2-10H2,1H3</t>
  </si>
  <si>
    <t>CSFUNXXUTSRHPN-UHFFFAOYSA-N</t>
  </si>
  <si>
    <t>CCCCCCCCC(O)CO</t>
  </si>
  <si>
    <t>['10.1016/j.ces.2022.118208', '10.1002/9781118228920.ch5']</t>
  </si>
  <si>
    <t>decane-1,2-diol</t>
  </si>
  <si>
    <t>InChI=1S/C10H22O2/c1-2-3-4-5-6-7-8-10(12)9-11/h10-12H,2-9H2,1H3</t>
  </si>
  <si>
    <t>YSRSBDQINUMTIF-UHFFFAOYSA-N</t>
  </si>
  <si>
    <t>CCCCCCCCC(O)OCCc1ccc(S(=O)(=O)[O-])cc1.[Na+]</t>
  </si>
  <si>
    <t>InChI=1S/C17H28O5S.Na/c1-2-3-4-5-6-7-8-17(18)22-14-13-15-9-11-16(12-10-15)23(19,20)21;/h9-12,17-18H,2-8,13-14H2,1H3,(H,19,20,21);/q;+1/p-1</t>
  </si>
  <si>
    <t>DMMZHWYKSAZXCH-UHFFFAOYSA-M</t>
  </si>
  <si>
    <t>CCCCCCCCO[C@@H]1O[C@@H]([C@H]([C@@H]([C@H]1O)O)O)CO</t>
  </si>
  <si>
    <t>InChI=1S/C14H28O6/c1-2-3-4-5-6-7-8-9(15)13-11(17)10(16)12(18)14(19)20-13/h9-19H,2-8H2,1H3/t9?,10-,11-,12+,13+,14?/m0/s1</t>
  </si>
  <si>
    <t>JRHXHBKBMVODIN-PTQHIHJNSA-N</t>
  </si>
  <si>
    <t>CCCCCCCCC1(C)OCC(C[N+](C)(C)C)O1.[Br-]</t>
  </si>
  <si>
    <t>InChI=1S/C16H34NO2.BrH/c1-6-7-8-9-10-11-12-16(2)18-14-15(19-16)13-17(3,4)5;/h15H,6-14H2,1-5H3;1H/q+1;/p-1</t>
  </si>
  <si>
    <t>CCCNVEMEJBPCLA-UHFFFAOYSA-M</t>
  </si>
  <si>
    <t>C[N+](C)(C)CC(O1)COC1CCCCCCCCC.[Br-]</t>
  </si>
  <si>
    <t>InChI=1S/C15H32NO2.BrH/c1-5-6-7-8-9-10-11-15-17-13-14(18-15)12-16(2,3)4;/h14-15H,5-13H2,1-4H3;1H/q+1;/p-1</t>
  </si>
  <si>
    <t>IOOJSWIERMEORH-UHFFFAOYSA-M</t>
  </si>
  <si>
    <t>CCCCCCCCC=CCCCCCCCC(=O)NCCC[N+](C)(C)CCCCCC[N+](C)(C)CCCNC(=O)CCCCCCCC=CCCCCCCCC.[Br-].[Br-]</t>
  </si>
  <si>
    <t>[3-({6-[(3-oleamidopropyl)-dimethyl-amino]-hexyl}-dimethyl-amino)-propyl]-amidedibromid</t>
  </si>
  <si>
    <t>InChI=1S/C52H102N4O2.2BrH/c1-7-9-11-13-15-17-19-21-23-25-27-29-31-33-37-43-51(57)53-45-41-49-55(3,4)47-39-35-36-40-48-56(5,6)50-42-46-54-52(58)44-38-34-32-30-28-26-24-22-20-18-16-14-12-10-8-2;;/h21-24H,7-20,25-50H2,1-6H3;2*1H</t>
  </si>
  <si>
    <t>ISNBIYJWHRLPLJ-UHFFFAOYSA-N</t>
  </si>
  <si>
    <t>CCCCCCCCC=CCCCCCCCC(=O)NCCC[N+](C)(C)CCCC[N+](C)(C)CCCNC(=O)CCCCCCCC=CCCCCCCCC.[Br-].[Br-]</t>
  </si>
  <si>
    <t>3-({4-[(3-Oleamidopropyl)-dimethyl-amino]-butyl}-dimethyl-amino)-propyl]-amidedibromide</t>
  </si>
  <si>
    <t>InChI=1S/C50H98N4O2.2BrH/c1-7-9-11-13-15-17-19-21-23-25-27-29-31-33-35-41-49(55)51-43-39-47-53(3,4)45-37-38-46-54(5,6)48-40-44-52-50(56)42-36-34-32-30-28-26-24-22-20-18-16-14-12-10-8-2;;/h21-24H,7-20,25-48H2,1-6H3;2*1H</t>
  </si>
  <si>
    <t>CKGGZQTTZNWEOA-UHFFFAOYSA-N</t>
  </si>
  <si>
    <t>CCCCCCCC/C=C/CCCCCCCC(OCCOCC(C1OCC(OCCO)C1OCCO)OCCO)=O</t>
  </si>
  <si>
    <t>POE(20) sorbitan monooleate</t>
  </si>
  <si>
    <t>InChI=1S/C32H60O10/c1-2-3-4-5-6-7-8-9-10-11-12-13-14-15-16-17-30(36)40-25-24-37-27-29(39-22-19-34)32-28(38-21-18-33)26-31(42-32)41-23-20-35/h9-10,28-29,31-35H,2-8,11-27H2,1H3</t>
  </si>
  <si>
    <t>RGPBUVUVZKQNHD-UHFFFAOYSA-N</t>
  </si>
  <si>
    <t>CCCCCCCCC=COOCCOCCOCCOCCOCCOCC</t>
  </si>
  <si>
    <t>InChI=1S/C22H44O7/c1-3-5-6-7-8-9-10-11-12-28-29-22-21-27-20-19-26-18-17-25-16-15-24-14-13-23-4-2/h11-12H,3-10,13-22H2,1-2H3</t>
  </si>
  <si>
    <t>NNGBFCMDABVPKF-UHFFFAOYSA-N</t>
  </si>
  <si>
    <t>CCCCCCCCC=COOCCOCCOCCOCCOCCOCCOCCOCCOCC</t>
  </si>
  <si>
    <t>InChI=1S/C28H56O10/c1-3-5-6-7-8-9-10-11-12-37-38-28-27-36-26-25-35-24-23-34-22-21-33-20-19-32-18-17-31-16-15-30-14-13-29-4-2/h11-12H,3-10,13-28H2,1-2H3</t>
  </si>
  <si>
    <t>WYUVJGKWXMKHEA-UHFFFAOYSA-N</t>
  </si>
  <si>
    <t>CCCCCCCCCC(=O)CC(=O)NC1CCOC1=O</t>
  </si>
  <si>
    <t>3-oxo-N-(2-oxooxolan-3-yl)dodecanamide</t>
  </si>
  <si>
    <t>InChI=1S/C16H27NO4/c1-2-3-4-5-6-7-8-9-13(18)12-15(19)17-14-10-11-21-16(14)20/h14H,2-12H2,1H3,(H,17,19)</t>
  </si>
  <si>
    <t>PHSRRHGYXQCRPU-UHFFFAOYSA-N</t>
  </si>
  <si>
    <t>CCCCCCCCCC(=O)N(C)CC(O)C(O)C(O)C(O)CO</t>
  </si>
  <si>
    <t>Decanoyl-N-methylglucamine</t>
  </si>
  <si>
    <t>InChI=1S/C17H35NO6/c1-3-4-5-6-7-8-9-10-15(22)18(2)11-13(20)16(23)17(24)14(21)12-19/h13-14,16-17,19-21,23-24H,3-12H2,1-2H3</t>
  </si>
  <si>
    <t>UMWKZHPREXJQGR-UHFFFAOYSA-N</t>
  </si>
  <si>
    <t>CCCCCCCCCC(NC(C(OC)=O)CCCNC(N)=[NH2+])=O.[Cl-]</t>
  </si>
  <si>
    <t>10.1016/j.crci.2004.02.009</t>
  </si>
  <si>
    <t>Î±-N-octyl-arginine-methylesterhydrochloride</t>
  </si>
  <si>
    <t>InChI=1S/C17H34N4O3.ClH/c1-3-4-5-6-7-8-9-12-15(22)21-14(16(23)24-2)11-10-13-20-17(18)19;/h14,17,20H,3-13,18H2,1-2H3,(H,21,22);1H/q+1;/p-1</t>
  </si>
  <si>
    <t>OCCPZSUCMJQSRI-UHFFFAOYSA-M</t>
  </si>
  <si>
    <t>CN(C(CCCCCCCCC)=O)C[C@H](O)[C@@H](O)[C@H](O[C@@H]1O[C@H](CO)[C@@H](O)[C@H](O)[C@H]1O)[C@H](O)CO</t>
  </si>
  <si>
    <t>10.1007/s11743-001-0169-1</t>
  </si>
  <si>
    <t>N-decanoyl-N-methyllactitolamine</t>
  </si>
  <si>
    <t>InChI=1S/C22H43NO12/c1-2-3-4-5-6-7-8-9-14(28)23-21(33)20-17(31)16(30)18(32)22(35-20)34-19(13(27)11-25)15(29)12(26)10-24/h12-13,15-22,24-27,29-33H,2-11H2,1H3,(H,23,28)/t12-,13+,15+,16-,17+,18+,19+,20-,21?,22+/m0/s1</t>
  </si>
  <si>
    <t>QPJPEEFDMWZCTO-NRMQJZHZSA-N</t>
  </si>
  <si>
    <t>CCCCCCCCCC(=O)N[N+](C)(C)CCC[N+](C)(C)NC(=O)CCCCCCCCC.[Br-].[Br-]</t>
  </si>
  <si>
    <t>10.5650/jos.59.647</t>
  </si>
  <si>
    <t>1,3-bis(N'-nonyl-N,N-dimethylhydrazinium)propanedibromide</t>
  </si>
  <si>
    <t>InChI=1S/C27H56N4O2.2BrH/c1-7-9-11-13-15-17-19-22-26(32)28-30(3,4)24-21-25-31(5,6)29-27(33)23-20-18-16-14-12-10-8-2;;/h7-25H2,1-6H3;2*1H</t>
  </si>
  <si>
    <t>HBFTXAVCPCIJPF-UHFFFAOYSA-N</t>
  </si>
  <si>
    <t>CCCCCCCCCC(=O)OC(C)C(=O)NCCCN(C)C</t>
  </si>
  <si>
    <t>InChI=1S/C18H36N2O3/c1-5-6-7-8-9-10-11-13-17(21)23-16(2)18(22)19-14-12-15-20(3)4/h16H,5-15H2,1-4H3,(H,19,22)</t>
  </si>
  <si>
    <t>NYDUTWQZXWIAKG-UHFFFAOYSA-N</t>
  </si>
  <si>
    <t>CCCCCCCCCC(=O)OC(C)C(=O)NCCC[N+](C)(C)C.COS(=O)(=O)[O-]</t>
  </si>
  <si>
    <t>InChI=1S/C19H38N2O3.CH4O4S/c1-6-7-8-9-10-11-12-14-18(22)24-17(2)19(23)20-15-13-16-21(3,4)5;1-5-6(2,3)4/h17H,6-16H2,1-5H3;1H3,(H,2,3,4)</t>
  </si>
  <si>
    <t>FZQLMAJMWGQBNE-UHFFFAOYSA-N</t>
  </si>
  <si>
    <t>CCCCCCCCCC(=O)OCC(C)[N+](C)(C)CC(O)CN(CCCCCC)CC(O)C[N+](C)(C)C(C)COC(=O)CCCCCCCCC.[Cl-].[Cl-]</t>
  </si>
  <si>
    <t>10.1002/9781119075691.ch43</t>
  </si>
  <si>
    <t>InChI=1S/C42H87N3O6.2ClH/c1-10-13-16-19-21-23-25-28-41(48)50-35-37(4)44(6,7)33-39(46)31-43(30-27-18-15-12-3)32-40(47)34-45(8,9)38(5)36-51-42(49)29-26-24-22-20-17-14-11-2;;/h37-40,46-47H,10-36H2,1-9H3;2*1H/q+2;;/p-2</t>
  </si>
  <si>
    <t>FOTGGAHCKJYDFA-UHFFFAOYSA-L</t>
  </si>
  <si>
    <t>CCCCCCCCCC(=O)OCC(C)[N+](C)(C)CC(O)CN(CCCCCCCC)CC(O)C[N+](C)(C)C(C)COC(=O)CCCCCCCCC.[Cl-].[Cl-]</t>
  </si>
  <si>
    <t>InChI=1S/C44H91N3O6.2ClH/c1-10-13-16-19-22-24-27-30-43(50)52-37-39(4)46(6,7)35-41(48)33-45(32-29-26-21-18-15-12-3)34-42(49)36-47(8,9)40(5)38-53-44(51)31-28-25-23-20-17-14-11-2;;/h39-42,48-49H,10-38H2,1-9H3;2*1H/q+2;;/p-2</t>
  </si>
  <si>
    <t>WNCFIGLUSWSZER-UHFFFAOYSA-L</t>
  </si>
  <si>
    <t>CCCCCCCCCC(=O)OCC(O)C(O)C(O)CO</t>
  </si>
  <si>
    <t>2,3,4,5-tetrahydroxypentyl-decanoat</t>
  </si>
  <si>
    <t>InChI=1S/C15H30O6/c1-2-3-4-5-6-7-8-9-14(19)21-11-13(18)15(20)12(17)10-16/h12-13,15-18,20H,2-11H2,1H3</t>
  </si>
  <si>
    <t>SPDVSBZLQSVXPN-UHFFFAOYSA-N</t>
  </si>
  <si>
    <t>CCCCCCCCCC(=O)OCC1OC(OCCC[N+](C)(C)C)C(O)C(O)C1O.[I-]</t>
  </si>
  <si>
    <t>10.1007/s11743-998-0005-7</t>
  </si>
  <si>
    <t>InChI=1S/C22H44NO7.HI/c1-5-6-7-8-9-10-11-13-18(24)29-16-17-19(25)20(26)21(27)22(30-17)28-15-12-14-23(2,3)4;/h17,19-22,25-27H,5-16H2,1-4H3;1H/q+1;/p-1</t>
  </si>
  <si>
    <t>SHGBERJUANUZIB-UHFFFAOYSA-M</t>
  </si>
  <si>
    <t>CCCCCCCCCC(=O)OCCC[N+](C)(C)CC(O)CN(CCCC)CC(O)C[N+](C)(C)CCCOC(=O)CCCCCCCCC.[Cl-].[Cl-]</t>
  </si>
  <si>
    <t>10.1007/s11743-015-1749-8</t>
  </si>
  <si>
    <t>bis{2-hydroxy-3-[3-(decanoyloxy)propyldimethylammonio]propyl}butylaminedichloride</t>
  </si>
  <si>
    <t>InChI=1S/C40H83N3O6.2ClH/c1-8-11-14-16-18-20-22-26-39(46)48-31-24-29-42(4,5)35-37(44)33-41(28-13-10-3)34-38(45)36-43(6,7)30-25-32-49-40(47)27-23-21-19-17-15-12-9-2;;/h37-38,44-45H,8-36H2,1-7H3;2*1H/q+2;;/p-2</t>
  </si>
  <si>
    <t>RGVSMAREYXBZOJ-UHFFFAOYSA-L</t>
  </si>
  <si>
    <t>CCCCCCCCCC(=O)OCCC[N+](C)(C)CC(O)CN(CCCCC)CC(O)C[N+](C)(C)CCCOC(=O)CCCCCCCCC.[Cl-].[Cl-]</t>
  </si>
  <si>
    <t>bis{2-hydroxy-3-[3-(decanoyloxy)propyldimethylammonio]propyl}pentylaminedichloride</t>
  </si>
  <si>
    <t>InChI=1S/C41H85N3O6.2ClH/c1-8-11-14-16-18-20-22-27-40(47)49-32-25-30-43(4,5)36-38(45)34-42(29-24-13-10-3)35-39(46)37-44(6,7)31-26-33-50-41(48)28-23-21-19-17-15-12-9-2;;/h38-39,45-46H,8-37H2,1-7H3;2*1H/q+2;;/p-2</t>
  </si>
  <si>
    <t>JIYWFFKXTREEIZ-UHFFFAOYSA-L</t>
  </si>
  <si>
    <t>CCCCCCCCCC(=O)OCCC[N+](C)(C)CC(O)CN(CCCCCC)CC(O)C[N+](C)(C)CCCOC(=O)CCCCCCCCC.[Cl-].[Cl-]</t>
  </si>
  <si>
    <t>bis{2-hydroxy-3-[3-(decanoyloxy)propyldimethylammonio]propyl}hexylaminedichloride</t>
  </si>
  <si>
    <t>InChI=1S/C42H87N3O6.2ClH/c1-8-11-14-17-19-21-23-28-41(48)50-33-26-31-44(4,5)37-39(46)35-43(30-25-16-13-10-3)36-40(47)38-45(6,7)32-27-34-51-42(49)29-24-22-20-18-15-12-9-2;;/h39-40,46-47H,8-38H2,1-7H3;2*1H/q+2;;/p-2</t>
  </si>
  <si>
    <t>NZNLAHZRPKCVLK-UHFFFAOYSA-L</t>
  </si>
  <si>
    <t>CCCCCCCCCC(=O)OCCC[N+](C)(C)CC(O)CN(CCCCCCCC)CC(O)C[N+](C)(C)CCCOC(=O)CCCCCCCCC.[Cl-].[Cl-]</t>
  </si>
  <si>
    <t>bis{2-hydroxy-3-[3-(decanoyloxy)propyldimethylammonio]propyl}octylaminedichloride</t>
  </si>
  <si>
    <t>InChI=1S/C44H91N3O6.2ClH/c1-8-11-14-17-20-22-25-30-43(50)52-35-28-33-46(4,5)39-41(48)37-45(32-27-24-19-16-13-10-3)38-42(49)40-47(6,7)34-29-36-53-44(51)31-26-23-21-18-15-12-9-2;;/h41-42,48-49H,8-40H2,1-7H3;2*1H/q+2;;/p-2</t>
  </si>
  <si>
    <t>PTTZXJBCTDEYLO-UHFFFAOYSA-L</t>
  </si>
  <si>
    <t>CCCCCCCCCC(C)c1ccc(S(=O)(=O)[O-])cc1.[Na+]</t>
  </si>
  <si>
    <t>sodium-4-undecan-2-ylbenzenesulfonate</t>
  </si>
  <si>
    <t>InChI=1S/C17H28O3S.Na/c1-3-4-5-6-7-8-9-10-15(2)16-11-13-17(14-12-16)21(18,19)20;/h11-15H,3-10H2,1-2H3,(H,18,19,20);/q;+1/p-1</t>
  </si>
  <si>
    <t>MGTLTWIVDSLGTB-UHFFFAOYSA-M</t>
  </si>
  <si>
    <t>CCCCCCCCCC(CC)S(=O)(=O)[O-].[Na+]</t>
  </si>
  <si>
    <t>sodium-dodecane-3-sulfonate</t>
  </si>
  <si>
    <t>InChI=1S/C12H26O3S.Na/c1-3-5-6-7-8-9-10-11-12(4-2)16(13,14)15;/h12H,3-11H2,1-2H3,(H,13,14,15);/q;+1/p-1</t>
  </si>
  <si>
    <t>YZSGJXCGQVBJPC-UHFFFAOYSA-M</t>
  </si>
  <si>
    <t>CCCCCCCCCC(CC)c1ccc(S(=O)(=O)[O-])cc1.[Na+]</t>
  </si>
  <si>
    <t>sodium-4-dodecan-3-ylbenzenesulfonate</t>
  </si>
  <si>
    <t>InChI=1S/C18H30O3S.Na/c1-3-5-6-7-8-9-10-11-16(4-2)17-12-14-18(15-13-17)22(19,20)21;/h12-16H,3-11H2,1-2H3,(H,19,20,21);/q;+1/p-1</t>
  </si>
  <si>
    <t>HOXWFOVSCUWIEH-UHFFFAOYSA-M</t>
  </si>
  <si>
    <t>CCCCCCCCCC(CCCC)OS(=O)(=O)[O-].[Na+]</t>
  </si>
  <si>
    <t>InChI=1S/C14H30O4S.Na/c1-3-5-7-8-9-10-11-13-14(12-6-4-2)18-19(15,16)17;/h14H,3-13H2,1-2H3,(H,15,16,17);/q;+1/p-1</t>
  </si>
  <si>
    <t>BGJXARRBURWIBO-UHFFFAOYSA-M</t>
  </si>
  <si>
    <t>CCCCCCCCCC(CCCC)c1ccc(S(=O)(=O)[O-])cc1.[Na+]</t>
  </si>
  <si>
    <t>sodium-4-tetradecan-5-ylbenzenesulfonate</t>
  </si>
  <si>
    <t>InChI=1S/C20H34O3S.Na/c1-3-5-7-8-9-10-11-13-18(12-6-4-2)19-14-16-20(17-15-19)24(21,22)23;/h14-18H,3-13H2,1-2H3,(H,21,22,23);/q;+1/p-1</t>
  </si>
  <si>
    <t>HKNHOXMZULQSDS-UHFFFAOYSA-M</t>
  </si>
  <si>
    <t>CCCCCCCCCC(CCCCC)COS(=O)(=O)[O-].[Na+]</t>
  </si>
  <si>
    <t>sodium-2-pentylundecyl-sulfate</t>
  </si>
  <si>
    <t>InChI=1S/C16H34O4S.Na/c1-3-5-7-8-9-10-12-14-16(13-11-6-4-2)15-20-21(17,18)19;/h16H,3-15H2,1-2H3,(H,17,18,19);/q;+1/p-1</t>
  </si>
  <si>
    <t>JBKLJEFTCHUXPY-UHFFFAOYSA-M</t>
  </si>
  <si>
    <t>CCCCCCCCCC(CCCCC)c1ccc(S(=O)(=O)[O-])cc1.[Na+]</t>
  </si>
  <si>
    <t>sodium-4-pentadecan-6-ylbenzenesulfonate</t>
  </si>
  <si>
    <t>InChI=1S/C21H36O3S.Na/c1-3-5-7-8-9-10-12-14-19(13-11-6-4-2)20-15-17-21(18-16-20)25(22,23)24;/h15-19H,3-14H2,1-2H3,(H,22,23,24);/q;+1/p-1</t>
  </si>
  <si>
    <t>PVPXMHJRFLJKQW-UHFFFAOYSA-M</t>
  </si>
  <si>
    <t>CCCCCCCCCC(CCCCCCCCC)OS(=O)(=O)[O-].[Na+]</t>
  </si>
  <si>
    <t>sodium-nonadecan-10-ylsulfate</t>
  </si>
  <si>
    <t>InChI=1S/C19H40O4S.Na/c1-3-5-7-9-11-13-15-17-19(23-24(20,21)22)18-16-14-12-10-8-6-4-2;/h19H,3-18H2,1-2H3,(H,20,21,22);/q;+1/p-1</t>
  </si>
  <si>
    <t>NDCORKBQGDAFNT-UHFFFAOYSA-M</t>
  </si>
  <si>
    <t>CCCCCCCCCC(CCCCCCCC[N+](C)(C)CCCCCC[N+](C)(C)CCCCCCCCC(CCCCCCCCC)c1cc(C)cc(C)c1)c1cc(C)cc(C)c1.[Br-].[Br-]</t>
  </si>
  <si>
    <t>10.1039/c9sm01086f</t>
  </si>
  <si>
    <t>InChI=1S/C62H114N2.2BrH/c1-11-13-15-17-19-25-33-41-59(61-51-55(3)49-56(4)52-61)43-35-27-21-23-29-37-45-63(7,8)47-39-31-32-40-48-64(9,10)46-38-30-24-22-28-36-44-60(42-34-26-20-18-16-14-12-2)62-53-57(5)50-58(6)54-62;;/h49-54,59-60H,11-48H2,1-10H3;2*1H/q+2;;/p-2</t>
  </si>
  <si>
    <t>VEVREVBZJPRFRO-UHFFFAOYSA-L</t>
  </si>
  <si>
    <t>CCCCCCCCCC(CCCCCCCC[N+](C)(C)CCC[N+](C)(C)CCCCCCCCC(CCCCCCCCC)c1cc(C)cc(C)c1)c1cc(C)cc(C)c1.[Br-].[Br-]</t>
  </si>
  <si>
    <t>InChI=1S/C59H108N2.2BrH/c1-11-13-15-17-19-25-31-38-56(58-48-52(3)46-53(4)49-58)40-33-27-21-23-29-35-42-60(7,8)44-37-45-61(9,10)43-36-30-24-22-28-34-41-57(39-32-26-20-18-16-14-12-2)59-50-54(5)47-55(6)51-59;;/h46-51,56-57H,11-45H2,1-10H3;2*1H/q+2;;/p-2</t>
  </si>
  <si>
    <t>BVYOHIDQJJMEAF-UHFFFAOYSA-L</t>
  </si>
  <si>
    <t>CCCCCCCCCC(CCS(=O)(=O)[O-])OC(C)C.[Na+]</t>
  </si>
  <si>
    <t>InChI=1S/C15H32O4S.Na/c1-4-5-6-7-8-9-10-11-15(19-14(2)3)12-13-20(16,17)18;/h14-15H,4-13H2,1-3H3,(H,16,17,18);/q;+1/p-1</t>
  </si>
  <si>
    <t>YJLOBVPNCGYLGP-UHFFFAOYSA-M</t>
  </si>
  <si>
    <t>CCCCCCCCCC(CCS(=O)(=O)[O-])OC(CC)CCCCC.[Na+]</t>
  </si>
  <si>
    <t>InChI=1S/C20H42O4S.Na/c1-4-7-9-10-11-12-14-16-20(17-18-25(21,22)23)24-19(6-3)15-13-8-5-2;/h19-20H,4-18H2,1-3H3,(H,21,22,23);/q;+1/p-1</t>
  </si>
  <si>
    <t>YINBNSHRTPJDIN-UHFFFAOYSA-M</t>
  </si>
  <si>
    <t>CCCCCCCCCC(CCS(=O)(=O)[O-])OC.[Na+]</t>
  </si>
  <si>
    <t>InChI=1S/C13H28O4S.Na/c1-3-4-5-6-7-8-9-10-13(17-2)11-12-18(14,15)16;/h13H,3-12H2,1-2H3,(H,14,15,16);/q;+1/p-1</t>
  </si>
  <si>
    <t>MLYAMXCMIBEQGK-UHFFFAOYSA-M</t>
  </si>
  <si>
    <t>CCCCCCCCCC(CCS(=O)(=O)[O-])OCC.[Na+]</t>
  </si>
  <si>
    <t>InChI=1S/C14H30O4S.Na/c1-3-5-6-7-8-9-10-11-14(18-4-2)12-13-19(15,16)17;/h14H,3-13H2,1-2H3,(H,15,16,17);/q;+1/p-1</t>
  </si>
  <si>
    <t>XOZXIGCVIHULPH-UHFFFAOYSA-M</t>
  </si>
  <si>
    <t>CCCCCCCCCC(CCS(=O)(=O)[O-])OCCC.[Na+]</t>
  </si>
  <si>
    <t>InChI=1S/C15H32O4S.Na/c1-3-5-6-7-8-9-10-11-15(19-13-4-2)12-14-20(16,17)18;/h15H,3-14H2,1-2H3,(H,16,17,18);/q;+1/p-1</t>
  </si>
  <si>
    <t>LRUVEYGSMQTUOO-UHFFFAOYSA-M</t>
  </si>
  <si>
    <t>CCCCCCCCCC(CCS(=O)(=O)[O-])OCCCC.[Na+]</t>
  </si>
  <si>
    <t>InChI=1S/C16H34O4S.Na/c1-3-5-7-8-9-10-11-12-16(20-14-6-4-2)13-15-21(17,18)19;/h16H,3-15H2,1-2H3,(H,17,18,19);/q;+1/p-1</t>
  </si>
  <si>
    <t>DTWOCEVECSBBGL-UHFFFAOYSA-M</t>
  </si>
  <si>
    <t>CCCCCCCCCC(CCS(=O)(=O)[O-])OCCCCCC.[Na+]</t>
  </si>
  <si>
    <t>InChI=1S/C18H38O4S.Na/c1-3-5-7-9-10-11-12-14-18(15-17-23(19,20)21)22-16-13-8-6-4-2;/h18H,3-17H2,1-2H3,(H,19,20,21);/q;+1/p-1</t>
  </si>
  <si>
    <t>IQMWKWREFPLTJR-UHFFFAOYSA-M</t>
  </si>
  <si>
    <t>CCCCCCCCCC(CCS(=O)(=O)[O-])OCCCCCCCC.[Na+]</t>
  </si>
  <si>
    <t>InChI=1S/C20H42O4S.Na/c1-3-5-7-9-11-12-14-16-20(17-19-25(21,22)23)24-18-15-13-10-8-6-4-2;/h20H,3-19H2,1-2H3,(H,21,22,23);/q;+1/p-1</t>
  </si>
  <si>
    <t>WBMVFSKWXVKWJV-UHFFFAOYSA-M</t>
  </si>
  <si>
    <t>CCCCCCCCCC(CCS(=O)(=O)[O-])Oc1ccccc1.[Na+]</t>
  </si>
  <si>
    <t>InChI=1S/C18H30O4S.Na/c1-2-3-4-5-6-7-9-14-18(15-16-23(19,20)21)22-17-12-10-8-11-13-17;/h8,10-13,18H,2-7,9,14-16H2,1H3,(H,19,20,21);/q;+1/p-1</t>
  </si>
  <si>
    <t>PCDUQPIFUKPWKP-UHFFFAOYSA-M</t>
  </si>
  <si>
    <t>CCCCCCCCCC(CS(=O)(=O)[O-])OCO.[Na+]</t>
  </si>
  <si>
    <t>InChI=1S/C12H26O5S.Na/c1-2-3-4-5-6-7-8-9-12(17-11-13)10-18(14,15)16;/h12-13H,2-11H2,1H3,(H,14,15,16);/q;+1/p-1</t>
  </si>
  <si>
    <t>HJVUEHFJDQMRSB-UHFFFAOYSA-M</t>
  </si>
  <si>
    <t>CCCCCCCCCC(O)CCS(=O)(=O)[O-].[Na+]</t>
  </si>
  <si>
    <t>sodium-3-hydroxydodecane-1-sulfonate</t>
  </si>
  <si>
    <t>InChI=1S/C12H26O4S.Na/c1-2-3-4-5-6-7-8-9-12(13)10-11-17(14,15)16;/h12-13H,2-11H2,1H3,(H,14,15,16);/q;+1/p-1</t>
  </si>
  <si>
    <t>GUNDCQDQIPEOFE-UHFFFAOYSA-M</t>
  </si>
  <si>
    <t>CCCCCCCCCC(O)CO</t>
  </si>
  <si>
    <t>undecane-1,2-diol</t>
  </si>
  <si>
    <t>InChI=1S/C11H24O2/c1-2-3-4-5-6-7-8-9-11(13)10-12/h11-13H,2-10H2,1H3</t>
  </si>
  <si>
    <t>BUMVVNKGNPPUME-UHFFFAOYSA-N</t>
  </si>
  <si>
    <t>CCCCCCCCCC(O)NCCOCCO</t>
  </si>
  <si>
    <t>InChI=1S/C14H31NO3/c1-2-3-4-5-6-7-8-9-14(17)15-10-12-18-13-11-16/h14-17H,2-13H2,1H3</t>
  </si>
  <si>
    <t>MCLNYBIXLHMCSX-UHFFFAOYSA-N</t>
  </si>
  <si>
    <t>CCCCCCCCCC(O)NCCOCCOCCOCCO</t>
  </si>
  <si>
    <t>InChI=1S/C18H39NO5/c1-2-3-4-5-6-7-8-9-18(21)19-10-12-22-14-16-24-17-15-23-13-11-20/h18-21H,2-17H2,1H3</t>
  </si>
  <si>
    <t>HCZGKUDDVOOXRW-UHFFFAOYSA-N</t>
  </si>
  <si>
    <t>CCCCCCCCCC(O)NCCOCCOCCOCCOCCO</t>
  </si>
  <si>
    <t>InChI=1S/C20H43NO6/c1-2-3-4-5-6-7-8-9-20(23)21-10-12-24-14-16-26-18-19-27-17-15-25-13-11-22/h20-23H,2-19H2,1H3</t>
  </si>
  <si>
    <t>HWSCJFWEFYGCPX-UHFFFAOYSA-N</t>
  </si>
  <si>
    <t>CCCCCCCCCCOCCOCCOCCOCCO</t>
  </si>
  <si>
    <t>InChI=1S/C18H38O5/c1-3-5-6-7-8-9-10-11-18(19)23-17-16-22-15-14-21-13-12-20-4-2/h18-19H,3-17H2,1-2H3</t>
  </si>
  <si>
    <t>BOSKHJIVQCTMNX-UHFFFAOYSA-N</t>
  </si>
  <si>
    <t>CCCCCCCCCCOCCOCCOCCOCCOCCO</t>
  </si>
  <si>
    <t>10.1006/jcis.1997.4778</t>
  </si>
  <si>
    <t>InChI=1S/C20H42O6/c1-3-5-6-7-8-9-10-11-20(21)26-19-18-25-17-16-24-15-14-23-13-12-22-4-2/h20-21H,3-19H2,1-2H3</t>
  </si>
  <si>
    <t>YNTFEOGIWGJVTM-UHFFFAOYSA-N</t>
  </si>
  <si>
    <t>CCCCCCCCCCOCCOCCOCCOCCOCCOCCO</t>
  </si>
  <si>
    <t>InChI=1S/C22H46O7/c1-3-5-6-7-8-9-10-11-22(23)29-21-20-28-19-18-27-17-16-26-15-14-25-13-12-24-4-2/h22-23H,3-21H2,1-2H3</t>
  </si>
  <si>
    <t>LXLXAEKEIBSGLE-UHFFFAOYSA-N</t>
  </si>
  <si>
    <t>CCCCCCCCCCOCCOCCOCCOCCOCCOCCOCCOCCO</t>
  </si>
  <si>
    <t>InChI=1S/C26H54O9/c1-3-5-6-7-8-9-10-11-26(27)35-25-24-34-23-22-33-21-20-32-19-18-31-17-16-30-15-14-29-13-12-28-4-2/h26-27H,3-25H2,1-2H3</t>
  </si>
  <si>
    <t>MOEOXIFKDQYQMS-UHFFFAOYSA-N</t>
  </si>
  <si>
    <t>CCCCCCCCCC(OCC)(OCC)OS(=O)(=O)[O-].[Na+]</t>
  </si>
  <si>
    <t>InChI=1S/C14H30O6S.Na/c1-4-7-8-9-10-11-12-13-14(18-5-2,19-6-3)20-21(15,16)17;/h4-13H2,1-3H3,(H,15,16,17);/q;+1/p-1</t>
  </si>
  <si>
    <t>DYLJUDCXPFCBSC-UHFFFAOYSA-M</t>
  </si>
  <si>
    <t>CCCCCCCCCC(OCC)S(=O)(=O)[O-].[Na+]</t>
  </si>
  <si>
    <t>InChI=1S/C12H26O4S.Na/c1-3-5-6-7-8-9-10-11-12(16-4-2)17(13,14)15;/h12H,3-11H2,1-2H3,(H,13,14,15);/q;+1/p-1</t>
  </si>
  <si>
    <t>VEXFBUIJZZAPJE-UHFFFAOYSA-M</t>
  </si>
  <si>
    <t>CCCCCCCCCC1OCC(C[N+](C)(C)C)O1.[Br-]</t>
  </si>
  <si>
    <t>InChI=1S/C16H34NO2.BrH/c1-5-6-7-8-9-10-11-12-16-18-14-15(19-16)13-17(2,3)4;/h15-16H,5-14H2,1-4H3;1H/q+1;/p-1</t>
  </si>
  <si>
    <t>XOOLIGUWRHOBLY-UHFFFAOYSA-M</t>
  </si>
  <si>
    <t>CCCCCCCCCCCC(N(CCO)CCO)=O</t>
  </si>
  <si>
    <t>N,N-bis(2-hydroxyethyl)undecanamide</t>
  </si>
  <si>
    <t>InChI=1S/C15H31NO3/c1-2-3-4-5-6-7-8-9-10-15(19)16(11-13-17)12-14-18/h17-18H,2-14H2,1H3</t>
  </si>
  <si>
    <t>ZDJBDLYSTNLOIW-UHFFFAOYSA-N</t>
  </si>
  <si>
    <t>O=C(CCCCCCCCCCC)NCCOCCOCCOCCOCCO</t>
  </si>
  <si>
    <t>10.1021/la025551c</t>
  </si>
  <si>
    <t>InChI=1S/C19H39NO5/c1-2-3-4-5-6-7-8-9-10-19(22)20-11-13-23-15-17-25-18-16-24-14-12-21/h21H,2-18H2,1H3,(H,20,22)</t>
  </si>
  <si>
    <t>ZTNORSQLDDRZPV-UHFFFAOYSA-N</t>
  </si>
  <si>
    <t>CCCCCCCCCCC(=O)NCC[N+](C)(C)Cc1ccccc1.[Cl-]</t>
  </si>
  <si>
    <t>10.1021/la026286y</t>
  </si>
  <si>
    <t>InChI=1S/C22H38N2O.ClH/c1-4-5-6-7-8-9-10-14-17-22(25)23-18-19-24(2,3)20-21-15-12-11-13-16-21;/h11-13,15-16H,4-10,14,17-20H2,1-3H3;1H</t>
  </si>
  <si>
    <t>NVZKQZCUOLACHU-UHFFFAOYSA-N</t>
  </si>
  <si>
    <t>CCCCCCCCCCC(=O)N[N+](C)(C)CCC[N+](C)(C)NC(=O)CCCCCCCCCC.[Br-].[Br-]</t>
  </si>
  <si>
    <t>InChI=1S/C29H60N4O2.2BrH/c1-7-9-11-13-15-17-19-21-24-28(34)30-32(3,4)26-23-27-33(5,6)31-29(35)25-22-20-18-16-14-12-10-8-2;;/h7-27H2,1-6H3;2*1H</t>
  </si>
  <si>
    <t>YIRQESGFXOBLQQ-UHFFFAOYSA-N</t>
  </si>
  <si>
    <t>CCCCCCCCCCC(=O)OC(C)C(=O)NCCCN(C)C</t>
  </si>
  <si>
    <t>InChI=1S/C19H38N2O3/c1-5-6-7-8-9-10-11-12-14-18(22)24-17(2)19(23)20-15-13-16-21(3)4/h17H,5-16H2,1-4H3,(H,20,23)</t>
  </si>
  <si>
    <t>YXPDYICCLXTCME-UHFFFAOYSA-N</t>
  </si>
  <si>
    <t>CCCCCCCCCCC(=O)OC(C)C(=O)NCCC[N+](C)(C)C.COS(=O)(=O)[O-]</t>
  </si>
  <si>
    <t>InChI=1S/C20H40N2O3.CH4O4S/c1-6-7-8-9-10-11-12-13-15-19(23)25-18(2)20(24)21-16-14-17-22(3,4)5;1-5-6(2,3)4/h18H,6-17H2,1-5H3;1H3,(H,2,3,4)</t>
  </si>
  <si>
    <t>JGMKUVAXRGXEBS-UHFFFAOYSA-N</t>
  </si>
  <si>
    <t>O=C(OC[C@H]1O[C@@H]([C@@H]([C@H]([C@H]1O)O)O)OC[C@H]2O[C@@H]([C@@H]([C@H]([C@H]2O)O)O)OC[C@H]3O[C@@H]([C@@H]([C@H]([C@@H]3O)O)O)O[C@@]4(O[C@@H]([C@H]([C@@H]4O)O)CO)CO)CCCCCCCCCCC</t>
  </si>
  <si>
    <r>
      <t>10.1016/j.molliq.2018.01.037,</t>
    </r>
    <r>
      <rPr>
        <sz val="11"/>
        <color rgb="FFFF0000"/>
        <rFont val="Aptos Narrow"/>
        <family val="2"/>
        <scheme val="minor"/>
      </rPr>
      <t>10.1016/0927-7757(95)03250-H</t>
    </r>
  </si>
  <si>
    <t>10.1016/0927-7757(95)03250-H</t>
  </si>
  <si>
    <t>10.5650/jos.ess22391</t>
  </si>
  <si>
    <t>6-O-dodecanoylstachyose</t>
  </si>
  <si>
    <t>InChI=1S/C35H62O23/c1-2-3-4-5-6-7-8-9-10-18(38)55-31(50)29-25(45)24(44)27(47)33(56-29)52-12-16-19(39)22(42)26(46)32(53-16)51-13-17-20(40)23(43)28(48)34(54-17)58-35(14-37)30(49)21(41)15(11-36)57-35/h15-17,19-34,36-37,39-50H,2-14H2,1H3/t15-,16-,17-,19+,20-,21-,22+,23+,24+,25-,26-,27-,28-,29+,30+,31?,32+,33+,34-,35+/m1/s1</t>
  </si>
  <si>
    <t>TVKJACFXWGCTTQ-VLSVWADMSA-N</t>
  </si>
  <si>
    <t>O=C(OC[C@H]1O[C@@H]([C@@H]([C@H]([C@H]1O)O)O)OC[C@H]2O[C@@H]([C@@H]([C@H]([C@@H]2O)O)O)O[C@@]3(O[C@@H]([C@H]([C@@H]3O)O)CO)CO)CCCCCCCCCCC</t>
  </si>
  <si>
    <t>6-O-dodecanoylraffinose</t>
  </si>
  <si>
    <t>InChI=1S/C29H52O18/c1-2-3-4-5-6-7-8-9-10-16(32)44-26(41)24-21(37)20(36)22(38)27(45-24)42-12-15-17(33)19(35)23(39)28(43-15)47-29(13-31)25(40)18(34)14(11-30)46-29/h14-15,17-28,30-31,33-41H,2-13H2,1H3/t14-,15-,17-,18-,19+,20+,21-,22-,23-,24+,25+,26?,27+,28-,29+/m1/s1</t>
  </si>
  <si>
    <t>PFWWYWWKFBNSCG-VAQUCQKHSA-N</t>
  </si>
  <si>
    <t>O=C(OC[C@H]1O[C@@H]([C@@H]([C@H]([C@@H]1O)O)O)O[C@@]2(O[C@@H]([C@H]([C@@H]2O)O)CO)CO)CCCCCCCCCCC</t>
  </si>
  <si>
    <t>6-O-dodecanoylsucrose</t>
  </si>
  <si>
    <t>InChI=1S/C23H42O13/c1-2-3-4-5-6-7-8-9-10-14(26)33-21(32)19-17(29)16(28)18(30)22(34-19)36-23(12-25)20(31)15(27)13(11-24)35-23/h13,15-22,24-25,27-32H,2-12H2,1H3/t13-,15-,16+,17+,18-,19+,20+,21?,22-,23+/m1/s1</t>
  </si>
  <si>
    <t>WRRBOVMTOZYSNK-KERDFOSTSA-N</t>
  </si>
  <si>
    <t>CCCCCCCCCCC(=O)OCCCC[N+](C)(C)CC(O)C[N+](C)(C)CCCCOC(=O)CCCCCCCCCC.[Cl-].[Cl-]</t>
  </si>
  <si>
    <t>InChI=1S/C37H76N2O5.2ClH/c1-7-9-11-13-15-17-19-21-27-36(41)43-31-25-23-29-38(3,4)33-35(40)34-39(5,6)30-24-26-32-44-37(42)28-22-20-18-16-14-12-10-8-2;;/h35,40H,7-34H2,1-6H3;2*1H/q+2;;/p-2</t>
  </si>
  <si>
    <t>KQKJAVYDYCBPRK-UHFFFAOYSA-L</t>
  </si>
  <si>
    <t>CCCCCCCCCCC(=O)OCC[N+](C)(C)CC(O)C[N+](C)(C)CCOC(=O)CCCCCCCCCC.[Cl-].[Cl-]</t>
  </si>
  <si>
    <t>InChI=1S/C33H68N2O5.2ClH/c1-7-9-11-13-15-17-19-21-23-32(37)39-27-25-34(3,4)29-31(36)30-35(5,6)26-28-40-33(38)24-22-20-18-16-14-12-10-8-2;;/h31,36H,7-30H2,1-6H3;2*1H/q+2;;/p-2</t>
  </si>
  <si>
    <t>APKUKJKHHIBJIN-UHFFFAOYSA-L</t>
  </si>
  <si>
    <t>CCCCCCCCCCC(=O)[O-].[K+]</t>
  </si>
  <si>
    <t>InChI=1S/C11H22O2.K/c1-2-3-4-5-6-7-8-9-10-11(12)13;/h2-10H2,1H3,(H,12,13);/q;+1/p-1</t>
  </si>
  <si>
    <t>NFFKRJOYWMTDBM-UHFFFAOYSA-M</t>
  </si>
  <si>
    <t>O=C([O-])C[N+](CCCCCCCCCC)(C)C</t>
  </si>
  <si>
    <t>2-(trimethylazaniumyl)dodecanoate</t>
  </si>
  <si>
    <t>InChI=1S/C15H31NO2/c1-5-6-7-8-9-10-11-12-13-14(15(17)18)16(2,3)4/h14H,5-13H2,1-4H3</t>
  </si>
  <si>
    <t>ZVZRHYNDLMSKIV-UHFFFAOYSA-N</t>
  </si>
  <si>
    <t>CCCCCCCCCCC(C(=O)[O-])[n+]1ccccc1</t>
  </si>
  <si>
    <t>10.1021/j150668a060</t>
  </si>
  <si>
    <t>InChI=1S/C17H27NO2/c1-2-3-4-5-6-7-8-10-13-16(17(19)20)18-14-11-9-12-15-18/h9,11-12,14-16H,2-8,10,13H2,1H3</t>
  </si>
  <si>
    <t>AOVODUFHIPYAPX-UHFFFAOYSA-N</t>
  </si>
  <si>
    <t>CCCCCCCCCCC(C)S(=O)(=O)[O-].[Na+]</t>
  </si>
  <si>
    <t>sodium-dodecane-2-sulfonate</t>
  </si>
  <si>
    <t>InChI=1S/C12H26O3S.Na/c1-3-4-5-6-7-8-9-10-11-12(2)16(13,14)15;/h12H,3-11H2,1-2H3,(H,13,14,15);/q;+1/p-1</t>
  </si>
  <si>
    <t>IGWZMCDSPZTBJH-UHFFFAOYSA-M</t>
  </si>
  <si>
    <t>CCCCCCCCCCC(C)c1ccc(S(=O)(=O)[O-])cc1.[Na+]</t>
  </si>
  <si>
    <t>sodium-4-dodecan-2-ylbenzenesulfonate</t>
  </si>
  <si>
    <t>InChI=1S/C18H30O3S.Na/c1-3-4-5-6-7-8-9-10-11-16(2)17-12-14-18(15-13-17)22(19,20)21;/h12-16H,3-11H2,1-2H3,(H,19,20,21);/q;+1/p-1</t>
  </si>
  <si>
    <t>GHRHULTYHYEOQB-UHFFFAOYSA-M</t>
  </si>
  <si>
    <t>CCCCCCCCCCC(CCC)OS(=O)(=O)[O-].[Na+]</t>
  </si>
  <si>
    <t>sodium-tetradecan-4-ylsulfate</t>
  </si>
  <si>
    <t>InChI=1S/C14H30O4S.Na/c1-3-5-6-7-8-9-10-11-13-14(12-4-2)18-19(15,16)17;/h14H,3-13H2,1-2H3,(H,15,16,17);/q;+1/p-1</t>
  </si>
  <si>
    <t>IVRRGHRQGKGQIH-UHFFFAOYSA-M</t>
  </si>
  <si>
    <t>CCCCCCCCCCC(CCC)c1ccc(S(=O)(=O)[O-])cc1.[Na+]</t>
  </si>
  <si>
    <t>sodium-4-tetradecan-4-ylbenzenesulfonate</t>
  </si>
  <si>
    <t>InChI=1S/C20H34O3S.Na/c1-3-5-6-7-8-9-10-11-13-18(12-4-2)19-14-16-20(17-15-19)24(21,22)23;/h14-18H,3-13H2,1-2H3,(H,21,22,23);/q;+1/p-1</t>
  </si>
  <si>
    <t>QFVKESMXRQJDLY-UHFFFAOYSA-M</t>
  </si>
  <si>
    <t>CCCCCCCCCCC(CCCC)COS(=O)(=O)[O-].[Na+]</t>
  </si>
  <si>
    <t>InChI=1S/C16H34O4S.Na/c1-3-5-7-8-9-10-11-12-14-16(13-6-4-2)15-20-21(17,18)19;/h16H,3-15H2,1-2H3,(H,17,18,19);/q;+1/p-1</t>
  </si>
  <si>
    <t>CHDKOYVXEFOBCW-UHFFFAOYSA-M</t>
  </si>
  <si>
    <t>CCCCCCCCCCC(CCCC)OS(=O)(=O)[O-].[Na+]</t>
  </si>
  <si>
    <t>InChI=1S/C15H32O4S.Na/c1-3-5-7-8-9-10-11-12-14-15(13-6-4-2)19-20(16,17)18;/h15H,3-14H2,1-2H3,(H,16,17,18);/q;+1/p-1</t>
  </si>
  <si>
    <t>PATOMCFIQRCHIQ-UHFFFAOYSA-M</t>
  </si>
  <si>
    <t>CCCCCCCCCCC(CCCC)c1ccc(S(=O)(=O)[O-])cc1.[Na+]</t>
  </si>
  <si>
    <t>sodium-4-pentadecan-5-ylbenzenesulfonate</t>
  </si>
  <si>
    <t>InChI=1S/C21H36O3S.Na/c1-3-5-7-8-9-10-11-12-14-19(13-6-4-2)20-15-17-21(18-16-20)25(22,23)24;/h15-19H,3-14H2,1-2H3,(H,22,23,24);/q;+1/p-1</t>
  </si>
  <si>
    <t>FMUORGXCFVRCBO-UHFFFAOYSA-M</t>
  </si>
  <si>
    <t>CCCCCCCCCCC(CCCCC)OS(=O)(=O)[O-].[Na+]</t>
  </si>
  <si>
    <t>sodium-hexadecan-6-ylsulfate</t>
  </si>
  <si>
    <t>InChI=1S/C16H34O4S.Na/c1-3-5-7-8-9-10-11-13-15-16(14-12-6-4-2)20-21(17,18)19;/h16H,3-15H2,1-2H3,(H,17,18,19);/q;+1/p-1</t>
  </si>
  <si>
    <t>UCRLERTWMPNFAF-UHFFFAOYSA-M</t>
  </si>
  <si>
    <t>CCCCCCCCCCC(CCS(=O)(=O)[O-])OC(C)=O.[Na+]</t>
  </si>
  <si>
    <t>InChI=1S/C15H30O5S.Na/c1-3-4-5-6-7-8-9-10-11-15(20-14(2)16)12-13-21(17,18)19;/h15H,3-13H2,1-2H3,(H,17,18,19);/q;+1/p-1</t>
  </si>
  <si>
    <t>XNVRVPAODQRBMX-UHFFFAOYSA-M</t>
  </si>
  <si>
    <t>CCCCCCCCCCC(CO)S(=O)(=O)[O-].[Na+]</t>
  </si>
  <si>
    <t>sodium-1-hydroxydodecane-2-sulfonate</t>
  </si>
  <si>
    <t>InChI=1S/C12H26O4S.Na/c1-2-3-4-5-6-7-8-9-10-12(11-13)17(14,15)16;/h12-13H,2-11H2,1H3,(H,14,15,16);/q;+1/p-1</t>
  </si>
  <si>
    <t>MOOGNAJSIAIPMW-UHFFFAOYSA-M</t>
  </si>
  <si>
    <t>CCCCCCCCCCC(CSCCCCSCC(CCCCCCCCCC)[n+]1ccn(C)c1)[n+]1ccn(C)c1.[Br-].[Br-]</t>
  </si>
  <si>
    <t>InChI=1S/C36H68N4S2.2BrH/c1-5-7-9-11-13-15-17-19-23-35(39-27-25-37(3)33-39)31-41-29-21-22-30-42-32-36(40-28-26-38(4)34-40)24-20-18-16-14-12-10-8-6-2;;/h25-28,33-36H,5-24,29-32H2,1-4H3;2*1H/q+2;;/p-2</t>
  </si>
  <si>
    <t>IWBJMIXSXHGHDS-UHFFFAOYSA-L</t>
  </si>
  <si>
    <t>CCCCCCCCCCC(CSCCCSCC(CCCCCCCCCC)[n+]1ccn(C)c1)[n+]1ccn(C)c1.[Br-].[Br-]</t>
  </si>
  <si>
    <t>InChI=1S/C35H66N4S2.2BrH/c1-5-7-9-11-13-15-17-19-22-34(38-26-24-36(3)32-38)30-40-28-21-29-41-31-35(39-27-25-37(4)33-39)23-20-18-16-14-12-10-8-6-2;;/h24-27,32-35H,5-23,28-31H2,1-4H3;2*1H/q+2;;/p-2</t>
  </si>
  <si>
    <t>XXUBTAXVHRHEHD-UHFFFAOYSA-L</t>
  </si>
  <si>
    <t>CCCCCCCCCCC(CSCCSCC(CCCCCCCCCC)[n+]1ccccc1)[n+]1ccccc1.[Br-].[Br-]</t>
  </si>
  <si>
    <t>InChI=1S/C36H62N2S2.2BrH/c1-3-5-7-9-11-13-15-19-25-35(37-27-21-17-22-28-37)33-39-31-32-40-34-36(38-29-23-18-24-30-38)26-20-16-14-12-10-8-6-4-2;;/h17-18,21-24,27-30,35-36H,3-16,19-20,25-26,31-34H2,1-2H3;2*1H/q+2;;/p-2</t>
  </si>
  <si>
    <t>YOQKJUCDARLCOT-UHFFFAOYSA-L</t>
  </si>
  <si>
    <t>CCCCCCCCCCC(CSCCSCC(CCCCCCCCCC)[n+]1ccn(C)c1)[n+]1ccn(C)c1.[Br-].[Br-]</t>
  </si>
  <si>
    <t>InChI=1S/C34H64N4S2.2BrH/c1-5-7-9-11-13-15-17-19-21-33(37-25-23-35(3)31-37)29-39-27-28-40-30-34(38-26-24-36(4)32-38)22-20-18-16-14-12-10-8-6-2;;/h23-26,31-34H,5-22,27-30H2,1-4H3;2*1H/q+2;;/p-2</t>
  </si>
  <si>
    <t>MIMDCVFTAUWCDR-UHFFFAOYSA-L</t>
  </si>
  <si>
    <t>CCCCCCCCCCC(O)CCO</t>
  </si>
  <si>
    <t>InChI=1S/C13H28O2/c1-2-3-4-5-6-7-8-9-10-13(15)11-12-14/h13-15H,2-12H2,1H3</t>
  </si>
  <si>
    <t>HVEUXCYPTJKWQE-UHFFFAOYSA-N</t>
  </si>
  <si>
    <t>CCCCCCCCCCC(O)CO</t>
  </si>
  <si>
    <t>dodecane-1,2-diol</t>
  </si>
  <si>
    <t>InChI=1S/C12H26O2/c1-2-3-4-5-6-7-8-9-10-12(14)11-13/h12-14H,2-11H2,1H3</t>
  </si>
  <si>
    <t>ZITKDVFRMRXIJQ-UHFFFAOYSA-N</t>
  </si>
  <si>
    <t>CCCCCCCCCCC(O)Cn1cc[n+](CCCCCCCC[n+]2ccn(CC(O)CCCCCCCCCC)c2)c1.[Br-].[Br-]</t>
  </si>
  <si>
    <t>10.1021/la300920p</t>
  </si>
  <si>
    <t>3,3â€²-(Octane-1,8-diyl)bis(1-(2-hydroxydodecyl)-1H-imidazol-3-ium)Bromide</t>
  </si>
  <si>
    <t>InChI=1S/C38H72N4O2.2BrH/c1-3-5-7-9-11-13-17-21-25-37(43)33-41-31-29-39(35-41)27-23-19-15-16-20-24-28-40-30-32-42(36-40)34-38(44)26-22-18-14-12-10-8-6-4-2;;/h29-32,35-38,43-44H,3-28,33-34H2,1-2H3;2*1H/q+2;;/p-2</t>
  </si>
  <si>
    <t>MRJWFRCAXNNHRD-UHFFFAOYSA-L</t>
  </si>
  <si>
    <t>CCCCCCCCCCC(O)Cn1cc[n+](CCCCCC[n+]2ccn(CC(O)CCCCCCCCCC)c2)c1.[Br-].[Br-]</t>
  </si>
  <si>
    <t>3,3â€²-(Hexane-1,6-diyl)bis(1-(2-hydroxydodecyl)-1H-imidazol-3-ium)Bromide</t>
  </si>
  <si>
    <t>InChI=1S/C36H68N4O2.2BrH/c1-3-5-7-9-11-13-15-19-23-35(41)31-39-29-27-37(33-39)25-21-17-18-22-26-38-28-30-40(34-38)32-36(42)24-20-16-14-12-10-8-6-4-2;;/h27-30,33-36,41-42H,3-26,31-32H2,1-2H3;2*1H/q+2;;/p-2</t>
  </si>
  <si>
    <t>UKOGJHJUVQPKQZ-UHFFFAOYSA-L</t>
  </si>
  <si>
    <t>CCCCCCCCCCC(O)Cn1cc[n+](CCCCC[n+]2ccn(CC(O)CCCCCCCCCC)c2)c1.[Br-].[Br-]</t>
  </si>
  <si>
    <t>3,3â€²-(Pentane-1,5-diyl)bis(1-(2-hydroxydodecyl)-1H-imidazol-3-ium)Bromide</t>
  </si>
  <si>
    <t>InChI=1S/C35H66N4O2.2BrH/c1-3-5-7-9-11-13-15-18-22-34(40)30-38-28-26-36(32-38)24-20-17-21-25-37-27-29-39(33-37)31-35(41)23-19-16-14-12-10-8-6-4-2;;/h26-29,32-35,40-41H,3-25,30-31H2,1-2H3;2*1H/q+2;;/p-2</t>
  </si>
  <si>
    <t>OPDRVUGOPSIAKY-UHFFFAOYSA-L</t>
  </si>
  <si>
    <t>CCCCCCCCCCC(O)Cn1cc[n+](CCCC[n+]2ccn(CC(O)CCCCCCCCCC)c2)c1.[Br-].[Br-]</t>
  </si>
  <si>
    <t>3,3â€²-(Butane-1,4-diyl)bis(1-(2-hydroxydodecyl)-1H-imidazol-3-ium)Bromide</t>
  </si>
  <si>
    <t>InChI=1S/C34H64N4O2.2BrH/c1-3-5-7-9-11-13-15-17-21-33(39)29-37-27-25-35(31-37)23-19-20-24-36-26-28-38(32-36)30-34(40)22-18-16-14-12-10-8-6-4-2;;/h25-28,31-34,39-40H,3-24,29-30H2,1-2H3;2*1H/q+2;;/p-2</t>
  </si>
  <si>
    <t>ACYPORRTJUWRHN-UHFFFAOYSA-L</t>
  </si>
  <si>
    <t>CCCCCCCCCCC(O)Cn1cc[n+](CCC[n+]2ccn(CC(O)CCCCCCCCCC)c2)c1.[Br-].[Br-]</t>
  </si>
  <si>
    <t>3,3â€²-(Propane-1,3-diyl)bis(1-(2-hydroxydodecyl)-1H-imidazol-3-ium)Bromide</t>
  </si>
  <si>
    <t>InChI=1S/C33H62N4O2.2BrH/c1-3-5-7-9-11-13-15-17-20-32(38)28-36-26-24-34(30-36)22-19-23-35-25-27-37(31-35)29-33(39)21-18-16-14-12-10-8-6-4-2;;/h24-27,30-33,38-39H,3-23,28-29H2,1-2H3;2*1H/q+2;;/p-2</t>
  </si>
  <si>
    <t>FDKHNKDGZMRXPM-UHFFFAOYSA-L</t>
  </si>
  <si>
    <t>CCCCCCCCCCC(O)Cn1cc[n+](CCO)c1.[Br-]</t>
  </si>
  <si>
    <t>10.1016/j.colsurfa.2013.08.063</t>
  </si>
  <si>
    <t>N-(2-hydroxyheptyl)imidazolesbromide</t>
  </si>
  <si>
    <t>InChI=1S/C17H33N2O2.BrH/c1-2-3-4-5-6-7-8-9-10-17(21)15-19-12-11-18(16-19)13-14-20;/h11-12,16-17,20-21H,2-10,13-15H2,1H3;1H/q+1;/p-1</t>
  </si>
  <si>
    <t>MFMTZXZQBQUWAN-UHFFFAOYSA-M</t>
  </si>
  <si>
    <t>CCCCCCCCCCC(O)Cn1cc[n+](CCO)c1.[Cl-]</t>
  </si>
  <si>
    <t>N-(2-hydroxyheptyl)imidazoleschloride</t>
  </si>
  <si>
    <t>InChI=1S/C17H33N2O2.ClH/c1-2-3-4-5-6-7-8-9-10-17(21)15-19-12-11-18(16-19)13-14-20;/h11-12,16-17,20-21H,2-10,13-15H2,1H3;1H/q+1;/p-1</t>
  </si>
  <si>
    <t>CZEOQWHNLNUIND-UHFFFAOYSA-M</t>
  </si>
  <si>
    <t>CCCCCCCCCCCOCCOCCOCCOCCOCCOCCOCCOCCO</t>
  </si>
  <si>
    <t>10.1016/0021-9797(81)90008-4</t>
  </si>
  <si>
    <t>InChI=1S/C27H56O9/c1-3-5-6-7-8-9-10-11-12-27(28)36-26-25-35-24-23-34-22-21-33-20-19-32-18-17-31-16-15-30-14-13-29-4-2/h27-28H,3-26H2,1-2H3</t>
  </si>
  <si>
    <t>BOUGECOICMAIBT-UHFFFAOYSA-N</t>
  </si>
  <si>
    <t>CCCCCCCCCCC(O)OCCc1ccc(S(=O)(=O)[O-])cc1.[Na+]</t>
  </si>
  <si>
    <t>InChI=1S/C19H32O5S.Na/c1-2-3-4-5-6-7-8-9-10-19(20)24-16-15-17-11-13-18(14-12-17)25(21,22)23;/h11-14,19-20H,2-10,15-16H2,1H3,(H,21,22,23);/q;+1/p-1</t>
  </si>
  <si>
    <t>SKYUYKWBPJEKQM-UHFFFAOYSA-M</t>
  </si>
  <si>
    <t>O[C@@H]1[C@@H](O)[C@H](O)[C@@H](CO)O[C@H]1OCCCCCCCCCC</t>
  </si>
  <si>
    <t>InChI=1S/C16H32O6/c1-2-3-4-5-6-7-8-9-10-11(17)15-13(19)12(18)14(20)16(21)22-15/h11-21H,2-10H2,1H3/t11?,12-,13-,14+,15+,16?/m0/s1</t>
  </si>
  <si>
    <t>FHRJFMYCXKUHLQ-FWYQWXHNSA-N</t>
  </si>
  <si>
    <t>CCCCCCCCCCC1(C)OCC(C[N+](C)(C)C)O1.[Br-]</t>
  </si>
  <si>
    <t>InChI=1S/C18H38NO2.BrH/c1-6-7-8-9-10-11-12-13-14-18(2)20-16-17(21-18)15-19(3,4)5;/h17H,6-16H2,1-5H3;1H/q+1;/p-1</t>
  </si>
  <si>
    <t>NVZDOHXFYUMTEL-UHFFFAOYSA-M</t>
  </si>
  <si>
    <t>C[N+](C)(C)CC(O1)COC1CCCCCCCCCCC.[Br-]</t>
  </si>
  <si>
    <t>InChI=1S/C17H36NO2.BrH/c1-5-6-7-8-9-10-11-12-13-17-19-15-16(20-17)14-18(2,3)4;/h16-17H,5-15H2,1-4H3;1H/q+1;/p-1</t>
  </si>
  <si>
    <t>AHQXQVPNODNCMB-UHFFFAOYSA-M</t>
  </si>
  <si>
    <t>CCCCCCCCCCC=CS(=O)(=O)[O-].[Na+]</t>
  </si>
  <si>
    <t>sodium-dodec-1-ene-1-sulfonate</t>
  </si>
  <si>
    <t>InChI=1S/C12H24O3S.Na/c1-2-3-4-5-6-7-8-9-10-11-12-16(13,14)15;/h11-12H,2-10H2,1H3,(H,13,14,15);/q;+1/p-1</t>
  </si>
  <si>
    <t>PDAVKVAAXOOLCM-UHFFFAOYSA-M</t>
  </si>
  <si>
    <t>CCCCCCCCCCCC(N(CC(CO)O)C)=O</t>
  </si>
  <si>
    <t>10.1007/s11743-999-0089-0</t>
  </si>
  <si>
    <t>N-Dodecanoyl-N-methylglycine</t>
  </si>
  <si>
    <t>InChI=1S/C15H29NO3/c1-3-4-5-6-7-8-9-10-11-12-14(17)16(2)13-15(18)19/h3-13H2,1-2H3,(H,18,19)</t>
  </si>
  <si>
    <t>BACYUWVYYTXETD-UHFFFAOYSA-N</t>
  </si>
  <si>
    <t>CCCCCCCCCCCC(=O)N(C)CC(=O)[O-].[Na+]</t>
  </si>
  <si>
    <t>10.1021/acsomega.8b00718</t>
  </si>
  <si>
    <t>sodium-2-[dodecanoyl(methyl)amino]acetate</t>
  </si>
  <si>
    <t>InChI=1S/C15H29NO3.Na/c1-3-4-5-6-7-8-9-10-11-12-14(17)16(2)13-15(18)19;/h3-13H2,1-2H3,(H,18,19);/q;+1/p-1</t>
  </si>
  <si>
    <t>KSAVQLQVUXSOCR-UHFFFAOYSA-M</t>
  </si>
  <si>
    <t>CCCCCCCCCCCC(=O)N(C)CC(O)CO</t>
  </si>
  <si>
    <t>N-(2,3-dihydroxypropyl)-N-methyldodecanamide</t>
  </si>
  <si>
    <t>InChI=1S/C16H33NO3/c1-3-4-5-6-7-8-9-10-11-12-16(20)17(2)13-15(19)14-18/h15,18-19H,3-14H2,1-2H3</t>
  </si>
  <si>
    <t>OWHFHZRZRDFRJX-UHFFFAOYSA-N</t>
  </si>
  <si>
    <t>CCCCCCCCCCCC(=O)N(CCO)CCO</t>
  </si>
  <si>
    <t>N,N-bis(2-hydroxyethyl)dodecanamide</t>
  </si>
  <si>
    <t>InChI=1S/C16H33NO3/c1-2-3-4-5-6-7-8-9-10-11-16(20)17(12-14-18)13-15-19/h18-19H,2-15H2,1H3</t>
  </si>
  <si>
    <t>AOMUHOFOVNGZAN-UHFFFAOYSA-N</t>
  </si>
  <si>
    <t>CCCCCCCCCCCC(NC(CCCNC(N)=[NH2+])C(NCCCCCCCCCNC(C(CCCNC(N)=[NH2+])NC(CCCCCCCCCCC)=O)=O)=O)=O.[Cl-].[Cl-]</t>
  </si>
  <si>
    <t>10.1021/la960301f</t>
  </si>
  <si>
    <t>InChI=1S/C45H88N10O4.2ClH/c1-3-5-7-9-11-13-16-20-24-32-40(56)54-38(30-28-36-52-44(46)47)42(58)50-34-26-22-18-15-19-23-27-35-51-43(59)39(31-29-37-53-45(48)49)55-41(57)33-25-21-17-14-12-10-8-6-4-2;;/h38-39,52-53H,3-37,46,48H2,1-2H3,(H,50,58)(H,51,59)(H,54,56)(H,55,57);2*1H/q+2;;/p-2</t>
  </si>
  <si>
    <t>GECNRXPKFWMZSI-UHFFFAOYSA-L</t>
  </si>
  <si>
    <t>CCCCCCCCCCCC(NC(C(NCCCCCCNC(C(NC(CCCCCCCCCCC)=O)CCCNC(N)=[NH2+])=O)=O)CCCNC(N)=[NH2+])=O.[Cl-].[Cl-]</t>
  </si>
  <si>
    <t>InChI=1S/C42H82N10O4.2ClH/c1-3-5-7-9-11-13-15-17-21-29-37(53)51-35(27-25-33-49-41(43)44)39(55)47-31-23-19-20-24-32-48-40(56)36(28-26-34-50-42(45)46)52-38(54)30-22-18-16-14-12-10-8-6-4-2;;/h35-36,49-50H,3-34,43,45H2,1-2H3,(H,47,55)(H,48,56)(H,51,53)(H,52,54);2*1H/q+2;;/p-2</t>
  </si>
  <si>
    <t>NLEJBYJMHVDMKS-UHFFFAOYSA-L</t>
  </si>
  <si>
    <t>CCCCCCCCCCCC(NC(C(NCCCNC(C(NC(CCCCCCCCCCC)=O)CCCNC(N)=[NH2+])=O)=O)CCCNC(N)=[NH2+])=O.[Cl-].[Cl-]</t>
  </si>
  <si>
    <t>InChI=1S/C39H76N10O4.2ClH/c1-3-5-7-9-11-13-15-17-19-26-34(50)48-32(24-21-28-46-38(40)41)36(52)44-30-23-31-45-37(53)33(25-22-29-47-39(42)43)49-35(51)27-20-18-16-14-12-10-8-6-4-2;;/h32-33,46-47H,3-31,40,42H2,1-2H3,(H,44,52)(H,45,53)(H,48,50)(H,49,51);2*1H/q+2;;/p-2</t>
  </si>
  <si>
    <t>KRMBYRXOFHQOQF-UHFFFAOYSA-L</t>
  </si>
  <si>
    <t>CCCCCCCCCCCC(NC(C(OC)=O)CCCNC(N)=[NH2+])=O.[Cl-]</t>
  </si>
  <si>
    <t>Î±-N-decyl-arginine-methylesterhydrochloride</t>
  </si>
  <si>
    <t>InChI=1S/C19H38N4O3.ClH/c1-3-4-5-6-7-8-9-10-11-14-17(24)23-16(18(25)26-2)13-12-15-22-19(20)21;/h16,19,22H,3-15,20H2,1-2H3,(H,23,24);1H/q+1;/p-1</t>
  </si>
  <si>
    <t>XMALXJHAXLKTAH-UHFFFAOYSA-M</t>
  </si>
  <si>
    <t>O=C(CCCCCCCCCCC)N(C[C@H](O)[C@@H](O)[C@H](O[C@H]1[C@H](O)[C@@H](O)[C@H](O)[C@@H](CO)O1)[C@H](O)CO)C</t>
  </si>
  <si>
    <t>N-dodecanoyl-N-methyllactitolamine</t>
  </si>
  <si>
    <t>InChI=1S/C24H47NO12/c1-2-3-4-5-6-7-8-9-10-11-16(30)25-23(35)22-19(33)18(32)20(34)24(37-22)36-21(15(29)13-27)17(31)14(28)12-26/h14-15,17-24,26-29,31-35H,2-13H2,1H3,(H,25,30)/t14-,15+,17+,18-,19+,20+,21+,22-,23?,24+/m0/s1</t>
  </si>
  <si>
    <t>QODKPISYXJTOBW-LNAZLKFBSA-N</t>
  </si>
  <si>
    <t>CCCCCCCCCCCC(=O)NC1CCOC1=O</t>
  </si>
  <si>
    <t>N-(2-oxooxolan-3-yl)dodecanamide</t>
  </si>
  <si>
    <t>InChI=1S/C16H29NO3/c1-2-3-4-5-6-7-8-9-10-11-15(18)17-14-12-13-20-16(14)19/h14H,2-13H2,1H3,(H,17,18)</t>
  </si>
  <si>
    <t>WILLZMOKUUPJSL-UHFFFAOYSA-N</t>
  </si>
  <si>
    <t>CCCCCCCCCCCC(=O)NCCC[N+](C)(C)CC(O)CO.[Cl-]</t>
  </si>
  <si>
    <t>10.1007/s11743-013-1436-6</t>
  </si>
  <si>
    <t>Lauramidopropylglyceryldimethylammoniumchloride</t>
  </si>
  <si>
    <t>InChI=1S/C20H42N2O3.ClH/c1-4-5-6-7-8-9-10-11-12-14-20(25)21-15-13-16-22(2,3)17-19(24)18-23;/h19,23-24H,4-18H2,1-3H3;1H</t>
  </si>
  <si>
    <t>PPLWNVQOIXHACL-UHFFFAOYSA-N</t>
  </si>
  <si>
    <t>CCCCCCCCCCCC(=O)NCCC[N+](C)(C)CC=CC[N+](C)(C)CCCNC(=O)CCCCCCCCCC.[Br-].[Br-]</t>
  </si>
  <si>
    <t>InChI=1S/C37H74N4O2.2BrH/c1-7-9-11-13-15-17-19-21-23-29-37(43)39-31-27-35-41(5,6)33-25-24-32-40(3,4)34-26-30-38-36(42)28-22-20-18-16-14-12-10-8-2;;/h24-25H,7-23,26-35H2,1-6H3;2*1H</t>
  </si>
  <si>
    <t>ROPZZLSHKCANEH-UHFFFAOYSA-N</t>
  </si>
  <si>
    <t>CCCCCCCCCCCC(=O)NCCC[N+](C)(C)CC=CC[N+](C)(C)CCCNC(=O)CCCCCCCCCC.[Cl-].[Cl-]</t>
  </si>
  <si>
    <t>InChI=1S/C37H74N4O2.2ClH/c1-7-9-11-13-15-17-19-21-23-29-37(43)39-31-27-35-41(5,6)33-25-24-32-40(3,4)34-26-30-38-36(42)28-22-20-18-16-14-12-10-8-2;;/h24-25H,7-23,26-35H2,1-6H3;2*1H</t>
  </si>
  <si>
    <t>LUZBMBACIZXYIH-UHFFFAOYSA-N</t>
  </si>
  <si>
    <t>CCCCCCCCCCCC(=O)NCCC[N+](C)(C)CCCCCC[N+](C)(C)CCCNC(=O)CCCCCCCCCCC.[Br-].[Br-]</t>
  </si>
  <si>
    <t>10.1002/jsde.12346</t>
  </si>
  <si>
    <t>InChI=1S/C40H82N4O2.2BrH/c1-7-9-11-13-15-17-19-21-25-31-39(45)41-33-29-37-43(3,4)35-27-23-24-28-36-44(5,6)38-30-34-42-40(46)32-26-22-20-18-16-14-12-10-8-2;;/h7-38H2,1-6H3;2*1H</t>
  </si>
  <si>
    <t>TWUQJNIANJTHCY-UHFFFAOYSA-N</t>
  </si>
  <si>
    <t>CCCCCCCCCCCC(=O)NCCC[N+](C)(C)Cc1ccc(C[N+](C)(C)CCCNC(=O)CCCCCCCCCCC)cc1.[Cl-].[Cl-]</t>
  </si>
  <si>
    <t>10.1007/s11743-013-1502-0</t>
  </si>
  <si>
    <t>bis-(N-(3-undecylamido-propyl)-N,Ndimethyl)-p-phenyleneDiammoniumDichloride</t>
  </si>
  <si>
    <t>InChI=1S/C42H78N4O2.2ClH/c1-7-9-11-13-15-17-19-21-23-27-41(47)43-33-25-35-45(3,4)37-39-29-31-40(32-30-39)38-46(5,6)36-26-34-44-42(48)28-24-22-20-18-16-14-12-10-8-2;;/h29-32H,7-28,33-38H2,1-6H3;2*1H</t>
  </si>
  <si>
    <t>WGJNSEPDZLEGFR-UHFFFAOYSA-N</t>
  </si>
  <si>
    <t>CCCCCCCCCCCC(=O)NCCC[N+](C)(C)Cc1ccccc1.[Cl-]</t>
  </si>
  <si>
    <t>10.1007/s11743-016-1795-x</t>
  </si>
  <si>
    <t>N-(3-(dimethylbenzylammonium)propyl)lauramidechloride</t>
  </si>
  <si>
    <t>InChI=1S/C24H42N2O.ClH/c1-4-5-6-7-8-9-10-11-15-19-24(27)25-20-16-21-26(2,3)22-23-17-13-12-14-18-23;/h12-14,17-18H,4-11,15-16,19-22H2,1-3H3;1H</t>
  </si>
  <si>
    <t>JOMDPISNBYPGIK-UHFFFAOYSA-N</t>
  </si>
  <si>
    <t>CCCCCCCCCCCC(=O)NCCOCCOCCOCCO</t>
  </si>
  <si>
    <t>InChI=1S/C20H41NO5/c1-2-3-4-5-6-7-8-9-10-11-20(23)21-12-14-24-16-18-26-19-17-25-15-13-22/h22H,2-19H2,1H3,(H,21,23)</t>
  </si>
  <si>
    <t>MEACLFQIPQTFFV-UHFFFAOYSA-N</t>
  </si>
  <si>
    <t>CCCCCCCCCCCC(=O)N[N+](C)(C)CCC[N+](C)(C)NC(=O)CCCCCCCCCCC.[Br-].[Br-]</t>
  </si>
  <si>
    <t>1,3-bis(N'-undecyl-N,N-dimethylhydrazinium)propanedibromide</t>
  </si>
  <si>
    <t>InChI=1S/C31H64N4O2.2BrH/c1-7-9-11-13-15-17-19-21-23-26-30(36)32-34(3,4)28-25-29-35(5,6)33-31(37)27-24-22-20-18-16-14-12-10-8-2;;/h7-29H2,1-6H3;2*1H</t>
  </si>
  <si>
    <t>DERXHMKMKSASLN-UHFFFAOYSA-N</t>
  </si>
  <si>
    <t>CCCCCCCCCCCC(=O)OC(C)C(=O)NCCCN(C)C</t>
  </si>
  <si>
    <t>InChI=1S/C20H40N2O3/c1-5-6-7-8-9-10-11-12-13-15-19(23)25-18(2)20(24)21-16-14-17-22(3)4/h18H,5-17H2,1-4H3,(H,21,24)</t>
  </si>
  <si>
    <t>XPPYGQXGJSKKKZ-UHFFFAOYSA-N</t>
  </si>
  <si>
    <t>CCCCCCCCCCCC(=O)OC(C)C(=O)NCCC[N+](C)(C)C.COS(=O)(=O)[O-]</t>
  </si>
  <si>
    <t>InChI=1S/C21H42N2O3.CH4O4S/c1-6-7-8-9-10-11-12-13-14-16-20(24)26-19(2)21(25)22-17-15-18-23(3,4)5;1-5-6(2,3)4/h19H,6-18H2,1-5H3;1H3,(H,2,3,4)</t>
  </si>
  <si>
    <t>DDEYDFZHVNWQLG-UHFFFAOYSA-N</t>
  </si>
  <si>
    <t>CCCCCCCCCCCC(=O)OCC(C)[N+](C)(C)CC(O)CN(CCCCC)CC(O)C[N+](C)(C)C(C)COC(=O)CCCCCCCCCCC.[Cl-].[Cl-]</t>
  </si>
  <si>
    <t>InChI=1S/C45H93N3O6.2ClH/c1-10-13-16-18-20-22-24-26-28-31-44(51)53-38-40(4)47(6,7)36-42(49)34-46(33-30-15-12-3)35-43(50)37-48(8,9)41(5)39-54-45(52)32-29-27-25-23-21-19-17-14-11-2;;/h40-43,49-50H,10-39H2,1-9H3;2*1H/q+2;;/p-2</t>
  </si>
  <si>
    <t>CJPFAIJLBUICAR-UHFFFAOYSA-L</t>
  </si>
  <si>
    <t>CCCCCCCCCCCC(=O)OCC(C)[N+](C)(C)CC(O)CN(CCCCCC)CC(O)C[N+](C)(C)C(C)COC(=O)CCCCCCCCCCC.[Cl-].[Cl-]</t>
  </si>
  <si>
    <t>InChI=1S/C46H95N3O6.2ClH/c1-10-13-16-19-21-23-25-27-29-32-45(52)54-39-41(4)48(6,7)37-43(50)35-47(34-31-18-15-12-3)36-44(51)38-49(8,9)42(5)40-55-46(53)33-30-28-26-24-22-20-17-14-11-2;;/h41-44,50-51H,10-40H2,1-9H3;2*1H/q+2;;/p-2</t>
  </si>
  <si>
    <t>XQMPZARNDVRHFO-UHFFFAOYSA-L</t>
  </si>
  <si>
    <t>CCCCCCCCCCCC(=O)OCC(C)[N+](C)(C)CC(O)CN(CCCCCCCC)CC(O)C[N+](C)(C)C(C)COC(=O)CCCCCCCCCCC.[Cl-].[Cl-]</t>
  </si>
  <si>
    <t>InChI=1S/C48H99N3O6.2ClH/c1-10-13-16-19-22-24-26-28-31-34-47(54)56-41-43(4)50(6,7)39-45(52)37-49(36-33-30-21-18-15-12-3)38-46(53)40-51(8,9)44(5)42-57-48(55)35-32-29-27-25-23-20-17-14-11-2;;/h43-46,52-53H,10-42H2,1-9H3;2*1H/q+2;;/p-2</t>
  </si>
  <si>
    <t>UADOJWOIXYHEFY-UHFFFAOYSA-L</t>
  </si>
  <si>
    <t>CCCCCCCCCCCC(=O)OCC(COC(=O)CCCCCCCCCCC)(C[n+]1ccn(C)c1)C[n+]1ccn(C)c1.[Br-].[Br-]</t>
  </si>
  <si>
    <t>InChI=1S/C37H66N4O4.2BrH/c1-5-7-9-11-13-15-17-19-21-23-35(42)44-31-37(29-40-27-25-38(3)33-40,30-41-28-26-39(4)34-41)32-45-36(43)24-22-20-18-16-14-12-10-8-6-2;;/h25-28,33-34H,5-24,29-32H2,1-4H3;2*1H/q+2;;/p-2</t>
  </si>
  <si>
    <t>NGWDHCOXHUEPCP-UHFFFAOYSA-L</t>
  </si>
  <si>
    <t>CCCCCCCCCCCC(OCC(CN(CC(CO)O)CCCCC(C(OC)=O)[NH+3])O)=O.[Cl-]</t>
  </si>
  <si>
    <t>10.1021/la901675p</t>
  </si>
  <si>
    <t>InChI=1S/C25H48N2O7.ClH/c1-3-4-5-6-7-8-9-10-11-15-24(31)34-20-22(30)18-27(17-21(29)19-28)16-13-12-14-23(26)25(32)33-2;/h21-23,28-30H,3-20H2,1-2H3;1H/q+1;/p-1</t>
  </si>
  <si>
    <t>UJCPFVGVVGITSK-UHFFFAOYSA-M</t>
  </si>
  <si>
    <t>CCCCCCCCCCCC(OCC(CN(CC(COC(CCCCCCCCCCC)=O)O)CCCCC(C(OC)=O)[NH3+])O)=O.[Cl-]</t>
  </si>
  <si>
    <t>InChI=1S/C37H70N2O8.ClH/c1-4-6-8-10-12-14-16-18-20-25-35(42)46-30-32(40)28-39(27-23-22-24-34(38)37(44)45-3)29-33(41)31-47-36(43)26-21-19-17-15-13-11-9-7-5-2;/h32-34,40-41H,4-31H2,1-3H3;1H/q+1;/p-1</t>
  </si>
  <si>
    <t>XFAFXQPODHNXGH-UHFFFAOYSA-M</t>
  </si>
  <si>
    <t>CCCCCCCCCCCC(=O)OCC1OC(OCCC[N+](C)(C)C)C(O)C(O)C1O.[I-]</t>
  </si>
  <si>
    <t>InChI=1S/C24H48NO7.HI/c1-5-6-7-8-9-10-11-12-13-15-20(26)31-18-19-21(27)22(28)23(29)24(32-19)30-17-14-16-25(2,3)4;/h19,21-24,27-29H,5-18H2,1-4H3;1H/q+1;/p-1</t>
  </si>
  <si>
    <t>XWXUJFFFWGVXDW-UHFFFAOYSA-M</t>
  </si>
  <si>
    <t>CCCCCCCCCCCC(=O)OCCC(CO)COC(CO)COC(CO)COC(CO)CO</t>
  </si>
  <si>
    <t>InChI=1S/C26H52O10/c1-2-3-4-5-6-7-8-9-10-11-26(32)33-13-12-22(14-27)19-34-24(17-30)21-36-25(18-31)20-35-23(15-28)16-29/h22-25,27-31H,2-21H2,1H3</t>
  </si>
  <si>
    <t>HQPUITIKEWOAIL-UHFFFAOYSA-N</t>
  </si>
  <si>
    <t>CCCCCCCCCCCC(=O)OCCC(CO)COC(CO)COC(CO)COC(CO)COC(CO)COC(CO)CO</t>
  </si>
  <si>
    <t>InChI=1S/C32H64O14/c1-2-3-4-5-6-7-8-9-10-11-32(40)41-13-12-26(14-33)21-42-28(17-36)23-44-30(19-38)25-46-31(20-39)24-45-29(18-37)22-43-27(15-34)16-35/h26-31,33-39H,2-25H2,1H3</t>
  </si>
  <si>
    <t>UGUKTQUQAYGIAH-UHFFFAOYSA-N</t>
  </si>
  <si>
    <t>CCCCCCCCCCCC(=O)OCCC(CO)COC(CO)COC(CO)COC(CO)COC(CO)COC(CO)COC(CO)COC(CO)COC(CO)COC(CO)CO</t>
  </si>
  <si>
    <t>InChI=1S/C44H88O22/c1-2-3-4-5-6-7-8-9-10-11-44(56)57-13-12-34(14-45)25-58-36(17-48)27-60-38(19-50)29-62-40(21-52)31-64-42(23-54)33-66-43(24-55)32-65-41(22-53)30-63-39(20-51)28-61-37(18-49)26-59-35(15-46)16-47/h34-43,45-55H,2-33H2,1H3</t>
  </si>
  <si>
    <t>VJJSIXSSKKZKHS-UHFFFAOYSA-N</t>
  </si>
  <si>
    <t>CCCCCCCCCCCC(=O)OCCC[N+](C)(C)CC(O)CN(CCCC)CC(O)C[N+](C)(C)CCCOC(=O)CCCCCCCCCCC.[Cl-].[Cl-]</t>
  </si>
  <si>
    <t>bis{2-hydroxy-3-[3-(dodecanoyloxy)propyldimethylammonio]propyl}butylaminedichloride</t>
  </si>
  <si>
    <t>InChI=1S/C44H91N3O6.2ClH/c1-8-11-14-16-18-20-22-24-26-30-43(50)52-35-28-33-46(4,5)39-41(48)37-45(32-13-10-3)38-42(49)40-47(6,7)34-29-36-53-44(51)31-27-25-23-21-19-17-15-12-9-2;;/h41-42,48-49H,8-40H2,1-7H3;2*1H/q+2;;/p-2</t>
  </si>
  <si>
    <t>CPRNOCGIPNSTPY-UHFFFAOYSA-L</t>
  </si>
  <si>
    <t>CCCCCCCCCCCC(=O)OCCC[N+](C)(C)CC(O)CN(CCCCC)CC(O)C[N+](C)(C)CCCOC(=O)CCCCCCCCCCC.[Cl-].[Cl-]</t>
  </si>
  <si>
    <t>bis{2-hydroxy-3-[3-(dodecanoyloxy)propyldimethylammonio]propyl}pentylaminedichloride</t>
  </si>
  <si>
    <t>InChI=1S/C45H93N3O6.2ClH/c1-8-11-14-16-18-20-22-24-26-31-44(51)53-36-29-34-47(4,5)40-42(49)38-46(33-28-13-10-3)39-43(50)41-48(6,7)35-30-37-54-45(52)32-27-25-23-21-19-17-15-12-9-2;;/h42-43,49-50H,8-41H2,1-7H3;2*1H/q+2;;/p-2</t>
  </si>
  <si>
    <t>RFCIXCNPDBNMJM-UHFFFAOYSA-L</t>
  </si>
  <si>
    <t>CCCCCCCCCCCC(=O)OCCC[N+](C)(C)CC(O)CN(CCCCCC)CC(O)C[N+](C)(C)CCCOC(=O)CCCCCCCCCCC.[Cl-].[Cl-]</t>
  </si>
  <si>
    <t>bis{2-hydroxy-3-[3-(dodecanoyloxy)propyldimethylammonio]propyl}hexylaminedichloride</t>
  </si>
  <si>
    <t>InChI=1S/C46H95N3O6.2ClH/c1-8-11-14-17-19-21-23-25-27-32-45(52)54-37-30-35-48(4,5)41-43(50)39-47(34-29-16-13-10-3)40-44(51)42-49(6,7)36-31-38-55-46(53)33-28-26-24-22-20-18-15-12-9-2;;/h43-44,50-51H,8-42H2,1-7H3;2*1H/q+2;;/p-2</t>
  </si>
  <si>
    <t>MRMJEHSNYSZTTD-UHFFFAOYSA-L</t>
  </si>
  <si>
    <t>CCCCCCCCCCCC(=O)OCCC[N+](C)(C)CC(O)CN(CCCCCCCC)CC(O)C[N+](C)(C)CCCOC(=O)CCCCCCCCCCC.[Cl-].[Cl-]</t>
  </si>
  <si>
    <t>bis{2-hydroxy-3-[3-(dodecanoyloxy)propyldimethylammonio]propyl}octylaminedichloride</t>
  </si>
  <si>
    <t>InChI=1S/C48H99N3O6.2ClH/c1-8-11-14-17-20-22-24-26-29-34-47(54)56-39-32-37-50(4,5)43-45(52)41-49(36-31-28-19-16-13-10-3)42-46(53)44-51(6,7)38-33-40-57-48(55)35-30-27-25-23-21-18-15-12-9-2;;/h45-46,52-53H,8-44H2,1-7H3;2*1H/q+2;;/p-2</t>
  </si>
  <si>
    <t>LFPSBMPKDRONDV-UHFFFAOYSA-L</t>
  </si>
  <si>
    <t>CCCCCCCCCCCCCCCC(OCCOCC(OCCO)C1OCC(C1OCCO)OCCO)=O</t>
  </si>
  <si>
    <t>POE(20) sorbitan monolaurate</t>
  </si>
  <si>
    <t>InChI=1S/C26H50O10/c1-2-3-4-5-6-7-8-9-10-11-24(30)34-19-18-31-20-22(32-15-12-27)26-25(35-17-14-29)23(21-36-26)33-16-13-28/h22-23,25-29H,2-21H2,1H3</t>
  </si>
  <si>
    <t>HMFKFHLTUCJZJO-UHFFFAOYSA-N</t>
  </si>
  <si>
    <t>CCCCCCCCCCCC(=O)OCC[N+](C)(C)CC(O)C[N+](C)(C)CCOC(=O)CCCCCCC.[Cl-].[Cl-]</t>
  </si>
  <si>
    <t>10.1007/s11743-010-1207-6</t>
  </si>
  <si>
    <t>InChI=1S/C31H64N2O5.2ClH/c1-7-9-11-13-14-15-16-18-20-22-31(36)38-26-24-33(5,6)28-29(34)27-32(3,4)23-25-37-30(35)21-19-17-12-10-8-2;;/h29,34H,7-28H2,1-6H3;2*1H/q+2;;/p-2</t>
  </si>
  <si>
    <t>PUAIJVNUAWMRAB-UHFFFAOYSA-L</t>
  </si>
  <si>
    <t>CCCCCCCCCCCC(=O)OCC[N+](C)(C)CC(O)C[N+](C)(C)CCOC(=O)CCCCCCCCC.[Cl-].[Cl-]</t>
  </si>
  <si>
    <t>InChI=1S/C33H68N2O5.2ClH/c1-7-9-11-13-15-16-18-20-22-24-33(38)40-28-26-35(5,6)30-31(36)29-34(3,4)25-27-39-32(37)23-21-19-17-14-12-10-8-2;;/h31,36H,7-30H2,1-6H3;2*1H/q+2;;/p-2</t>
  </si>
  <si>
    <t>DWPLCUKRAQSCEQ-UHFFFAOYSA-L</t>
  </si>
  <si>
    <t>CCCCCCCCCCCC(=O)Oc1cccc2ccc[n+](CCCCCCCCCC)c12.[Br-]</t>
  </si>
  <si>
    <t>10.1080/01932691.2012.683979</t>
  </si>
  <si>
    <t>InChI=1S/C31H50NO2.BrH/c1-3-5-7-9-11-13-14-16-18-25-30(33)34-29-24-20-22-28-23-21-27-32(31(28)29)26-19-17-15-12-10-8-6-4-2;/h20-24,27H,3-19,25-26H2,1-2H3;1H/q+1;/p-1</t>
  </si>
  <si>
    <t>VWCOOZVMCVIVNP-UHFFFAOYSA-M</t>
  </si>
  <si>
    <t>CCCCCCCCCCCC(=O)Oc1cccc2ccc[n+](CCCCCCCCCC[n+]3cccc4cccc(OC(=O)CCCCCCCCCCC)c43)c12.[Br-].[Br-]</t>
  </si>
  <si>
    <t>InChI=1S/C52H78N2O4.2BrH/c1-3-5-7-9-11-13-17-21-25-39-49(55)57-47-37-29-33-45-35-31-43-53(51(45)47)41-27-23-19-15-16-20-24-28-42-54-44-32-36-46-34-30-38-48(52(46)54)58-50(56)40-26-22-18-14-12-10-8-6-4-2;;/h29-38,43-44H,3-28,39-42H2,1-2H3;2*1H/q+2;;/p-2</t>
  </si>
  <si>
    <t>AKSDQAAPTWVHCQ-UHFFFAOYSA-L</t>
  </si>
  <si>
    <t>CCCCCCCCCCCC(=O)Oc1cccc2ccc[n+](CCCCCC[n+]3cccc4cccc(OC(=O)CCCCCCCCCCC)c43)c12.[Br-].[Br-]</t>
  </si>
  <si>
    <t>InChI=1S/C48H70N2O4.2BrH/c1-3-5-7-9-11-13-15-17-21-35-45(51)53-43-33-25-29-41-31-27-39-49(47(41)43)37-23-19-20-24-38-50-40-28-32-42-30-26-34-44(48(42)50)54-46(52)36-22-18-16-14-12-10-8-6-4-2;;/h25-34,39-40H,3-24,35-38H2,1-2H3;2*1H/q+2;;/p-2</t>
  </si>
  <si>
    <t>RSTQBHWAZBIQTM-UHFFFAOYSA-L</t>
  </si>
  <si>
    <t>CCCCCCCCCCCC(C)OS(=O)(=O)[O-].[Na+]</t>
  </si>
  <si>
    <t>sodium-tridecan-2-yl-sulfat</t>
  </si>
  <si>
    <t>InChI=1S/C13H28O4S.Na/c1-3-4-5-6-7-8-9-10-11-12-13(2)17-18(14,15)16;/h13H,3-12H2,1-2H3,(H,14,15,16);/q;+1/p-1</t>
  </si>
  <si>
    <t>JPXHGXMEEDUVAJ-UHFFFAOYSA-M</t>
  </si>
  <si>
    <t>CCCCCCCCCCCC(C)[N+](C)(C)CCCCCCCCCCCC[N+](C)(C)C(C)CCCCCCCCCCC.[Br-].[Br-]</t>
  </si>
  <si>
    <t>10.3390/molecules24234380</t>
  </si>
  <si>
    <t>InChI=1S/C42H90N2.2BrH/c1-9-11-13-15-17-21-25-29-33-37-41(3)43(5,6)39-35-31-27-23-19-20-24-28-32-36-40-44(7,8)42(4)38-34-30-26-22-18-16-14-12-10-2;;/h41-42H,9-40H2,1-8H3;2*1H/q+2;;/p-2</t>
  </si>
  <si>
    <t>OJCZGAWIRFLDRE-UHFFFAOYSA-L</t>
  </si>
  <si>
    <t>CCCCCCCCCCCC(C)[N+](C)(C)CCCCCCCCCC[N+](C)(C)C(C)CCCCCCCCCCC.[Br-].[Br-]</t>
  </si>
  <si>
    <t>InChI=1S/C40H86N2.2BrH/c1-9-11-13-15-17-19-23-27-31-35-39(3)41(5,6)37-33-29-25-21-22-26-30-34-38-42(7,8)40(4)36-32-28-24-20-18-16-14-12-10-2;;/h39-40H,9-38H2,1-8H3;2*1H/q+2;;/p-2</t>
  </si>
  <si>
    <t>GIKOMTAHCHFQIM-UHFFFAOYSA-L</t>
  </si>
  <si>
    <t>CCCCCCCCCCCC(C)[N+](C)(C)CCCCCCCC[N+](C)(C)C(C)CCCCCCCCCCC.[Br-].[Br-]</t>
  </si>
  <si>
    <t>InChI=1S/C38H82N2.2BrH/c1-9-11-13-15-17-19-21-25-29-33-37(3)39(5,6)35-31-27-23-24-28-32-36-40(7,8)38(4)34-30-26-22-20-18-16-14-12-10-2;;/h37-38H,9-36H2,1-8H3;2*1H/q+2;;/p-2</t>
  </si>
  <si>
    <t>XLFKPBZNRILOHL-UHFFFAOYSA-L</t>
  </si>
  <si>
    <t>CCCCCCCCCCCC(C)[N+](C)(C)CCCCCC[N+](C)(C)C(C)CCCCCCCCCCC.[Br-].[Br-]</t>
  </si>
  <si>
    <t>InChI=1S/C36H78N2.2BrH/c1-9-11-13-15-17-19-21-23-27-31-35(3)37(5,6)33-29-25-26-30-34-38(7,8)36(4)32-28-24-22-20-18-16-14-12-10-2;;/h35-36H,9-34H2,1-8H3;2*1H/q+2;;/p-2</t>
  </si>
  <si>
    <t>TWVYUXQCDOWCPM-UHFFFAOYSA-L</t>
  </si>
  <si>
    <t>CCCCCCCCCCCC(C)[N+](C)(C)CCCCC[N+](C)(C)C(C)CCCCCCCCCCC.[Br-].[Br-]</t>
  </si>
  <si>
    <t>InChI=1S/C35H76N2.2BrH/c1-9-11-13-15-17-19-21-23-26-30-34(3)36(5,6)32-28-25-29-33-37(7,8)35(4)31-27-24-22-20-18-16-14-12-10-2;;/h34-35H,9-33H2,1-8H3;2*1H/q+2;;/p-2</t>
  </si>
  <si>
    <t>KNPOWMSHJQJFDQ-UHFFFAOYSA-L</t>
  </si>
  <si>
    <t>CCCCCCCCCCCC(C)[N+](C)(C)CCCC[N+](C)(C)C(C)CCCCCCCCCCC.[Br-].[Br-]</t>
  </si>
  <si>
    <t>InChI=1S/C34H74N2.2BrH/c1-9-11-13-15-17-19-21-23-25-29-33(3)35(5,6)31-27-28-32-36(7,8)34(4)30-26-24-22-20-18-16-14-12-10-2;;/h33-34H,9-32H2,1-8H3;2*1H/q+2;;/p-2</t>
  </si>
  <si>
    <t>YUGMIHHKEMZWGB-UHFFFAOYSA-L</t>
  </si>
  <si>
    <t>CCCCCCCCCCCC(C)[N+](C)(C)CCC[N+](C)(C)C(C)CCCCCCCCCCC.[Br-].[Br-]</t>
  </si>
  <si>
    <t>InChI=1S/C33H72N2.2BrH/c1-9-11-13-15-17-19-21-23-25-28-32(3)34(5,6)30-27-31-35(7,8)33(4)29-26-24-22-20-18-16-14-12-10-2;;/h32-33H,9-31H2,1-8H3;2*1H/q+2;;/p-2</t>
  </si>
  <si>
    <t>NXBMEKLHUPPIRO-UHFFFAOYSA-L</t>
  </si>
  <si>
    <t>CCCCCCCCCCCC(C)c1ccc(S(=O)(=O)[O-])cc1.[Na+]</t>
  </si>
  <si>
    <t>sodium-4-tridecan-2-ylbenzenesulfonate</t>
  </si>
  <si>
    <t>InChI=1S/C19H32O3S.Na/c1-3-4-5-6-7-8-9-10-11-12-17(2)18-13-15-19(16-14-18)23(20,21)22;/h13-17H,3-12H2,1-2H3,(H,20,21,22);/q;+1/p-1</t>
  </si>
  <si>
    <t>XGXHFRAKNBHVRI-UHFFFAOYSA-M</t>
  </si>
  <si>
    <t>CCCCCCCCCCCC(CC)OS(=O)(=O)[O-].[Na+]</t>
  </si>
  <si>
    <t>sodium-tetradecan-3-yl-sulfate</t>
  </si>
  <si>
    <t>InChI=1S/C14H30O4S.Na/c1-3-5-6-7-8-9-10-11-12-13-14(4-2)18-19(15,16)17;/h14H,3-13H2,1-2H3,(H,15,16,17);/q;+1/p-1</t>
  </si>
  <si>
    <t>AFCMRXYTEJPSGX-UHFFFAOYSA-M</t>
  </si>
  <si>
    <t>CCCCCCCCCCCC(CC)c1ccc(S(=O)(=O)[O-])cc1.[Na+]</t>
  </si>
  <si>
    <t>sodium-4-tetradecan-3-ylbenzenesulfonate</t>
  </si>
  <si>
    <t>InChI=1S/C20H34O3S.Na/c1-3-5-6-7-8-9-10-11-12-13-18(4-2)19-14-16-20(17-15-19)24(21,22)23;/h14-18H,3-13H2,1-2H3,(H,21,22,23);/q;+1/p-1</t>
  </si>
  <si>
    <t>OEVUVKJGDDERDZ-UHFFFAOYSA-M</t>
  </si>
  <si>
    <t>CCCCCCCCCCCC(CCC)COS(=O)(=O)[O-].[Na+]</t>
  </si>
  <si>
    <t>InChI=1S/C16H34O4S.Na/c1-3-5-6-7-8-9-10-11-12-14-16(13-4-2)15-20-21(17,18)19;/h16H,3-15H2,1-2H3,(H,17,18,19);/q;+1/p-1</t>
  </si>
  <si>
    <t>WZVKHOZSOVXLKD-UHFFFAOYSA-M</t>
  </si>
  <si>
    <t>CCCCCCCCCCCC(CCC)c1ccc(S(=O)(=O)[O-])cc1.[Na+]</t>
  </si>
  <si>
    <t>sodium-4-pentadecan-4-ylbenzenesulfonate</t>
  </si>
  <si>
    <t>InChI=1S/C21H36O3S.Na/c1-3-5-6-7-8-9-10-11-12-14-19(13-4-2)20-15-17-21(18-16-20)25(22,23)24;/h15-19H,3-14H2,1-2H3,(H,22,23,24);/q;+1/p-1</t>
  </si>
  <si>
    <t>VFNHACRMCDBSTR-UHFFFAOYSA-M</t>
  </si>
  <si>
    <t>CCCCCCCCCCCC(CCS(=O)(=O)[O-])COCCO.[Na+]</t>
  </si>
  <si>
    <t>InChI=1S/C17H36O5S.Na/c1-2-3-4-5-6-7-8-9-10-11-17(16-22-14-13-18)12-15-23(19,20)21;/h17-18H,2-16H2,1H3,(H,19,20,21);/q;+1/p-1</t>
  </si>
  <si>
    <t>OMZPSEPPWFBTJR-UHFFFAOYSA-M</t>
  </si>
  <si>
    <t>CCCCCCCCCCCC(CCS(=O)(=O)[O-])COCCOCCO.[Na+]</t>
  </si>
  <si>
    <t>InChI=1S/C19H40O6S.Na/c1-2-3-4-5-6-7-8-9-10-11-19(12-17-26(21,22)23)18-25-16-15-24-14-13-20;/h19-20H,2-18H2,1H3,(H,21,22,23);/q;+1/p-1</t>
  </si>
  <si>
    <t>AMZDSEJFVGRSOD-UHFFFAOYSA-M</t>
  </si>
  <si>
    <t>CCCCCCCCCCCC(CCS(=O)(=O)[O-])N(C)C.[Na+]</t>
  </si>
  <si>
    <t>10.1016/j.tetasy.2004.01.022</t>
  </si>
  <si>
    <t>InChI=1S/C16H35NO3S.Na/c1-4-5-6-7-8-9-10-11-12-13-16(17(2)3)14-15-21(18,19)20;/h16H,4-15H2,1-3H3,(H,18,19,20);/q;+1/p-1</t>
  </si>
  <si>
    <t>KTKYBVWGJBUMMI-UHFFFAOYSA-M</t>
  </si>
  <si>
    <t>CCCCCCCCCCCC(CCS(=O)(=O)[O-])N1CCCCC1.[Na+]</t>
  </si>
  <si>
    <t>InChI=1S/C19H39NO3S.Na/c1-2-3-4-5-6-7-8-9-11-14-19(15-18-24(21,22)23)20-16-12-10-13-17-20;/h19H,2-18H2,1H3,(H,21,22,23);/q;+1/p-1</t>
  </si>
  <si>
    <t>YQVINRXBFBYBPB-UHFFFAOYSA-M</t>
  </si>
  <si>
    <t>CCCCCCCCCCCC(CCS(=O)(=O)[O-])N1CCOCC1.[Na+]</t>
  </si>
  <si>
    <t>InChI=1S/C18H37NO4S.Na/c1-2-3-4-5-6-7-8-9-10-11-18(12-17-24(20,21)22)19-13-15-23-16-14-19;/h18H,2-17H2,1H3,(H,20,21,22);/q;+1/p-1</t>
  </si>
  <si>
    <t>VMQDJAIVGLABKD-UHFFFAOYSA-M</t>
  </si>
  <si>
    <t>CCCCCCCCCCCC(CCS(=O)(=O)[O-])NCCC.[Na+]</t>
  </si>
  <si>
    <t>InChI=1S/C17H37NO3S.Na/c1-3-5-6-7-8-9-10-11-12-13-17(18-15-4-2)14-16-22(19,20)21;/h17-18H,3-16H2,1-2H3,(H,19,20,21);/q;+1/p-1</t>
  </si>
  <si>
    <t>IFSRVKLFJLBDGX-UHFFFAOYSA-M</t>
  </si>
  <si>
    <t>CCCCCCCCCCCC(CCS(=O)(=O)[O-])NCCCC.[Na+]</t>
  </si>
  <si>
    <t>InChI=1S/C18H39NO3S.Na/c1-3-5-7-8-9-10-11-12-13-14-18(19-16-6-4-2)15-17-23(20,21)22;/h18-19H,3-17H2,1-2H3,(H,20,21,22);/q;+1/p-1</t>
  </si>
  <si>
    <t>KUPCFHFFYJMEFU-UHFFFAOYSA-M</t>
  </si>
  <si>
    <t>CCCCCCCCCCCC(CCS(=O)(=O)[O-])Oc1cc(Cl)c(Cl)cc1Cl.[Na+]</t>
  </si>
  <si>
    <t>InChI=1S/C20H31Cl3O4S.Na/c1-2-3-4-5-6-7-8-9-10-11-16(12-13-28(24,25)26)27-20-15-18(22)17(21)14-19(20)23;/h14-16H,2-13H2,1H3,(H,24,25,26);/q;+1/p-1</t>
  </si>
  <si>
    <t>CRKZFFDBFDAOFK-UHFFFAOYSA-M</t>
  </si>
  <si>
    <t>CCCCCCCCCCCC(CCS(=O)(=O)[O-])Oc1ccccc1.[Na+]</t>
  </si>
  <si>
    <t>InChI=1S/C20H34O4S.Na/c1-2-3-4-5-6-7-8-9-11-16-20(17-18-25(21,22)23)24-19-14-12-10-13-15-19;/h10,12-15,20H,2-9,11,16-18H2,1H3,(H,21,22,23);/q;+1/p-1</t>
  </si>
  <si>
    <t>UWKRDEKFTPXYFB-UHFFFAOYSA-M</t>
  </si>
  <si>
    <t>CCCCCCCCCCCC(O)CCS(=O)(=O)[O-].[Na+]</t>
  </si>
  <si>
    <t>sodium-3-hydroxytetradecane-1-sulfonate</t>
  </si>
  <si>
    <t>InChI=1S/C14H30O4S.Na/c1-2-3-4-5-6-7-8-9-10-11-14(15)12-13-19(16,17)18;/h14-15H,2-13H2,1H3,(H,16,17,18);/q;+1/p-1</t>
  </si>
  <si>
    <t>CYSFCDDXAUBSIS-UHFFFAOYSA-M</t>
  </si>
  <si>
    <t>CCCCCCCCCCCC(O)NC(O)(OS(=O)(=O)[O-])[C@H]1OC(O)[C@H](O)[C@@H](O)[C@@H]1O.[Na+]</t>
  </si>
  <si>
    <t>InChI=1S/C18H37NO11S.Na/c1-2-3-4-5-6-7-8-9-10-11-12(20)19-18(25,30-31(26,27)28)16-14(22)13(21)15(23)17(24)29-16;/h12-17,19-25H,2-11H2,1H3,(H,26,27,28);/q;+1/p-1/t12?,13-,14-,15+,16-,17?,18?;/m0./s1</t>
  </si>
  <si>
    <t>QQXVDJVUDIOQKD-DGKWNLITSA-M</t>
  </si>
  <si>
    <t>CCCCCCCCCCCC(O)NCCOCCO</t>
  </si>
  <si>
    <t>InChI=1S/C16H35NO3/c1-2-3-4-5-6-7-8-9-10-11-16(19)17-12-14-20-15-13-18/h16-19H,2-15H2,1H3</t>
  </si>
  <si>
    <t>JXMCPPCWOVIQQI-UHFFFAOYSA-N</t>
  </si>
  <si>
    <t>CCCCCCCCCCCC(O)NCCOCCOCCO</t>
  </si>
  <si>
    <t>InChI=1S/C18H39NO4/c1-2-3-4-5-6-7-8-9-10-11-18(21)19-12-14-22-16-17-23-15-13-20/h18-21H,2-17H2,1H3</t>
  </si>
  <si>
    <t>HDBRMNDJYZZWPX-UHFFFAOYSA-N</t>
  </si>
  <si>
    <t>CCCCCCCCCCCC(O)NCCOCCOCCOCCO</t>
  </si>
  <si>
    <t>InChI=1S/C20H43NO5/c1-2-3-4-5-6-7-8-9-10-11-20(23)21-12-14-24-16-18-26-19-17-25-15-13-22/h20-23H,2-19H2,1H3</t>
  </si>
  <si>
    <t>VFKDQKMEQBEDRY-UHFFFAOYSA-N</t>
  </si>
  <si>
    <t>CCCCCCCCCCCCOCCOCCO</t>
  </si>
  <si>
    <t>10.1021/j100393a025</t>
  </si>
  <si>
    <t>InChI=1S/C16H34O3/c1-3-5-6-7-8-9-10-11-12-13-16(17)19-15-14-18-4-2/h16-17H,3-15H2,1-2H3</t>
  </si>
  <si>
    <t>MXODEFAEBQGHHK-UHFFFAOYSA-N</t>
  </si>
  <si>
    <t>OCCOCCOCCOCCCCCCCCCCCC</t>
  </si>
  <si>
    <t>InChI=1S/C18H38O4/c1-3-5-6-7-8-9-10-11-12-13-18(19)22-17-16-21-15-14-20-4-2/h18-19H,3-17H2,1-2H3</t>
  </si>
  <si>
    <t>FDWMXICXSJQRFD-UHFFFAOYSA-N</t>
  </si>
  <si>
    <t>OCCOCCOCCOCCOCCCCCCCCCCCC</t>
  </si>
  <si>
    <t>InChI=1S/C20H42O5/c1-3-5-6-7-8-9-10-11-12-13-20(21)25-19-18-24-17-16-23-15-14-22-4-2/h20-21H,3-19H2,1-2H3</t>
  </si>
  <si>
    <t>KAGYMLVCWHNJNJ-UHFFFAOYSA-N</t>
  </si>
  <si>
    <t>OCCOCCOCCOCCOCCOCCCCCCCCCCCC</t>
  </si>
  <si>
    <t>InChI=1S/C22H46O6/c1-3-5-6-7-8-9-10-11-12-13-22(23)28-21-20-27-19-18-26-17-16-25-15-14-24-4-2/h22-23H,3-21H2,1-2H3</t>
  </si>
  <si>
    <t>ZDBRUZZHUOPDDW-UHFFFAOYSA-N</t>
  </si>
  <si>
    <t>CCCCCCCCCCCCOCCOCCOCCOCCOCCOCCO</t>
  </si>
  <si>
    <t>1961/tf/tf9615701627</t>
  </si>
  <si>
    <t>InChI=1S/C24H50O7/c1-3-5-6-7-8-9-10-11-12-13-24(25)31-23-22-30-21-20-29-19-18-28-17-16-27-15-14-26-4-2/h24-25H,3-23H2,1-2H3</t>
  </si>
  <si>
    <t>YJODXOGOFNGXMH-UHFFFAOYSA-N</t>
  </si>
  <si>
    <t>OCCOCCOCCOCCOCCOCCOCCOCCCCCCCCCCCC</t>
  </si>
  <si>
    <t>InChI=1S/C26H54O8/c1-3-5-6-7-8-9-10-11-12-13-26(27)34-25-24-33-23-22-32-21-20-31-19-18-30-17-16-29-15-14-28-4-2/h26-27H,3-25H2,1-2H3</t>
  </si>
  <si>
    <t>KMCUYRUYWWHWGJ-UHFFFAOYSA-N</t>
  </si>
  <si>
    <t>OCCOCCOCCOCCOCCOCCOCCOCCOCCCCCCCCCCCC</t>
  </si>
  <si>
    <t>InChI=1S/C28H58O9/c1-3-5-6-7-8-9-10-11-12-13-28(29)37-27-26-36-25-24-35-23-22-34-21-20-33-19-18-32-17-16-31-15-14-30-4-2/h28-29H,3-27H2,1-2H3</t>
  </si>
  <si>
    <t>YPRFEGCKXFBWPX-UHFFFAOYSA-N</t>
  </si>
  <si>
    <t>OCCOCCOCCOCCOCCOCCOCCOCCOCCOCCCCCCCCCCCC</t>
  </si>
  <si>
    <t>InChI=1S/C30H62O10/c1-3-5-6-7-8-9-10-11-12-13-30(31)40-29-28-39-27-26-38-25-24-37-23-22-36-21-20-35-19-18-34-17-16-33-15-14-32-4-2/h30-31H,3-29H2,1-2H3</t>
  </si>
  <si>
    <t>AUZAZJLQHXJCKB-UHFFFAOYSA-N</t>
  </si>
  <si>
    <t>CCCCCCCCCCCCOCCOCCOCCOCCOCCOCCOCCOCCOCCOCCOCCOCCO</t>
  </si>
  <si>
    <t>InChI=1S/C36H74O13/c1-3-5-6-7-8-9-10-11-12-13-36(37)49-35-34-48-33-32-47-31-30-46-29-28-45-27-26-44-25-24-43-23-22-42-21-20-41-19-18-40-17-16-39-15-14-38-4-2/h36-37H,3-35H2,1-2H3</t>
  </si>
  <si>
    <t>XGUFGEMKNHJRDT-UHFFFAOYSA-N</t>
  </si>
  <si>
    <t>CCCCCCCCCCCCCCCCOCCOCCOCCOCCOCCOCCOCCOCCOCCO</t>
  </si>
  <si>
    <t>calculated by cmc/C20</t>
  </si>
  <si>
    <t>InChI=1S/C40H82O15/c1-3-5-6-7-8-9-10-11-12-13-40(41)55-39-38-54-37-36-53-35-34-52-33-32-51-31-30-50-29-28-49-27-26-48-25-24-47-23-22-46-21-20-45-19-18-44-17-16-43-15-14-42-4-2/h40-41H,3-39H2,1-2H3</t>
  </si>
  <si>
    <t>LEXKLEZJIDHPGD-UHFFFAOYSA-N</t>
  </si>
  <si>
    <t>OCCOCCOCCOCCOCCOCCOCCOCCOCCOCCOCCOCCOCCCCCCCCCCCCCCCC</t>
  </si>
  <si>
    <t>InChI=1S/C46H94O18/c1-3-5-6-7-8-9-10-11-12-13-46(47)64-45-44-63-43-42-62-41-40-61-39-38-60-37-36-59-35-34-58-33-32-57-31-30-56-29-28-55-27-26-54-25-24-53-23-22-52-21-20-51-19-18-50-17-16-49-15-14-48-4-2/h46-47H,3-45H2,1-2H3</t>
  </si>
  <si>
    <t>HONILLJHNKOSMT-UHFFFAOYSA-N</t>
  </si>
  <si>
    <t>CCCCCCCCCCCC(OCC)(OCC)OS(=O)(=O)[O-].[Na+]</t>
  </si>
  <si>
    <t>sodium-1,1-diethoxydodecyl-sulfate</t>
  </si>
  <si>
    <t>InChI=1S/C16H34O6S.Na/c1-4-7-8-9-10-11-12-13-14-15-16(20-5-2,21-6-3)22-23(17,18)19;/h4-15H2,1-3H3,(H,17,18,19);/q;+1/p-1</t>
  </si>
  <si>
    <t>UEXPVEJRBPHUKD-UHFFFAOYSA-M</t>
  </si>
  <si>
    <t>CCCCCCCCCCCC(OCC)OS(=O)(=O)[O-].[Na+]</t>
  </si>
  <si>
    <t>sodium-1-ethoxydodecyl-sulfate</t>
  </si>
  <si>
    <t>InChI=1S/C14H30O5S.Na/c1-3-5-6-7-8-9-10-11-12-13-14(18-4-2)19-20(15,16)17;/h14H,3-13H2,1-2H3,(H,15,16,17);/q;+1/p-1</t>
  </si>
  <si>
    <t>LMZWJJJMIUZWIX-UHFFFAOYSA-M</t>
  </si>
  <si>
    <t>CCCCCCCCCCCC(OCCOCC)(OCCOCC)OS(=O)(=O)[O-].[Na+]</t>
  </si>
  <si>
    <t>10.1021/la950581j</t>
  </si>
  <si>
    <t>InChI=1S/C20H42O8S.Na/c1-4-7-8-9-10-11-12-13-14-15-20(28-29(21,22)23,26-18-16-24-5-2)27-19-17-25-6-3;/h4-19H2,1-3H3,(H,21,22,23);/q;+1/p-1</t>
  </si>
  <si>
    <t>JKOMFIUKNZERHH-UHFFFAOYSA-M</t>
  </si>
  <si>
    <t>CCCCCCCCCCCC1=NCC[N+]1(CCCCCC[N+]1(CCNCCN)CCN=C1CCCCCCCCCCC)CCNCCN.[Br-].[Br-]</t>
  </si>
  <si>
    <t>InChI=1S/C42H88N8.2BrH/c1-3-5-7-9-11-13-15-17-21-25-41-47-33-39-49(41,37-31-45-29-27-43)35-23-19-20-24-36-50(38-32-46-30-28-44)40-34-48-42(50)26-22-18-16-14-12-10-8-6-4-2;;/h45-46H,3-40,43-44H2,1-2H3;2*1H/q+2;;/p-2</t>
  </si>
  <si>
    <t>QDGAAVRVLFNHML-UHFFFAOYSA-L</t>
  </si>
  <si>
    <t>CCCCCCCCCCCC1=[N+](CCO)CCN1.O=C([O-])O</t>
  </si>
  <si>
    <t>10.1007/s11743-012-1332-5</t>
  </si>
  <si>
    <t>InChI=1S/C16H32N2O.CH2O3/c1-2-3-4-5-6-7-8-9-10-11-16-17-12-13-18(16)14-15-19;2-1(3)4/h19H,2-15H2,1H3;(H2,2,3,4)</t>
  </si>
  <si>
    <t>WADHQOBQKQPGKR-UHFFFAOYSA-N</t>
  </si>
  <si>
    <t>C[N+](C)(C)CC(O1)COC1CCCCCCCCCCCCC.[Br-]</t>
  </si>
  <si>
    <t>InChI=1S/C18H38NO2.BrH/c1-5-6-7-8-9-10-11-12-13-14-18-20-16-17(21-18)15-19(2,3)4;/h17-18H,5-16H2,1-4H3;1H/q+1;/p-1</t>
  </si>
  <si>
    <t>ODWOQGOGKYETHV-UHFFFAOYSA-M</t>
  </si>
  <si>
    <t>CCCCCCCCCCCCC(=O)NCCC[N+](C)(C)CC(O)C[N+](C)(C)CCCNC(=O)CCCCCCCCCCCC.[Cl-].[Cl-]</t>
  </si>
  <si>
    <t>1,3-2(doedecylamidepropyldimethylammoniumchloride)isopropylalcohol</t>
  </si>
  <si>
    <t>InChI=1S/C39H80N4O3.2ClH/c1-7-9-11-13-15-17-19-21-23-25-29-38(45)40-31-27-33-42(3,4)35-37(44)36-43(5,6)34-28-32-41-39(46)30-26-24-22-20-18-16-14-12-10-8-2;;/h37,44H,7-36H2,1-6H3;2*1H</t>
  </si>
  <si>
    <t>MHLUIBFEJXHHGU-UHFFFAOYSA-N</t>
  </si>
  <si>
    <t>CCCCCCCCCCCCC(=O)NCC[N+](C)(C)C.[Cl-]</t>
  </si>
  <si>
    <t>InChI=1S/C18H38N2O.ClH/c1-5-6-7-8-9-10-11-12-13-14-15-18(21)19-16-17-20(2,3)4;/h5-17H2,1-4H3;1H</t>
  </si>
  <si>
    <t>ZNLXUJYWSLAAKC-UHFFFAOYSA-N</t>
  </si>
  <si>
    <t>CCCCCCCCCCCCC(=O)NCC[N+](C)(C)CC(O)C[N+](C)(C)CCNC(=O)CCCCCCCCCCCC.[Cl-].[Cl-]</t>
  </si>
  <si>
    <t>InChI=1S/C37H76N4O3.2ClH/c1-7-9-11-13-15-17-19-21-23-25-27-36(43)38-29-31-40(3,4)33-35(42)34-41(5,6)32-30-39-37(44)28-26-24-22-20-18-16-14-12-10-8-2;;/h35,42H,7-34H2,1-6H3;2*1H</t>
  </si>
  <si>
    <t>JDKQJVGUWIUCFS-UHFFFAOYSA-N</t>
  </si>
  <si>
    <t>CCCCCCCCCCCCC(=O)NCC[N+](C)(C)Cc1ccccc1.[Cl-]</t>
  </si>
  <si>
    <t>InChI=1S/C24H42N2O.ClH/c1-4-5-6-7-8-9-10-11-12-16-19-24(27)25-20-21-26(2,3)22-23-17-14-13-15-18-23;/h13-15,17-18H,4-12,16,19-22H2,1-3H3;1H</t>
  </si>
  <si>
    <t>DYSTYFCMAZTZBF-UHFFFAOYSA-N</t>
  </si>
  <si>
    <t>CCCCCCCCCCCCC(=O)N[N+](C)(C)CCC[N+](C)(C)NC(=O)CCCCCCCCCCCC.[Br-].[Br-]</t>
  </si>
  <si>
    <t>InChI=1S/C33H68N4O2.2BrH/c1-7-9-11-13-15-17-19-21-23-25-28-32(38)34-36(3,4)30-27-31-37(5,6)35-33(39)29-26-24-22-20-18-16-14-12-10-8-2;;/h7-31H2,1-6H3;2*1H</t>
  </si>
  <si>
    <t>IJQILKMOSZTOIH-UHFFFAOYSA-N</t>
  </si>
  <si>
    <t>CCCCCCCCCCCCC(=O)OCC[N+](C)(C)C.[Cl-]</t>
  </si>
  <si>
    <t>InChI=1S/C18H38NO2.ClH/c1-5-6-7-8-9-10-11-12-13-14-15-18(20)21-17-16-19(2,3)4;/h5-17H2,1-4H3;1H/q+1;/p-1</t>
  </si>
  <si>
    <t>AXNPABWXOBXVDN-UHFFFAOYSA-M</t>
  </si>
  <si>
    <t>CCCCCCCCCCCCC(=O)OCC[N+](C)(C)CC(O)C[N+](C)(C)CCOC(=O)CCCCCCCCCCCC.[Cl-].[Cl-]</t>
  </si>
  <si>
    <t>InChI=1S/C37H76N2O5.2ClH/c1-7-9-11-13-15-17-19-21-23-25-27-36(41)43-31-29-38(3,4)33-35(40)34-39(5,6)30-32-44-37(42)28-26-24-22-20-18-16-14-12-10-8-2;;/h35,40H,7-34H2,1-6H3;2*1H/q+2;;/p-2</t>
  </si>
  <si>
    <t>ZZJBNOCOOCJBGT-UHFFFAOYSA-L</t>
  </si>
  <si>
    <t>CCCCCCCCCCCCC(=O)OCC[N+](C)(C)CCCC[N+](C)(C)CCOC(=O)CCCCCCCCCCCC.[Cl-].[Cl-]</t>
  </si>
  <si>
    <t>10.1007/s11743-001-0180-6</t>
  </si>
  <si>
    <t>InChI=1S/C38H78N2O4.2ClH/c1-7-9-11-13-15-17-19-21-23-25-29-37(41)43-35-33-39(3,4)31-27-28-32-40(5,6)34-36-44-38(42)30-26-24-22-20-18-16-14-12-10-8-2;;/h7-36H2,1-6H3;2*1H/q+2;;/p-2</t>
  </si>
  <si>
    <t>QILQIQJDAHJZLE-UHFFFAOYSA-L</t>
  </si>
  <si>
    <t>CCCCCCCCCCCCC(=O)OCC[n+]1ccc(CCCc2cc[n+](CCOC(=O)CCCCCCCCCCCC)cc2)cc1.[Br-].[Br-]</t>
  </si>
  <si>
    <t>InChI=1S/C43H72N2O4.2BrH/c1-3-5-7-9-11-13-15-17-19-21-26-42(46)48-38-36-44-32-28-40(29-33-44)24-23-25-41-30-34-45(35-31-41)37-39-49-43(47)27-22-20-18-16-14-12-10-8-6-4-2;;/h28-35H,3-27,36-39H2,1-2H3;2*1H/q+2;;/p-2</t>
  </si>
  <si>
    <t>VJLLVPVDCPZGCS-UHFFFAOYSA-L</t>
  </si>
  <si>
    <t>CCCCCCCCCCCCC(=O)OCC[n+]1ccc(CCCc2cc[n+](CCOC(=O)CCCCCCCCCCCC)cc2)cc1.[Cl-].[Cl-]</t>
  </si>
  <si>
    <t>InChI=1S/C43H72N2O4.2ClH/c1-3-5-7-9-11-13-15-17-19-21-26-42(46)48-38-36-44-32-28-40(29-33-44)24-23-25-41-30-34-45(35-31-41)37-39-49-43(47)27-22-20-18-16-14-12-10-8-6-4-2;;/h28-35H,3-27,36-39H2,1-2H3;2*1H/q+2;;/p-2</t>
  </si>
  <si>
    <t>CRGQCZUUEPOSTE-UHFFFAOYSA-L</t>
  </si>
  <si>
    <t>CCCCCCCCCCCCC(=O)[O-].[K+]</t>
  </si>
  <si>
    <t>InChI=1S/C13H26O2.K/c1-2-3-4-5-6-7-8-9-10-11-12-13(14)15;/h2-12H2,1H3,(H,14,15);/q;+1/p-1</t>
  </si>
  <si>
    <t>MPEKSGRAFPNSLM-UHFFFAOYSA-M</t>
  </si>
  <si>
    <t>CCCCCCCCCCCCC(C(=O)OCC)S(=O)(=O)[O-].[Na+]</t>
  </si>
  <si>
    <t>sodium-1-ethoxy-1-oxotetradecane-2-sulfonate</t>
  </si>
  <si>
    <t>InChI=1S/C16H32O5S.Na/c1-3-5-6-7-8-9-10-11-12-13-14-15(22(18,19)20)16(17)21-4-2;/h15H,3-14H2,1-2H3,(H,18,19,20);/q;+1/p-1</t>
  </si>
  <si>
    <t>WKXVUMNKBWXMJE-UHFFFAOYSA-M</t>
  </si>
  <si>
    <t>CCCCCCCCCCCCC(C(=O)OCCCC)S(=O)(=O)[O-].[Na+]</t>
  </si>
  <si>
    <t>InChI=1S/C18H36O5S.Na/c1-3-5-7-8-9-10-11-12-13-14-15-17(24(20,21)22)18(19)23-16-6-4-2;/h17H,3-16H2,1-2H3,(H,20,21,22);/q;+1/p-1</t>
  </si>
  <si>
    <t>ZSNULYGGKYSUQD-UHFFFAOYSA-M</t>
  </si>
  <si>
    <t>O=C([O-])C[N+](CCCCCCCCCCCC)(C)C</t>
  </si>
  <si>
    <t>2-(trimethylazaniumyl)tetradecanoate</t>
  </si>
  <si>
    <t>InChI=1S/C17H35NO2/c1-5-6-7-8-9-10-11-12-13-14-15-16(17(19)20)18(2,3)4/h16H,5-15H2,1-4H3</t>
  </si>
  <si>
    <t>LVBSECZFJBGOCR-UHFFFAOYSA-N</t>
  </si>
  <si>
    <t>CCCCCCCCCCCCC(C(=O)[O-])[n+]1ccccc1</t>
  </si>
  <si>
    <t>InChI=1S/C19H31NO2/c1-2-3-4-5-6-7-8-9-10-12-15-18(19(21)22)20-16-13-11-14-17-20/h11,13-14,16-18H,2-10,12,15H2,1H3</t>
  </si>
  <si>
    <t>TYUUXJFTMBSNAH-UHFFFAOYSA-N</t>
  </si>
  <si>
    <t>CCCCCCCCCCCCC(C)OS(=O)(=O)[O-].[Na+]</t>
  </si>
  <si>
    <t>sodium-tetradecan-2-ylsulfate</t>
  </si>
  <si>
    <t>InChI=1S/C14H30O4S.Na/c1-3-4-5-6-7-8-9-10-11-12-13-14(2)18-19(15,16)17;/h14H,3-13H2,1-2H3,(H,15,16,17);/q;+1/p-1</t>
  </si>
  <si>
    <t>JGRRZEBUCKATJV-UHFFFAOYSA-M</t>
  </si>
  <si>
    <t>CCCCCCCCCCCCC(C)c1ccc(S(=O)(=O)[O-])cc1.[Na+]</t>
  </si>
  <si>
    <t>sodium-4-tetradecan-2-ylbenzenesulfonate</t>
  </si>
  <si>
    <t>InChI=1S/C20H34O3S.Na/c1-3-4-5-6-7-8-9-10-11-12-13-18(2)19-14-16-20(17-15-19)24(21,22)23;/h14-18H,3-13H2,1-2H3,(H,21,22,23);/q;+1/p-1</t>
  </si>
  <si>
    <t>ALSCOADCOGIXMG-UHFFFAOYSA-M</t>
  </si>
  <si>
    <t>CCCCCCCCCCCCC(CC)COS(=O)(=O)[O-].[Na+]</t>
  </si>
  <si>
    <t>InChI=1S/C16H34O4S.Na/c1-3-5-6-7-8-9-10-11-12-13-14-16(4-2)15-20-21(17,18)19;/h16H,3-15H2,1-2H3,(H,17,18,19);/q;+1/p-1</t>
  </si>
  <si>
    <t>AUWISZNVINOVNW-UHFFFAOYSA-M</t>
  </si>
  <si>
    <t>CCCCCCCCCCCCC(CC)OS(=O)(=O)[O-].[Na+]</t>
  </si>
  <si>
    <t>InChI=1S/C15H32O4S.Na/c1-3-5-6-7-8-9-10-11-12-13-14-15(4-2)19-20(16,17)18;/h15H,3-14H2,1-2H3,(H,16,17,18);/q;+1/p-1</t>
  </si>
  <si>
    <t>QKBNBULCBPQCHA-UHFFFAOYSA-M</t>
  </si>
  <si>
    <t>CCCCCCCCCCCCC(CC)c1ccc(S(=O)(=O)[O-])cc1.[Na+]</t>
  </si>
  <si>
    <t>sodium-4-pentadecan-3-ylbenzenesulfonate</t>
  </si>
  <si>
    <t>InChI=1S/C21H36O3S.Na/c1-3-5-6-7-8-9-10-11-12-13-14-19(4-2)20-15-17-21(18-16-20)25(22,23)24;/h15-19H,3-14H2,1-2H3,(H,22,23,24);/q;+1/p-1</t>
  </si>
  <si>
    <t>QGSTZEUGTITINC-UHFFFAOYSA-M</t>
  </si>
  <si>
    <t>CCCCCCCCCCCCC(CCC)OS(=O)(=O)[O-].[Na+]</t>
  </si>
  <si>
    <t>sodium-hexadecan-4-yl-sulfate</t>
  </si>
  <si>
    <t>InChI=1S/C16H34O4S.Na/c1-3-5-6-7-8-9-10-11-12-13-15-16(14-4-2)20-21(17,18)19;/h16H,3-15H2,1-2H3,(H,17,18,19);/q;+1/p-1</t>
  </si>
  <si>
    <t>QHVQJDLEBRKTHT-UHFFFAOYSA-M</t>
  </si>
  <si>
    <t>CCCCCCCCCCCCC(CCCCC)OS(=O)(=O)[O-].[Na+]</t>
  </si>
  <si>
    <t>InChI=1S/C18H38O4S.Na/c1-3-5-7-8-9-10-11-12-13-15-17-18(16-14-6-4-2)22-23(19,20)21;/h18H,3-17H2,1-2H3,(H,19,20,21);/q;+1/p-1</t>
  </si>
  <si>
    <t>NRESNHBTPVKPKC-UHFFFAOYSA-M</t>
  </si>
  <si>
    <t>CCCCCCCCCCCCC(CO)S(=O)(=O)[O-].[Na+]</t>
  </si>
  <si>
    <t>sodium-1-hydroxytetradecane-2-sulfonate</t>
  </si>
  <si>
    <t>InChI=1S/C14H30O4S.Na/c1-2-3-4-5-6-7-8-9-10-11-12-14(13-15)19(16,17)18;/h14-15H,2-13H2,1H3,(H,16,17,18);/q;+1/p-1</t>
  </si>
  <si>
    <t>QMDUHHPMWQFJCW-UHFFFAOYSA-M</t>
  </si>
  <si>
    <t>CCCCCCCCCCCCC(CSCCCCSCC(CCCCCCCCCCCC)[n+]1ccn(C)c1)[n+]1ccn(C)c1.[Br-].[Br-]</t>
  </si>
  <si>
    <t>InChI=1S/C40H76N4S2.2BrH/c1-5-7-9-11-13-15-17-19-21-23-27-39(43-31-29-41(3)37-43)35-45-33-25-26-34-46-36-40(44-32-30-42(4)38-44)28-24-22-20-18-16-14-12-10-8-6-2;;/h29-32,37-40H,5-28,33-36H2,1-4H3;2*1H/q+2;;/p-2</t>
  </si>
  <si>
    <t>TUHNXDKTCDUZNO-UHFFFAOYSA-L</t>
  </si>
  <si>
    <t>CCCCCCCCCCCCC(CSCCCSCC(CCCCCCCCCCCC)[n+]1ccn(C)c1)[n+]1ccn(C)c1.[Br-].[Br-]</t>
  </si>
  <si>
    <t>InChI=1S/C39H74N4S2.2BrH/c1-5-7-9-11-13-15-17-19-21-23-26-38(42-30-28-40(3)36-42)34-44-32-25-33-45-35-39(43-31-29-41(4)37-43)27-24-22-20-18-16-14-12-10-8-6-2;;/h28-31,36-39H,5-27,32-35H2,1-4H3;2*1H/q+2;;/p-2</t>
  </si>
  <si>
    <t>CGWDFEPWFOFQBQ-UHFFFAOYSA-L</t>
  </si>
  <si>
    <t>CCCCCCCCCCCCC(CSCCSCC(CCCCCCCCCCCC)[n+]1ccccc1)[n+]1ccccc1.[Br-].[Br-]</t>
  </si>
  <si>
    <t>InChI=1S/C40H70N2S2.2BrH/c1-3-5-7-9-11-13-15-17-19-23-29-39(41-31-25-21-26-32-41)37-43-35-36-44-38-40(42-33-27-22-28-34-42)30-24-20-18-16-14-12-10-8-6-4-2;;/h21-22,25-28,31-34,39-40H,3-20,23-24,29-30,35-38H2,1-2H3;2*1H/q+2;;/p-2</t>
  </si>
  <si>
    <t>ITLWRMOQRXMCGZ-UHFFFAOYSA-L</t>
  </si>
  <si>
    <t>CCCCCCCCCCCCC(CSCCSCC(CCCCCCCCCCCC)[n+]1ccn(C)c1)[n+]1ccn(C)c1.[Br-].[Br-]</t>
  </si>
  <si>
    <t>InChI=1S/C38H72N4S2.2BrH/c1-5-7-9-11-13-15-17-19-21-23-25-37(41-29-27-39(3)35-41)33-43-31-32-44-34-38(42-30-28-40(4)36-42)26-24-22-20-18-16-14-12-10-8-6-2;;/h27-30,35-38H,5-26,31-34H2,1-4H3;2*1H/q+2;;/p-2</t>
  </si>
  <si>
    <t>OHEKHZUJCXZSEI-UHFFFAOYSA-L</t>
  </si>
  <si>
    <t>CCCCCCCCCCCCC(C[N+](C)(C)C)C(CCCCCCCCCCCC)C[N+](C)(C)C.[Br-].[Br-]</t>
  </si>
  <si>
    <t>10.5650/jos.52.449</t>
  </si>
  <si>
    <t>10.5650/jos.51.715</t>
  </si>
  <si>
    <t>1,4-Bis(trimethylammonio)-2,3-dodecyloxybutanedibromide</t>
  </si>
  <si>
    <t>InChI=1S/C34H74N2.2BrH/c1-9-11-13-15-17-19-21-23-25-27-29-33(31-35(3,4)5)34(32-36(6,7)8)30-28-26-24-22-20-18-16-14-12-10-2;;/h33-34H,9-32H2,1-8H3;2*1H/q+2;;/p-2</t>
  </si>
  <si>
    <t>RIYIQOUUTLKCEU-UHFFFAOYSA-L</t>
  </si>
  <si>
    <t>CCCCCCCCCCCCC(NCCOCCOCCOCCO)C(=O)O</t>
  </si>
  <si>
    <t>InChI=1S/C22H45NO6/c1-2-3-4-5-6-7-8-9-10-11-12-21(22(25)26)23-13-15-27-17-19-29-20-18-28-16-14-24/h21,23-24H,2-20H2,1H3,(H,25,26)</t>
  </si>
  <si>
    <t>MBYUFGOUHYCVOH-UHFFFAOYSA-N</t>
  </si>
  <si>
    <t>CCCCCCCCCCCCC(O)CCO</t>
  </si>
  <si>
    <t>InChI=1S/C15H32O2/c1-2-3-4-5-6-7-8-9-10-11-12-15(17)13-14-16/h15-17H,2-14H2,1H3</t>
  </si>
  <si>
    <t>UGJRMHXEWBBMMN-UHFFFAOYSA-N</t>
  </si>
  <si>
    <t>CCCCCCCCCCCCC(O)Cn1cc[n+](CCO)c1.[Br-]</t>
  </si>
  <si>
    <t>N-(2-hydroxynonyl)imidazolesbromide</t>
  </si>
  <si>
    <t>InChI=1S/C19H37N2O2.BrH/c1-2-3-4-5-6-7-8-9-10-11-12-19(23)17-21-14-13-20(18-21)15-16-22;/h13-14,18-19,22-23H,2-12,15-17H2,1H3;1H/q+1;/p-1</t>
  </si>
  <si>
    <t>FMBXPSDCCPHFHL-UHFFFAOYSA-M</t>
  </si>
  <si>
    <t>CCCCCCCCCCCCC(O)Cn1cc[n+](CCO)c1.[Cl-]</t>
  </si>
  <si>
    <t>N-(2-hydroxynonyl)imidazoleschloride</t>
  </si>
  <si>
    <t>InChI=1S/C19H37N2O2.ClH/c1-2-3-4-5-6-7-8-9-10-11-12-19(23)17-21-14-13-20(18-21)15-16-22;/h13-14,18-19,22-23H,2-12,15-17H2,1H3;1H/q+1;/p-1</t>
  </si>
  <si>
    <t>JNAAXSGHXMBWHM-UHFFFAOYSA-M</t>
  </si>
  <si>
    <t>CCCCCCCCCCCCCOCCOCCOCCOCCOCCO</t>
  </si>
  <si>
    <t>InChI=1S/C23H48O6/c1-3-5-6-7-8-9-10-11-12-13-14-23(24)29-22-21-28-20-19-27-18-17-26-16-15-25-4-2/h23-24H,3-22H2,1-2H3</t>
  </si>
  <si>
    <t>AASIHRUCFOYRJC-UHFFFAOYSA-N</t>
  </si>
  <si>
    <t>CCCCCCCCCCCCCOCCOCCOCCOCCOCCOCCOCCOCCO</t>
  </si>
  <si>
    <t>InChI=1S/C29H60O9/c1-3-5-6-7-8-9-10-11-12-13-14-29(30)38-28-27-37-26-25-36-24-23-35-22-21-34-20-19-33-18-17-32-16-15-31-4-2/h29-30H,3-28H2,1-2H3</t>
  </si>
  <si>
    <t>GQNASKIEHNGSDZ-UHFFFAOYSA-N</t>
  </si>
  <si>
    <t>CCCCCCCCCCCCC(O)OCCc1ccc(S(=O)(=O)[O-])cc1.[Na+]</t>
  </si>
  <si>
    <t>InChI=1S/C21H36O5S.Na/c1-2-3-4-5-6-7-8-9-10-11-12-21(22)26-18-17-19-13-15-20(16-14-19)27(23,24)25;/h13-16,21-22H,2-12,17-18H2,1H3,(H,23,24,25);/q;+1/p-1</t>
  </si>
  <si>
    <t>IEHVQRDQHJVRPU-UHFFFAOYSA-M</t>
  </si>
  <si>
    <t>O[C@@H]1[C@@H](O)[C@H](O)[C@@H](CO)O[C@H]1OCCCCCCCCCCCC</t>
  </si>
  <si>
    <t>InChI=1S/C18H36O6/c1-2-3-4-5-6-7-8-9-10-11-12-13(19)17-15(21)14(20)16(22)18(23)24-17/h13-23H,2-12H2,1H3/t13?,14-,15-,16+,17+,18?/m0/s1</t>
  </si>
  <si>
    <t>LJDHDYWWZFOXAJ-KRIXMNJCSA-N</t>
  </si>
  <si>
    <t>CCCCCCCCCCCCC(O)[C@H]1O[C@H](O[C@H]2[C@H](O)[C@@H](O)C(O)O[C@@H]2CO)[C@H](O)[C@@H](O)[C@@H]1O</t>
  </si>
  <si>
    <t>InChI=1S/C24H46O11/c1-2-3-4-5-6-7-8-9-10-11-12-14(26)21-17(28)16(27)20(31)24(34-21)35-22-15(13-25)33-23(32)19(30)18(22)29/h14-32H,2-13H2,1H3/t14?,15-,16+,17+,18-,19-,20-,21-,22-,23?,24-/m1/s1</t>
  </si>
  <si>
    <t>NDOIXWAJQZPQBB-DZXAHHQGSA-N</t>
  </si>
  <si>
    <t>CCCCCCCCCCCCC(O)[C@H]1O[C@H](O[C@]2(CO)O[C@H](CO)[C@@H](O)[C@@H]2O)[C@H](O)[C@@H](O)[C@@H]1O</t>
  </si>
  <si>
    <t>InChI=1S/C24H46O11/c1-2-3-4-5-6-7-8-9-10-11-12-15(27)21-19(30)18(29)20(31)23(33-21)35-24(14-26)22(32)17(28)16(13-25)34-24/h15-23,25-32H,2-14H2,1H3/t15?,16-,17-,18+,19+,20-,21-,22+,23-,24+/m1/s1</t>
  </si>
  <si>
    <t>UUQUBFYKEQAKAP-QKQUSDTBSA-N</t>
  </si>
  <si>
    <t>CCCCCCCCCCCCC(OC(C)=O)S(=O)(=O)[O-].[Na+]</t>
  </si>
  <si>
    <t>InChI=1S/C15H30O5S.Na/c1-3-4-5-6-7-8-9-10-11-12-13-15(20-14(2)16)21(17,18)19;/h15H,3-13H2,1-2H3,(H,17,18,19);/q;+1/p-1</t>
  </si>
  <si>
    <t>ONICLEFBFOKMKR-UHFFFAOYSA-M</t>
  </si>
  <si>
    <t>CCCCCCCCCCCCC=CS(=O)(=O)[O-].[Na+]</t>
  </si>
  <si>
    <t>sodium-tetradec-1-ene-1-sulfonate</t>
  </si>
  <si>
    <t>InChI=1S/C14H28O3S.Na/c1-2-3-4-5-6-7-8-9-10-11-12-13-14-18(15,16)17;/h13-14H,2-12H2,1H3,(H,15,16,17);/q;+1/p-1</t>
  </si>
  <si>
    <t>RUTSRVMUIGMTHJ-UHFFFAOYSA-M</t>
  </si>
  <si>
    <t>CCCCCCCCCCCCCC(=O)CCS(=O)(=O)[O-].[Na+]</t>
  </si>
  <si>
    <t>sodium-3-oxo-1-hexadecanesulfonate</t>
  </si>
  <si>
    <t>InChI=1S/C16H32O4S.Na/c1-2-3-4-5-6-7-8-9-10-11-12-13-16(17)14-15-21(18,19)20;/h2-15H2,1H3,(H,18,19,20);/q;+1/p-1</t>
  </si>
  <si>
    <t>UWFUAEDOCCOHCZ-UHFFFAOYSA-M</t>
  </si>
  <si>
    <t>CCCCCCCCCCCCCC(NC(C(OC)=O)CCCNC(N)=[NH2+])=O.[Cl-]</t>
  </si>
  <si>
    <t>Î±-N-dodecyl-arginine-methylesterhydrochloride</t>
  </si>
  <si>
    <t>InChI=1S/C21H42N4O3.ClH/c1-3-4-5-6-7-8-9-10-11-12-13-16-19(26)25-18(20(27)28-2)15-14-17-24-21(22)23;/h18,21,24H,3-17,22H2,1-2H3,(H,25,26);1H/q+1;/p-1</t>
  </si>
  <si>
    <t>ZSUNSOILFCAWNB-UHFFFAOYSA-M</t>
  </si>
  <si>
    <t>CN(C[C@@H]([C@H]([C@@H]([C@@H](CO)O)O[C@@H]1O[C@H](CO)[C@@H](O)[C@H](O)[C@H]1O)O)O)C(CCCCCCCCCCCCC)=O</t>
  </si>
  <si>
    <t>N-tetradecanoyl-N-methyllactitolamine</t>
  </si>
  <si>
    <t>InChI=1S/C26H51NO12/c1-2-3-4-5-6-7-8-9-10-11-12-13-18(32)27-25(37)24-21(35)20(34)22(36)26(39-24)38-23(17(31)15-29)19(33)16(30)14-28/h16-17,19-26,28-31,33-37H,2-15H2,1H3,(H,27,32)/t16-,17+,19+,20-,21+,22+,23+,24-,25?,26+/m0/s1</t>
  </si>
  <si>
    <t>RAFGOZXWTFAARR-DTUVXWTKSA-N</t>
  </si>
  <si>
    <t>CCCCCCCCCCCCCC(=O)NCCC[N+](C)(C)CCCCCCCCCC.[Br-]</t>
  </si>
  <si>
    <t>10.1016/j.molliq.2015.10.024</t>
  </si>
  <si>
    <t>N,N-dimethyl-N-(3-tetradecanamidopropyl)decan-1-ammoniumbromide</t>
  </si>
  <si>
    <t>InChI=1S/C29H60N2O.BrH/c1-5-7-9-11-13-15-16-17-18-20-22-25-29(32)30-26-24-28-31(3,4)27-23-21-19-14-12-10-8-6-2;/h5-28H2,1-4H3;1H</t>
  </si>
  <si>
    <t>PAUARHJLDWJGAD-UHFFFAOYSA-N</t>
  </si>
  <si>
    <t>CCCCCCCCCCCCCC(=O)NCCC[N+](C)(C)CCCCCCCCCCCC.[Br-]</t>
  </si>
  <si>
    <t>N,N-dimethyl-N-(3-tetradecanamidopropyl)dodecan-1-ammoniumbromide</t>
  </si>
  <si>
    <t>InChI=1S/C31H64N2O.BrH/c1-5-7-9-11-13-15-17-18-20-22-24-27-31(34)32-28-26-30-33(3,4)29-25-23-21-19-16-14-12-10-8-6-2;/h5-30H2,1-4H3;1H</t>
  </si>
  <si>
    <t>VCWSPDKYZFQVJF-UHFFFAOYSA-N</t>
  </si>
  <si>
    <t>CCCCCCCCCCCCCC(=O)NCCC[N+](C)(C)Cc1ccc(C[N+](C)(C)CCCNC(=O)CCCCCCCCCCCCC)cc1.[Cl-].[Cl-]</t>
  </si>
  <si>
    <t>bis-(N-(3-tridecylamido-propyl)-N,Ndimethyl)-p-phenyleneDiammoniumDichloride</t>
  </si>
  <si>
    <t>InChI=1S/C46H86N4O2.2ClH/c1-7-9-11-13-15-17-19-21-23-25-27-31-45(51)47-37-29-39-49(3,4)41-43-33-35-44(36-34-43)42-50(5,6)40-30-38-48-46(52)32-28-26-24-22-20-18-16-14-12-10-8-2;;/h33-36H,7-32,37-42H2,1-6H3;2*1H</t>
  </si>
  <si>
    <t>QGCYTOAZCCJCFM-UHFFFAOYSA-N</t>
  </si>
  <si>
    <t>CCCCCCCCCCCCCC(=O)NCCC[N+](C)(C)Cc1ccccc1.[Cl-]</t>
  </si>
  <si>
    <t>N-(3-(dimethylbenzylammonium)propyl)myristamidechloride</t>
  </si>
  <si>
    <t>InChI=1S/C26H46N2O.ClH/c1-4-5-6-7-8-9-10-11-12-13-17-21-26(29)27-22-18-23-28(2,3)24-25-19-15-14-16-20-25;/h14-16,19-20H,4-13,17-18,21-24H2,1-3H3;1H</t>
  </si>
  <si>
    <t>JQQZCIIDNVIQKO-UHFFFAOYSA-N</t>
  </si>
  <si>
    <t>CCCCCCCCCCCCCC(=O)N[N+](C)(C)CCC[N+](C)(C)NC(=O)CCCCCCCCCCCCC.[Br-].[Br-]</t>
  </si>
  <si>
    <t>1,3-bis(N'-tridecyl-N,N-dimethylhydrazinium)propanedibromide</t>
  </si>
  <si>
    <t>InChI=1S/C35H72N4O2.2BrH/c1-7-9-11-13-15-17-19-21-23-25-27-30-34(40)36-38(3,4)32-29-33-39(5,6)37-35(41)31-28-26-24-22-20-18-16-14-12-10-8-2;;/h7-33H2,1-6H3;2*1H</t>
  </si>
  <si>
    <t>YCDFZSRHXLPVMO-UHFFFAOYSA-N</t>
  </si>
  <si>
    <t>CCCCCCCCCCCCCC(=O)OC(C)C(=O)NCCCN(C)C</t>
  </si>
  <si>
    <t>InChI=1S/C22H44N2O3/c1-5-6-7-8-9-10-11-12-13-14-15-17-21(25)27-20(2)22(26)23-18-16-19-24(3)4/h20H,5-19H2,1-4H3,(H,23,26)</t>
  </si>
  <si>
    <t>BMZRTNNJOOEOEA-UHFFFAOYSA-N</t>
  </si>
  <si>
    <t>CCCCCCCCCCCCCC(=O)OC(C)C(=O)NCCC[N+](C)(C)C.COS(=O)(=O)[O-]</t>
  </si>
  <si>
    <t>InChI=1S/C23H46N2O3.CH4O4S/c1-6-7-8-9-10-11-12-13-14-15-16-18-22(26)28-21(2)23(27)24-19-17-20-25(3,4)5;1-5-6(2,3)4/h21H,6-20H2,1-5H3;1H3,(H,2,3,4)</t>
  </si>
  <si>
    <t>WUFMSSQZQIMTLI-UHFFFAOYSA-N</t>
  </si>
  <si>
    <t>CCCCCCCCCCCCCC(=O)OCC(COC(=O)CCCCCCCCCCCCC)(C[n+]1ccn(C)c1)C[n+]1ccn(C)c1.[Br-].[Br-]</t>
  </si>
  <si>
    <t>InChI=1S/C41H74N4O4.2BrH/c1-5-7-9-11-13-15-17-19-21-23-25-27-39(46)48-35-41(33-44-31-29-42(3)37-44,34-45-32-30-43(4)38-45)36-49-40(47)28-26-24-22-20-18-16-14-12-10-8-6-2;;/h29-32,37-38H,5-28,33-36H2,1-4H3;2*1H/q+2;;/p-2</t>
  </si>
  <si>
    <t>JIQSSVLITGGIDE-UHFFFAOYSA-L</t>
  </si>
  <si>
    <t>CCCCCCCCCCCCCC(OCC(CN(CC(CO)O)CCCCC(C(OC)=O)[NH3+])O)=O.[Cl-]</t>
  </si>
  <si>
    <t>InChI=1S/C27H52N2O7.ClH/c1-3-4-5-6-7-8-9-10-11-12-13-17-26(33)36-22-24(32)20-29(19-23(31)21-30)18-15-14-16-25(28)27(34)35-2;/h23-25,30-32H,3-22H2,1-2H3;1H/q+1;/p-1</t>
  </si>
  <si>
    <t>GSWABNNJJPKXPN-UHFFFAOYSA-M</t>
  </si>
  <si>
    <t>CCCCCCCCCCCCCC(OCC(O)CN(CCCCC([NH3+])C(OC)=O)CC(O)COC(CCCCCCCCCCCCC)=O)=O.[Cl-]</t>
  </si>
  <si>
    <t>InChI=1S/C41H78N2O8.ClH/c1-4-6-8-10-12-14-16-18-20-22-24-29-39(46)50-34-36(44)32-43(31-27-26-28-38(42)41(48)49-3)33-37(45)35-51-40(47)30-25-23-21-19-17-15-13-11-9-7-5-2;/h36-38,44-45H,4-35H2,1-3H3;1H/q+1;/p-1</t>
  </si>
  <si>
    <t>PTEPMQIRMJDZOL-UHFFFAOYSA-M</t>
  </si>
  <si>
    <t>CCCCCCCCCCCCCC(=O)OCC1OC(OCCC[N+](C)(C)C)C(O)C(O)C1O.[I-]</t>
  </si>
  <si>
    <t>InChI=1S/C26H52NO7.HI/c1-5-6-7-8-9-10-11-12-13-14-15-17-22(28)33-20-21-23(29)24(30)25(31)26(34-21)32-19-16-18-27(2,3)4;/h21,23-26,29-31H,5-20H2,1-4H3;1H/q+1;/p-1</t>
  </si>
  <si>
    <t>VXIGOHUVBOCBGW-UHFFFAOYSA-M</t>
  </si>
  <si>
    <t>CCCCCCCCCCCCCC(=O)OCC[N+](C)(C)CC(O)C[N+](C)(C)CCOC(=O)CCCCCCCCCCC.[Cl-].[Cl-]</t>
  </si>
  <si>
    <t>InChI=1S/C37H76N2O5.2ClH/c1-7-9-11-13-15-17-18-20-22-24-26-28-37(42)44-32-30-39(5,6)34-35(40)33-38(3,4)29-31-43-36(41)27-25-23-21-19-16-14-12-10-8-2;;/h35,40H,7-34H2,1-6H3;2*1H/q+2;;/p-2</t>
  </si>
  <si>
    <t>ZHEOUOKIHVQXAG-UHFFFAOYSA-L</t>
  </si>
  <si>
    <t>CCCCCCCCCCCCCC(=O)OCC[N+](C)(CCO)CCCCCCCCCCCC[N+](C)(CCO)CCOC(=O)CCCCCCCCCCCCC.[Br-].[Br-]</t>
  </si>
  <si>
    <t>10.1016/j.jiec.2015.02.011</t>
  </si>
  <si>
    <t>N,N'-bis(2-hydroxyethyl)-N,N'-dimethyl-N,N'-bis(2-tetradecanoyloxy)ethyl)dodecane-1,12-diaminiumbromide</t>
  </si>
  <si>
    <t>InChI=1S/C50H102N2O6.2BrH/c1-5-7-9-11-13-15-17-21-25-29-33-37-49(55)57-47-43-51(3,41-45-53)39-35-31-27-23-19-20-24-28-32-36-40-52(4,42-46-54)44-48-58-50(56)38-34-30-26-22-18-16-14-12-10-8-6-2;;/h53-54H,5-48H2,1-4H3;2*1H/q+2;;/p-2</t>
  </si>
  <si>
    <t>FMAFKMLAQIDWIL-UHFFFAOYSA-L</t>
  </si>
  <si>
    <t>CCCCCCCCCCCCCC(=O)OCC[N+](C)(CCO)CCCCCC[N+](C)(CCO)CCOC(=O)CCCCCCCCCCCCC.[Br-].[Br-]</t>
  </si>
  <si>
    <t>N,N'-bis(2-hydroxyethyl)-N,N'-dimethyl-N,N'-bis(2-tetradecanoyloxy)ethyl)hexane-1,6-diaminiumbromide</t>
  </si>
  <si>
    <t>InChI=1S/C44H90N2O6.2BrH/c1-5-7-9-11-13-15-17-19-21-23-27-31-43(49)51-41-37-45(3,35-39-47)33-29-25-26-30-34-46(4,36-40-48)38-42-52-44(50)32-28-24-22-20-18-16-14-12-10-8-6-2;;/h47-48H,5-42H2,1-4H3;2*1H/q+2;;/p-2</t>
  </si>
  <si>
    <t>ZMEHQXVBFYMRFM-UHFFFAOYSA-L</t>
  </si>
  <si>
    <t>CCCCCCCCCCCCCC(=O)OCC[N+](C)(CCO)CC[N+](C)(CCO)CCOC(=O)CCCCCCCCCCCCC.[Br-].[Br-]</t>
  </si>
  <si>
    <t>N,N'-bis(2-hydroxyethyl)-N,N'-dimethyl-N,N'-bis(2-tetradecanoyloxy)ethyl)ethane-1,2-diaminiumbromide</t>
  </si>
  <si>
    <t>InChI=1S/C40H82N2O6.2BrH/c1-5-7-9-11-13-15-17-19-21-23-25-27-39(45)47-37-33-41(3,31-35-43)29-30-42(4,32-36-44)34-38-48-40(46)28-26-24-22-20-18-16-14-12-10-8-6-2;;/h43-44H,5-38H2,1-4H3;2*1H/q+2;;/p-2</t>
  </si>
  <si>
    <t>BINKXXZBSTXCOI-UHFFFAOYSA-L</t>
  </si>
  <si>
    <t>CCCCCCCCCCCCCC(=O)Oc1cccc2ccc[n+](CCCCCCCCCC)c12.[Br-]</t>
  </si>
  <si>
    <t>InChI=1S/C33H54NO2.BrH/c1-3-5-7-9-11-13-14-15-16-18-20-27-32(35)36-31-26-22-24-30-25-23-29-34(33(30)31)28-21-19-17-12-10-8-6-4-2;/h22-26,29H,3-21,27-28H2,1-2H3;1H/q+1;/p-1</t>
  </si>
  <si>
    <t>VICJRTCHJLLSQH-UHFFFAOYSA-M</t>
  </si>
  <si>
    <t>CCCCCCCCCCCCCC(=O)Oc1cccc2ccc[n+](CCCCCCCCCC[n+]3cccc4cccc(OC(=O)CCCCCCCCCCCCC)c43)c12.[Br-].[Br-]</t>
  </si>
  <si>
    <t>InChI=1S/C56H86N2O4.2BrH/c1-3-5-7-9-11-13-15-17-21-25-29-43-53(59)61-51-41-33-37-49-39-35-47-57(55(49)51)45-31-27-23-19-20-24-28-32-46-58-48-36-40-50-38-34-42-52(56(50)58)62-54(60)44-30-26-22-18-16-14-12-10-8-6-4-2;;/h33-42,47-48H,3-32,43-46H2,1-2H3;2*1H/q+2;;/p-2</t>
  </si>
  <si>
    <t>HVVURAKFMNDXEF-UHFFFAOYSA-L</t>
  </si>
  <si>
    <t>CCCCCCCCCCCCCC(=O)Oc1cccc2ccc[n+](CCCCCC[n+]3cccc4cccc(OC(=O)CCCCCCCCCCCCC)c43)c12.[Br-].[Br-]</t>
  </si>
  <si>
    <t>InChI=1S/C52H78N2O4.2BrH/c1-3-5-7-9-11-13-15-17-19-21-25-39-49(55)57-47-37-29-33-45-35-31-43-53(51(45)47)41-27-23-24-28-42-54-44-32-36-46-34-30-38-48(52(46)54)58-50(56)40-26-22-20-18-16-14-12-10-8-6-4-2;;/h29-38,43-44H,3-28,39-42H2,1-2H3;2*1H/q+2;;/p-2</t>
  </si>
  <si>
    <t>WTEAQZDGAPNCDG-UHFFFAOYSA-L</t>
  </si>
  <si>
    <t>CCCCCCCCCCCCCC(C)COS(=O)(=O)[O-].[Na+]</t>
  </si>
  <si>
    <t>InChI=1S/C16H34O4S.Na/c1-3-4-5-6-7-8-9-10-11-12-13-14-16(2)15-20-21(17,18)19;/h16H,3-15H2,1-2H3,(H,17,18,19);/q;+1/p-1</t>
  </si>
  <si>
    <t>PPSHEGPAHNHRCZ-UHFFFAOYSA-M</t>
  </si>
  <si>
    <t>CCCCCCCCCCCCCC(C)OS(=O)(=O)[O-].[Na+]</t>
  </si>
  <si>
    <t>sodium-pentadecan-2-ylsulfate</t>
  </si>
  <si>
    <t>InChI=1S/C15H32O4S.Na/c1-3-4-5-6-7-8-9-10-11-12-13-14-15(2)19-20(16,17)18;/h15H,3-14H2,1-2H3,(H,16,17,18);/q;+1/p-1</t>
  </si>
  <si>
    <t>LFIPWGRFKONAPX-UHFFFAOYSA-M</t>
  </si>
  <si>
    <t>CCCCCCCCCCCCCC(C)c1ccc(S(=O)(=O)[O-])cc1.[Na+]</t>
  </si>
  <si>
    <t>sodium-4-pentadecan-2-ylbenzenesulfonate</t>
  </si>
  <si>
    <t>InChI=1S/C21H36O3S.Na/c1-3-4-5-6-7-8-9-10-11-12-13-14-19(2)20-15-17-21(18-16-20)25(22,23)24;/h15-19H,3-14H2,1-2H3,(H,22,23,24);/q;+1/p-1</t>
  </si>
  <si>
    <t>XTPQLUOVQGKKAD-UHFFFAOYSA-M</t>
  </si>
  <si>
    <t>CCCCCCCCCCCCCC(CCS(=O)(=O)[O-])OC.[Na+]</t>
  </si>
  <si>
    <t>InChI=1S/C17H36O4S.Na/c1-3-4-5-6-7-8-9-10-11-12-13-14-17(21-2)15-16-22(18,19)20;/h17H,3-16H2,1-2H3,(H,18,19,20);/q;+1/p-1</t>
  </si>
  <si>
    <t>CEEUKKASEJAUGT-UHFFFAOYSA-M</t>
  </si>
  <si>
    <t>CCCCCCCCCCCCCC(CCS(=O)(=O)[O-])OCCC.[Na+]</t>
  </si>
  <si>
    <t>InChI=1S/C19H40O4S.Na/c1-3-5-6-7-8-9-10-11-12-13-14-15-19(23-17-4-2)16-18-24(20,21)22;/h19H,3-18H2,1-2H3,(H,20,21,22);/q;+1/p-1</t>
  </si>
  <si>
    <t>CQQRELXHYJGBGD-UHFFFAOYSA-M</t>
  </si>
  <si>
    <t>CCCCCCCCCCCCCC(CCS(=O)(=O)[O-])OCCCC.[Na+]</t>
  </si>
  <si>
    <t>InChI=1S/C20H42O4S.Na/c1-3-5-7-8-9-10-11-12-13-14-15-16-20(24-18-6-4-2)17-19-25(21,22)23;/h20H,3-19H2,1-2H3,(H,21,22,23);/q;+1/p-1</t>
  </si>
  <si>
    <t>XCOSFECPKIOGAL-UHFFFAOYSA-M</t>
  </si>
  <si>
    <t>CCCCCCCCCCCCCC(O)CCS(=O)(=O)[O-].[Na+]</t>
  </si>
  <si>
    <t>sodium-3-hydroxyhexadecane-1-sulfonate</t>
  </si>
  <si>
    <t>InChI=1S/C16H34O4S.Na/c1-2-3-4-5-6-7-8-9-10-11-12-13-16(17)14-15-21(18,19)20;/h16-17H,2-15H2,1H3,(H,18,19,20);/q;+1/p-1</t>
  </si>
  <si>
    <t>QRQBVXMPJPROKL-UHFFFAOYSA-M</t>
  </si>
  <si>
    <t>CCCCCCCCCCCCCC(O)CO</t>
  </si>
  <si>
    <t>pentadecane-1,2-diol</t>
  </si>
  <si>
    <t>InChI=1S/C15H32O2/c1-2-3-4-5-6-7-8-9-10-11-12-13-15(17)14-16/h15-17H,2-14H2,1H3</t>
  </si>
  <si>
    <t>FETBCQJCOOEKPM-UHFFFAOYSA-N</t>
  </si>
  <si>
    <t>CCCCCCCCCCCCCCOCCOCCOCCOCCOCCOCCOCCOCCO</t>
  </si>
  <si>
    <t>InChI=1S/C26H54O7/c1-3-5-6-7-8-9-10-11-12-13-14-15-26(27)33-25-24-32-23-22-31-21-20-30-19-18-29-17-16-28-4-2/h26-27H,3-25H2,1-2H3</t>
  </si>
  <si>
    <t>ZYZBGSQGMTYBSS-UHFFFAOYSA-N</t>
  </si>
  <si>
    <t>InChI=1S/C30H62O9/c1-3-5-6-7-8-9-10-11-12-13-14-15-30(31)39-29-28-38-27-26-37-25-24-36-23-22-35-21-20-34-19-18-33-17-16-32-4-2/h30-31H,3-29H2,1-2H3</t>
  </si>
  <si>
    <t>XNHFQFIVXLWFMA-UHFFFAOYSA-N</t>
  </si>
  <si>
    <t>CCCCCCCCCCCCCC(OCC)(OCC)OS(=O)(=O)[O-].[Na+]</t>
  </si>
  <si>
    <t>10.1021/acs.iecr.9b00504</t>
  </si>
  <si>
    <t>InChI=1S/C18H38O6S.Na/c1-4-7-8-9-10-11-12-13-14-15-16-17-18(22-5-2,23-6-3)24-25(19,20)21;/h4-17H2,1-3H3,(H,19,20,21);/q;+1/p-1</t>
  </si>
  <si>
    <t>PWVDEWZOQKAYRI-UHFFFAOYSA-M</t>
  </si>
  <si>
    <t>CCCCCCCCCCCCCC(OCC)OS(=O)(=O)[O-].[Na+]</t>
  </si>
  <si>
    <t>InChI=1S/C16H34O5S.Na/c1-3-5-6-7-8-9-10-11-12-13-14-15-16(20-4-2)21-22(17,18)19;/h16H,3-15H2,1-2H3,(H,17,18,19);/q;+1/p-1</t>
  </si>
  <si>
    <t>FOQXQUXRQSUGFN-UHFFFAOYSA-M</t>
  </si>
  <si>
    <t>CCCCCCCCCCCCCC(OCCOCC)(OCCOCC)OS(=O)(=O)[O-].[Na+]</t>
  </si>
  <si>
    <t>InChI=1S/C22H46O8S.Na/c1-4-7-8-9-10-11-12-13-14-15-16-17-22(30-31(23,24)25,28-20-18-26-5-2)29-21-19-27-6-3;/h4-21H2,1-3H3,(H,23,24,25);/q;+1/p-1</t>
  </si>
  <si>
    <t>VRRDVSRFFCNAMW-UHFFFAOYSA-M</t>
  </si>
  <si>
    <t>CCCCCCCCCCCCCC1=NCC[N+]1(CCCCCC[N+]1(CCNCCN)CCN=C1CCCCCCCCCCCCC)CCNCCN.[Br-].[Br-]</t>
  </si>
  <si>
    <t>InChI=1S/C46H96N8.2BrH/c1-3-5-7-9-11-13-15-17-19-21-25-29-45-51-37-43-53(45,41-35-49-33-31-47)39-27-23-24-28-40-54(42-36-50-34-32-48)44-38-52-46(54)30-26-22-20-18-16-14-12-10-8-6-4-2;;/h49-50H,3-44,47-48H2,1-2H3;2*1H/q+2;;/p-2</t>
  </si>
  <si>
    <t>MUMWHLVEBAKGST-UHFFFAOYSA-L</t>
  </si>
  <si>
    <t>CCCCCCCCCCCCCC1=[N+](CCO)CCN1.O=C([O-])O</t>
  </si>
  <si>
    <t>InChI=1S/C18H36N2O.CH2O3/c1-2-3-4-5-6-7-8-9-10-11-12-13-18-19-14-15-20(18)16-17-21;2-1(3)4/h21H,2-17H2,1H3;(H2,2,3,4)</t>
  </si>
  <si>
    <t>DOGAJOAUUUWTFQ-UHFFFAOYSA-N</t>
  </si>
  <si>
    <t>CCCCCCCCCCCCCC1OCC(C[N+](C)(C)C)O1.[Br-]</t>
  </si>
  <si>
    <t>InChI=1S/C20H42NO2.BrH/c1-5-6-7-8-9-10-11-12-13-14-15-16-20-22-18-19(23-20)17-21(2,3)4;/h19-20H,5-18H2,1-4H3;1H/q+1;/p-1</t>
  </si>
  <si>
    <t>HXNNIFOFJHKFED-UHFFFAOYSA-M</t>
  </si>
  <si>
    <t>CCCCCCCCCCCCCCC(=O)NCC[N+](C)(C)Cc1ccccc1.[Cl-]</t>
  </si>
  <si>
    <t>InChI=1S/C26H46N2O.ClH/c1-4-5-6-7-8-9-10-11-12-13-14-18-21-26(29)27-22-23-28(2,3)24-25-19-16-15-17-20-25;/h15-17,19-20H,4-14,18,21-24H2,1-3H3;1H</t>
  </si>
  <si>
    <t>XIDRROJTIMXHPH-UHFFFAOYSA-N</t>
  </si>
  <si>
    <t>CCCCCCCCCCCCCCC(=O)N[N+](C)(C)CCC[N+](C)(C)NC(=O)CCCCCCCCCCCCCC.[Br-].[Br-]</t>
  </si>
  <si>
    <t>InChI=1S/C37H76N4O2.2BrH/c1-7-9-11-13-15-17-19-21-23-25-27-29-32-36(42)38-40(3,4)34-31-35-41(5,6)39-37(43)33-30-28-26-24-22-20-18-16-14-12-10-8-2;;/h7-35H2,1-6H3;2*1H</t>
  </si>
  <si>
    <t>ZDPOTRJSQNEBEO-UHFFFAOYSA-N</t>
  </si>
  <si>
    <t>CCCCCCCCCCCCCCC(=O)OCC[N+](C)(C)CC(O)C[N+](C)(C)CCOC(=O)CCCCCCCCCCCCCC.[Cl-].[Cl-]</t>
  </si>
  <si>
    <t>InChI=1S/C41H84N2O5.2ClH/c1-7-9-11-13-15-17-19-21-23-25-27-29-31-40(45)47-35-33-42(3,4)37-39(44)38-43(5,6)34-36-48-41(46)32-30-28-26-24-22-20-18-16-14-12-10-8-2;;/h39,44H,7-38H2,1-6H3;2*1H/q+2;;/p-2</t>
  </si>
  <si>
    <t>VBBGFZBHXKPVFA-UHFFFAOYSA-L</t>
  </si>
  <si>
    <t>CCCCCCCCCCCCCCC(=O)OCC[n+]1ccc(CCCc2cc[n+](CCOC(=O)CCCCCCCCCCCCCC)cc2)cc1.[Br-].[Br-]</t>
  </si>
  <si>
    <t>InChI=1S/C47H80N2O4.2BrH/c1-3-5-7-9-11-13-15-17-19-21-23-25-30-46(50)52-42-40-48-36-32-44(33-37-48)28-27-29-45-34-38-49(39-35-45)41-43-53-47(51)31-26-24-22-20-18-16-14-12-10-8-6-4-2;;/h32-39H,3-31,40-43H2,1-2H3;2*1H/q+2;;/p-2</t>
  </si>
  <si>
    <t>KFAHPTWKEJTYNZ-UHFFFAOYSA-L</t>
  </si>
  <si>
    <t>CCCCCCCCCCCCCCC(=O)OCC[n+]1ccc(CCCc2cc[n+](CCOC(=O)CCCCCCCCCCCCCC)cc2)cc1.[Cl-].[Cl-]</t>
  </si>
  <si>
    <t>InChI=1S/C47H80N2O4.2ClH/c1-3-5-7-9-11-13-15-17-19-21-23-25-30-46(50)52-42-40-48-36-32-44(33-37-48)28-27-29-45-34-38-49(39-35-45)41-43-53-47(51)31-26-24-22-20-18-16-14-12-10-8-6-4-2;;/h32-39H,3-31,40-43H2,1-2H3;2*1H/q+2;;/p-2</t>
  </si>
  <si>
    <t>PBPQOFLKYCEEKI-UHFFFAOYSA-L</t>
  </si>
  <si>
    <t>CCCCCCCCCCCCCCC(=O)[O-].[K+]</t>
  </si>
  <si>
    <t>InChI=1S/C15H30O2.K/c1-2-3-4-5-6-7-8-9-10-11-12-13-14-15(16)17;/h2-14H2,1H3,(H,16,17);/q;+1/p-1</t>
  </si>
  <si>
    <t>XYLAMPYYOCATEA-UHFFFAOYSA-M</t>
  </si>
  <si>
    <t>CCCCCCCCCCCCCCC(C(=O)OC)S(=O)(=O)[O-].[Na+]</t>
  </si>
  <si>
    <t>sodium-1-methoxy-1-oxohexadecane-2-sulfonate</t>
  </si>
  <si>
    <t>InChI=1S/C17H34O5S.Na/c1-3-4-5-6-7-8-9-10-11-12-13-14-15-16(17(18)22-2)23(19,20)21;/h16H,3-15H2,1-2H3,(H,19,20,21);/q;+1/p-1</t>
  </si>
  <si>
    <t>HXWNOTVHFBYTKF-UHFFFAOYSA-M</t>
  </si>
  <si>
    <t>CCCCCCCCCCCCCCC(CCC)OS(=O)(=O)[O-].[Na+]</t>
  </si>
  <si>
    <t>sodium-octadecan-4-ylsulfate</t>
  </si>
  <si>
    <t>InChI=1S/C18H38O4S.Na/c1-3-5-6-7-8-9-10-11-12-13-14-15-17-18(16-4-2)22-23(19,20)21;/h18H,3-17H2,1-2H3,(H,19,20,21);/q;+1/p-1</t>
  </si>
  <si>
    <t>VGNMMMYUBBDCKA-UHFFFAOYSA-M</t>
  </si>
  <si>
    <t>CCCCCCCCCCCCCCC(CCCC)OS(=O)(=O)[O-].[Na+]</t>
  </si>
  <si>
    <t>InChI=1S/C19H40O4S.Na/c1-3-5-7-8-9-10-11-12-13-14-15-16-18-19(17-6-4-2)23-24(20,21)22;/h19H,3-18H2,1-2H3,(H,20,21,22);/q;+1/p-1</t>
  </si>
  <si>
    <t>TWGQFZCTVNSSQP-UHFFFAOYSA-M</t>
  </si>
  <si>
    <t>CCCCCCCCCCCCCCC(CCCCCCCCCCCCCC)OS(=O)(=O)[O-].[Na+]</t>
  </si>
  <si>
    <t>InChI=1S/C29H60O4S.Na/c1-3-5-7-9-11-13-15-17-19-21-23-25-27-29(33-34(30,31)32)28-26-24-22-20-18-16-14-12-10-8-6-4-2;/h29H,3-28H2,1-2H3,(H,30,31,32);/q;+1/p-1</t>
  </si>
  <si>
    <t>FKCBXOFBUMNEET-UHFFFAOYSA-M</t>
  </si>
  <si>
    <t>CCCCCCCCCCCCCCC(CSCCCCSCC(CCCCCCCCCCCCCC)[n+]1ccn(C)c1)[n+]1ccn(C)c1.[Br-].[Br-]</t>
  </si>
  <si>
    <t>InChI=1S/C44H84N4S2.2BrH/c1-5-7-9-11-13-15-17-19-21-23-25-27-31-43(47-35-33-45(3)41-47)39-49-37-29-30-38-50-40-44(48-36-34-46(4)42-48)32-28-26-24-22-20-18-16-14-12-10-8-6-2;;/h33-36,41-44H,5-32,37-40H2,1-4H3;2*1H/q+2;;/p-2</t>
  </si>
  <si>
    <t>UHPWKBZVYCYNJX-UHFFFAOYSA-L</t>
  </si>
  <si>
    <t>CCCCCCCCCCCCCCC(CSCCCSCC(CCCCCCCCCCCCCC)[n+]1ccn(C)c1)[n+]1ccn(C)c1.[Br-].[Br-]</t>
  </si>
  <si>
    <t>InChI=1S/C43H82N4S2.2BrH/c1-5-7-9-11-13-15-17-19-21-23-25-27-30-42(46-34-32-44(3)40-46)38-48-36-29-37-49-39-43(47-35-33-45(4)41-47)31-28-26-24-22-20-18-16-14-12-10-8-6-2;;/h32-35,40-43H,5-31,36-39H2,1-4H3;2*1H/q+2;;/p-2</t>
  </si>
  <si>
    <t>AERZRWVHRQNVFV-UHFFFAOYSA-L</t>
  </si>
  <si>
    <t>CCCCCCCCCCCCCCC(CSCCSCC(CCCCCCCCCCCCCC)[n+]1ccccc1)[n+]1ccccc1.[Br-].[Br-]</t>
  </si>
  <si>
    <t>InChI=1S/C44H78N2S2.2BrH/c1-3-5-7-9-11-13-15-17-19-21-23-27-33-43(45-35-29-25-30-36-45)41-47-39-40-48-42-44(46-37-31-26-32-38-46)34-28-24-22-20-18-16-14-12-10-8-6-4-2;;/h25-26,29-32,35-38,43-44H,3-24,27-28,33-34,39-42H2,1-2H3;2*1H/q+2;;/p-2</t>
  </si>
  <si>
    <t>XFGVBZXBWHMVPT-UHFFFAOYSA-L</t>
  </si>
  <si>
    <t>CCCCCCCCCCCCCCC(CSCCSCC(CCCCCCCCCCCCCC)[n+]1ccn(C)c1)[n+]1ccn(C)c1.[Br-].[Br-]</t>
  </si>
  <si>
    <t>InChI=1S/C42H80N4S2.2BrH/c1-5-7-9-11-13-15-17-19-21-23-25-27-29-41(45-33-31-43(3)39-45)37-47-35-36-48-38-42(46-34-32-44(4)40-46)30-28-26-24-22-20-18-16-14-12-10-8-6-2;;/h31-34,39-42H,5-30,35-38H2,1-4H3;2*1H/q+2;;/p-2</t>
  </si>
  <si>
    <t>OEDAWTIYZKBMLI-UHFFFAOYSA-L</t>
  </si>
  <si>
    <t>CCCCCCCCCCCCCCC(O)Cn1cc[n+](CCO)c1.[Br-]</t>
  </si>
  <si>
    <t>N-(2-hydroxyundecyl)imidazolesbromide</t>
  </si>
  <si>
    <t>InChI=1S/C21H41N2O2.BrH/c1-2-3-4-5-6-7-8-9-10-11-12-13-14-21(25)19-23-16-15-22(20-23)17-18-24;/h15-16,20-21,24-25H,2-14,17-19H2,1H3;1H/q+1;/p-1</t>
  </si>
  <si>
    <t>LGAUURJPCDBSKY-UHFFFAOYSA-M</t>
  </si>
  <si>
    <t>CCCCCCCCCCCCCCC(O)Cn1cc[n+](CCO)c1.[Cl-]</t>
  </si>
  <si>
    <t>N-(2-hydroxyundecyl)imidazoleschloride</t>
  </si>
  <si>
    <t>InChI=1S/C21H41N2O2.ClH/c1-2-3-4-5-6-7-8-9-10-11-12-13-14-21(25)19-23-16-15-22(20-23)17-18-24;/h15-16,20-21,24-25H,2-14,17-19H2,1H3;1H/q+1;/p-1</t>
  </si>
  <si>
    <t>FIEDWECAELVYKN-UHFFFAOYSA-M</t>
  </si>
  <si>
    <t>CCCCCCCCCCCCCCC(O)O</t>
  </si>
  <si>
    <t>pentadecane-1,3-diol</t>
  </si>
  <si>
    <t>InChI=1S/C15H32O2/c1-2-3-4-5-6-7-8-9-10-11-12-13-14-15(16)17/h15-17H,2-14H2,1H3</t>
  </si>
  <si>
    <t>FDUBTTQMOFEVRB-UHFFFAOYSA-N</t>
  </si>
  <si>
    <t>OCCOCCOCCOCCOCCOCCOCCOCCOCCCCCCCCCCCCCCC</t>
  </si>
  <si>
    <t>InChI=1S/C31H64O9/c1-3-5-6-7-8-9-10-11-12-13-14-15-16-31(32)40-30-29-39-28-27-38-26-25-37-24-23-36-22-21-35-20-19-34-18-17-33-4-2/h31-32H,3-30H2,1-2H3</t>
  </si>
  <si>
    <t>PLKIOIDRBCEZJS-UHFFFAOYSA-N</t>
  </si>
  <si>
    <t>CCCCCCCCCCCCCCC(OC(=O)CC)S(=O)(=O)[O-].[Na+]</t>
  </si>
  <si>
    <t>InChI=1S/C18H36O5S.Na/c1-3-5-6-7-8-9-10-11-12-13-14-15-16-18(24(20,21)22)23-17(19)4-2;/h18H,3-16H2,1-2H3,(H,20,21,22);/q;+1/p-1</t>
  </si>
  <si>
    <t>WTRZEBPGQHLHDM-UHFFFAOYSA-M</t>
  </si>
  <si>
    <t>CCCCCCCCCCCCCCC(OC(=O)CCC)S(=O)(=O)[O-].[Na+]</t>
  </si>
  <si>
    <t>InChI=1S/C19H38O5S.Na/c1-3-5-6-7-8-9-10-11-12-13-14-15-17-19(25(21,22)23)24-18(20)16-4-2;/h19H,3-17H2,1-2H3,(H,21,22,23);/q;+1/p-1</t>
  </si>
  <si>
    <t>ORVXETZIGHRNIV-UHFFFAOYSA-M</t>
  </si>
  <si>
    <t>CCCCCCCCCCCCCCC(OC(C)=O)S(=O)(=O)[O-].[Na+]</t>
  </si>
  <si>
    <t>InChI=1S/C17H34O5S.Na/c1-3-4-5-6-7-8-9-10-11-12-13-14-15-17(22-16(2)18)23(19,20)21;/h17H,3-15H2,1-2H3,(H,19,20,21);/q;+1/p-1</t>
  </si>
  <si>
    <t>WYBRYEATCQEHBC-UHFFFAOYSA-M</t>
  </si>
  <si>
    <t>CCCCCCCCCCCCCCC=CS(=O)(=O)[O-].[Na+]</t>
  </si>
  <si>
    <t>sodium-hexadec-1-ene-1-sulfonate</t>
  </si>
  <si>
    <t>InChI=1S/C16H32O3S.Na/c1-2-3-4-5-6-7-8-9-10-11-12-13-14-15-16-20(17,18)19;/h15-16H,2-14H2,1H3,(H,17,18,19);/q;+1/p-1</t>
  </si>
  <si>
    <t>MVHWMCQWFWUXEE-UHFFFAOYSA-M</t>
  </si>
  <si>
    <t>CCCCCCCCCCCCCCCC(=O)NC(C(=O)[O-])C(C)C.[Na+]</t>
  </si>
  <si>
    <t>['10.1002/9781118228920', '10.1002/9781118228920.ch3', '10.1021/acs.jpcb.1c05264']</t>
  </si>
  <si>
    <t>sodium-2-(hexadecanoylamino)-3-methylbutanoate</t>
  </si>
  <si>
    <t>InChI=1S/C21H41NO3.Na/c1-4-5-6-7-8-9-10-11-12-13-14-15-16-17-19(23)22-20(18(2)3)21(24)25;/h18,20H,4-17H2,1-3H3,(H,22,23)(H,24,25);/q;+1/p-1</t>
  </si>
  <si>
    <t>JGADVGDHNLQJCN-UHFFFAOYSA-M</t>
  </si>
  <si>
    <t>CCCCCCCCCCCCCCCC(=O)NC(CC(C)C)C(=O)[O-].[Na+]</t>
  </si>
  <si>
    <t>InChI=1S/C22H43NO3.Na/c1-4-5-6-7-8-9-10-11-12-13-14-15-16-17-21(24)23-20(22(25)26)18-19(2)3;/h19-20H,4-18H2,1-3H3,(H,23,24)(H,25,26);/q;+1/p-1</t>
  </si>
  <si>
    <t>WYWFIRVFGOYWHZ-UHFFFAOYSA-M</t>
  </si>
  <si>
    <t>CCCCCCCCCCCCCCCC(=O)NC(O)[C@H]1O[C@@H](O[C@@H]([C@H](O)[C@@H](O)CO)[C@H](O)CO)[C@H](O)[C@@H](O)[C@H]1O</t>
  </si>
  <si>
    <t>N-hexadecanoyl-N-methyllactitolamine</t>
  </si>
  <si>
    <t>InChI=1S/C28H55NO12/c1-2-3-4-5-6-7-8-9-10-11-12-13-14-15-20(34)29-27(39)26-23(37)22(36)24(38)28(41-26)40-25(19(33)17-31)21(35)18(32)16-30/h18-19,21-28,30-33,35-39H,2-17H2,1H3,(H,29,34)/t18-,19+,21+,22-,23+,24+,25+,26-,27?,28+/m0/s1</t>
  </si>
  <si>
    <t>NHZBKEWIVKTGHD-DUAUCSKRSA-N</t>
  </si>
  <si>
    <t>CCCCCCCCCCCCCCCC(=O)NC1CCOC1=O</t>
  </si>
  <si>
    <t>N-(2-oxooxolan-3-yl)hexadecanamide</t>
  </si>
  <si>
    <t>InChI=1S/C20H37NO3/c1-2-3-4-5-6-7-8-9-10-11-12-13-14-15-19(22)21-18-16-17-24-20(18)23/h18H,2-17H2,1H3,(H,21,22)</t>
  </si>
  <si>
    <t>QJIXVOQAEZMUIH-UHFFFAOYSA-N</t>
  </si>
  <si>
    <t>CCCCCCCCCCCCCCCC(=O)NCCC[N+](C)(C)CC(O)COC1OC(CO)C(O)C(O)C1O.[Cl-]</t>
  </si>
  <si>
    <t>10.1007/s11743-010-1225-4</t>
  </si>
  <si>
    <t>InChI=1S/C30H60N2O8.ClH/c1-4-5-6-7-8-9-10-11-12-13-14-15-16-18-26(35)31-19-17-20-32(2,3)21-24(34)23-39-30-29(38)28(37)27(36)25(22-33)40-30;/h24-25,27-30,33-34,36-38H,4-23H2,1-3H3;1H</t>
  </si>
  <si>
    <t>SFDBBAUYPUMIKB-UHFFFAOYSA-N</t>
  </si>
  <si>
    <t>CCCCCCCCCCCCCCCC(=O)NCCC[N+](C)(C)CCOC1OC(CO)C(O)C(O)C1O.[Cl-]</t>
  </si>
  <si>
    <t>InChI=1S/C29H58N2O7.ClH/c1-4-5-6-7-8-9-10-11-12-13-14-15-16-18-25(33)30-19-17-20-31(2,3)21-22-37-29-28(36)27(35)26(34)24(23-32)38-29;/h24,26-29,32,34-36H,4-23H2,1-3H3;1H</t>
  </si>
  <si>
    <t>PNWQDWLWJALQBT-UHFFFAOYSA-N</t>
  </si>
  <si>
    <t>CCCCCCCCCCCCCCCC(=O)NCCC[N+](C)(C)Cc1ccccc1.[Cl-]</t>
  </si>
  <si>
    <t>N-(3-(dimethylbenzylammonium)propyl)palmitamidechloride</t>
  </si>
  <si>
    <t>InChI=1S/C28H50N2O.ClH/c1-4-5-6-7-8-9-10-11-12-13-14-15-19-23-28(31)29-24-20-25-30(2,3)26-27-21-17-16-18-22-27;/h16-18,21-22H,4-15,19-20,23-26H2,1-3H3;1H</t>
  </si>
  <si>
    <t>FCWLLOCBTJAGDE-UHFFFAOYSA-N</t>
  </si>
  <si>
    <t>CCCCCCCCCCCCCCCC(=O)N[N+](C)(C)CCC[N+](C)(C)NC(=O)CCCCCCCCCCCCCCC.[Br-].[Br-]</t>
  </si>
  <si>
    <t>1,3-bis(N'-pentadecyl-N,N-dimethylhydrazinium)propanedibromide</t>
  </si>
  <si>
    <t>InChI=1S/C39H80N4O2.2BrH/c1-7-9-11-13-15-17-19-21-23-25-27-29-31-34-38(44)40-42(3,4)36-33-37-43(5,6)41-39(45)35-32-30-28-26-24-22-20-18-16-14-12-10-8-2;;/h7-37H2,1-6H3;2*1H</t>
  </si>
  <si>
    <t>RJCLOKMAUPDBSW-UHFFFAOYSA-N</t>
  </si>
  <si>
    <t>CCCCCCCCCCCCCCCC(=O)OC(C)C(=O)NCCCN(C)C</t>
  </si>
  <si>
    <t>InChI=1S/C24H48N2O3/c1-5-6-7-8-9-10-11-12-13-14-15-16-17-19-23(27)29-22(2)24(28)25-20-18-21-26(3)4/h22H,5-21H2,1-4H3,(H,25,28)</t>
  </si>
  <si>
    <t>NIJJPHIESJQSCR-UHFFFAOYSA-N</t>
  </si>
  <si>
    <t>CCCCCCCCCCCCCCCC(=O)OC(C)C(=O)NCCC[N+](C)(C)C.COS(=O)(=O)[O-]</t>
  </si>
  <si>
    <t>InChI=1S/C25H50N2O3.CH4O4S/c1-6-7-8-9-10-11-12-13-14-15-16-17-18-20-24(28)30-23(2)25(29)26-21-19-22-27(3,4)5;1-5-6(2,3)4/h23H,6-22H2,1-5H3;1H3,(H,2,3,4)</t>
  </si>
  <si>
    <t>QIMRBJRCBIDLCI-UHFFFAOYSA-N</t>
  </si>
  <si>
    <t>CCCCCCCCCCCCCCCC(=O)OCC(COC(=O)CCCCCCCCCCCCCCC)(C[n+]1ccn(C)c1)C[n+]1ccn(C)c1.[Br-].[Br-]</t>
  </si>
  <si>
    <t>InChI=1S/C45H82N4O4.2BrH/c1-5-7-9-11-13-15-17-19-21-23-25-27-29-31-43(50)52-39-45(37-48-35-33-46(3)41-48,38-49-36-34-47(4)42-49)40-53-44(51)32-30-28-26-24-22-20-18-16-14-12-10-8-6-2;;/h33-36,41-42H,5-32,37-40H2,1-4H3;2*1H/q+2;;/p-2</t>
  </si>
  <si>
    <t>XCMDOCACICMCIW-UHFFFAOYSA-L</t>
  </si>
  <si>
    <t>CCCCCCCCCCCCCCCC(=O)OCC1OC(OCCC[N+](C)(C)C)C(O)C(O)C1O.[I-]</t>
  </si>
  <si>
    <t>InChI=1S/C28H56NO7.HI/c1-5-6-7-8-9-10-11-12-13-14-15-16-17-19-24(30)35-22-23-25(31)26(32)27(33)28(36-23)34-21-18-20-29(2,3)4;/h23,25-28,31-33H,5-22H2,1-4H3;1H/q+1;/p-1</t>
  </si>
  <si>
    <t>MAFPCSGZCBFESK-UHFFFAOYSA-M</t>
  </si>
  <si>
    <t>CCCCCCCCCCCCCCCC(=O)OCC[N+](C)(C)CC(O)C[N+](C)(C)CCOC(=O)CCCCCCCCCCC.[Cl-].[Cl-]</t>
  </si>
  <si>
    <t>InChI=1S/C39H80N2O5.2ClH/c1-7-9-11-13-15-17-18-19-20-22-24-26-28-30-39(44)46-34-32-41(5,6)36-37(42)35-40(3,4)31-33-45-38(43)29-27-25-23-21-16-14-12-10-8-2;;/h37,42H,7-36H2,1-6H3;2*1H/q+2;;/p-2</t>
  </si>
  <si>
    <t>BCJINXRPRLMSAF-UHFFFAOYSA-L</t>
  </si>
  <si>
    <t>CCCCCCCCCCCCCCCC(=O)Oc1cccc2ccc[n+](CCCCCCCCCC)c12.[Br-]</t>
  </si>
  <si>
    <t>InChI=1S/C35H58NO2.BrH/c1-3-5-7-9-11-13-14-15-16-17-18-20-22-29-34(37)38-33-28-24-26-32-27-25-31-36(35(32)33)30-23-21-19-12-10-8-6-4-2;/h24-28,31H,3-23,29-30H2,1-2H3;1H/q+1;/p-1</t>
  </si>
  <si>
    <t>UBARRCGPMGSHDA-UHFFFAOYSA-M</t>
  </si>
  <si>
    <t>CCCCCCCCCCCCCCCC(=O)Oc1cccc2ccc[n+](CCCCCCCCCC[n+]3cccc4cccc(OC(=O)CCCCCCCCCCCCCCC)c43)c12.[Br-].[Br-]</t>
  </si>
  <si>
    <t>InChI=1S/C60H94N2O4.2BrH/c1-3-5-7-9-11-13-15-17-19-21-25-29-33-47-57(63)65-55-45-37-41-53-43-39-51-61(59(53)55)49-35-31-27-23-24-28-32-36-50-62-52-40-44-54-42-38-46-56(60(54)62)66-58(64)48-34-30-26-22-20-18-16-14-12-10-8-6-4-2;;/h37-46,51-52H,3-36,47-50H2,1-2H3;2*1H/q+2;;/p-2</t>
  </si>
  <si>
    <t>ANFLCFPSBZDSKB-UHFFFAOYSA-L</t>
  </si>
  <si>
    <t>CCCCCCCCCCCCCCCC(=O)Oc1cccc2ccc[n+](CCCCCC[n+]3cccc4cccc(OC(=O)CCCCCCCCCCCCCCC)c43)c12.[Br-].[Br-]</t>
  </si>
  <si>
    <t>InChI=1S/C56H86N2O4.2BrH/c1-3-5-7-9-11-13-15-17-19-21-23-25-29-43-53(59)61-51-41-33-37-49-39-35-47-57(55(49)51)45-31-27-28-32-46-58-48-36-40-50-38-34-42-52(56(50)58)62-54(60)44-30-26-24-22-20-18-16-14-12-10-8-6-4-2;;/h33-42,47-48H,3-32,43-46H2,1-2H3;2*1H/q+2;;/p-2</t>
  </si>
  <si>
    <t>HXIHBLGAAGJMJX-UHFFFAOYSA-L</t>
  </si>
  <si>
    <t>CCCCCCCCCCCCCCCC(C)OS(=O)(=O)[O-].[Na+]</t>
  </si>
  <si>
    <t>sodium-heptadecan-2-ylsulfate</t>
  </si>
  <si>
    <t>InChI=1S/C17H36O4S.Na/c1-3-4-5-6-7-8-9-10-11-12-13-14-15-16-17(2)21-22(18,19)20;/h17H,3-16H2,1-2H3,(H,18,19,20);/q;+1/p-1</t>
  </si>
  <si>
    <t>VEJQEVUBEQDDNK-UHFFFAOYSA-M</t>
  </si>
  <si>
    <t>CCCCCCCCCCCCCCCC(O)CCS(=O)(=O)[O-].[Na+]</t>
  </si>
  <si>
    <t>sodium-3-hydroxyoctadecane-1-sulfonate</t>
  </si>
  <si>
    <t>InChI=1S/C18H38O4S.Na/c1-2-3-4-5-6-7-8-9-10-11-12-13-14-15-18(19)16-17-23(20,21)22;/h18-19H,2-17H2,1H3,(H,20,21,22);/q;+1/p-1</t>
  </si>
  <si>
    <t>WYMNMGKBGAKXHR-UHFFFAOYSA-M</t>
  </si>
  <si>
    <t>CCCCCCCCCCCCCCCC(O)NC(O)(OS(=O)(=O)[O-])[C@H]1OC(O)[C@H](O)[C@@H](O)[C@@H]1O.[Na+]</t>
  </si>
  <si>
    <t>InChI=1S/C22H45NO11S.Na/c1-2-3-4-5-6-7-8-9-10-11-12-13-14-15-16(24)23-22(29,34-35(30,31)32)20-18(26)17(25)19(27)21(28)33-20;/h16-21,23-29H,2-15H2,1H3,(H,30,31,32);/q;+1/p-1/t16?,17-,18-,19+,20-,21?,22?;/m0./s1</t>
  </si>
  <si>
    <t>YLJJPESQGXNZPH-QUZGTXJCSA-M</t>
  </si>
  <si>
    <t>CCCCCCCCCCCCCCCCOCCOCCOCCOCCOCCOCO</t>
  </si>
  <si>
    <t>InChI=1S/C28H58O7/c1-3-5-6-7-8-9-10-11-12-13-14-15-16-17-28(29)35-27-26-34-25-24-33-23-22-32-21-20-31-19-18-30-4-2/h28-29H,3-27H2,1-2H3</t>
  </si>
  <si>
    <t>WESCVVGCYFKTJS-UHFFFAOYSA-N</t>
  </si>
  <si>
    <t>OCCOCCOCCOCCOCCOCCOCCOCCCCCCCCCCCCCCCC</t>
  </si>
  <si>
    <t>InChI=1S/C30H62O8/c1-3-5-6-7-8-9-10-11-12-13-14-15-16-17-30(31)38-29-28-37-27-26-36-25-24-35-23-22-34-21-20-33-19-18-32-4-2/h30-31H,3-29H2,1-2H3</t>
  </si>
  <si>
    <t>NPXYYGIDICJIDW-UHFFFAOYSA-N</t>
  </si>
  <si>
    <t>CCCCCCCCCCCCCCCC(OCC)(OCC)OS(=O)(=O)[O-].[Na+]</t>
  </si>
  <si>
    <t>InChI=1S/C20H42O6S.Na/c1-4-7-8-9-10-11-12-13-14-15-16-17-18-19-20(24-5-2,25-6-3)26-27(21,22)23;/h4-19H2,1-3H3,(H,21,22,23);/q;+1/p-1</t>
  </si>
  <si>
    <t>KGQYPQIYDGYQGL-UHFFFAOYSA-M</t>
  </si>
  <si>
    <t>CCCCCCCCCCCCCCCC1=NCC[N+]1(CCCCCC[N+]1(CCNCCN)CCN=C1CCCCCCCCCCCCCCC)CCNCCN.[Br-].[Br-]</t>
  </si>
  <si>
    <t>InChI=1S/C50H104N8.2BrH/c1-3-5-7-9-11-13-15-17-19-21-23-25-29-33-49-55-41-47-57(49,45-39-53-37-35-51)43-31-27-28-32-44-58(46-40-54-38-36-52)48-42-56-50(58)34-30-26-24-22-20-18-16-14-12-10-8-6-4-2;;/h53-54H,3-48,51-52H2,1-2H3;2*1H/q+2;;/p-2</t>
  </si>
  <si>
    <t>HUCKOTSOBPFSPT-UHFFFAOYSA-L</t>
  </si>
  <si>
    <t>CCCCCCCCCCCCCCCC1=[N+](CCO)CCN1.O=C([O-])O</t>
  </si>
  <si>
    <t>InChI=1S/C20H40N2O.CH2O3/c1-2-3-4-5-6-7-8-9-10-11-12-13-14-15-20-21-16-17-22(20)18-19-23;2-1(3)4/h23H,2-19H2,1H3;(H2,2,3,4)</t>
  </si>
  <si>
    <t>DKPTVDBNCVBGSO-UHFFFAOYSA-N</t>
  </si>
  <si>
    <t>CCCCCCCCCCCCCCCC=CC(=O)OC(CO)COC(CO)COC(CO)COC(CO)CO</t>
  </si>
  <si>
    <t>InChI=1S/C30H58O10/c1-2-3-4-5-6-7-8-9-10-11-12-13-14-15-16-17-30(36)40-29(22-35)25-39-28(21-34)24-38-27(20-33)23-37-26(18-31)19-32/h16-17,26-29,31-35H,2-15,18-25H2,1H3</t>
  </si>
  <si>
    <t>DDFVEEOXEIRHHM-UHFFFAOYSA-N</t>
  </si>
  <si>
    <t>CCCCCCCCCCCCCCCC=CC(=O)OC(CO)COC(CO)COC(CO)COC(CO)COC(CO)COC(CO)CO</t>
  </si>
  <si>
    <t>InChI=1S/C36H70O14/c1-2-3-4-5-6-7-8-9-10-11-12-13-14-15-16-17-36(44)50-35(24-43)29-49-34(23-42)28-48-33(22-41)27-47-32(21-40)26-46-31(20-39)25-45-30(18-37)19-38/h16-17,30-35,37-43H,2-15,18-29H2,1H3</t>
  </si>
  <si>
    <t>CGLZXMRFHRDXSN-UHFFFAOYSA-N</t>
  </si>
  <si>
    <t>CCCCCCCCCCCCCCCC=CC(=O)OC(CO)COC(CO)COC(CO)COC(CO)COC(CO)COC(CO)COC(CO)COC(CO)COC(CO)COC(CO)CO</t>
  </si>
  <si>
    <t>InChI=1S/C48H94O22/c1-2-3-4-5-6-7-8-9-10-11-12-13-14-15-16-17-48(60)70-47(28-59)37-69-46(27-58)36-68-45(26-57)35-67-44(25-56)34-66-43(24-55)33-65-42(23-54)32-64-41(22-53)31-63-40(21-52)30-62-39(20-51)29-61-38(18-49)19-50/h16-17,38-47,49-59H,2-15,18-37H2,1H3</t>
  </si>
  <si>
    <t>RRQVFEUKLKCQDA-UHFFFAOYSA-N</t>
  </si>
  <si>
    <t>CCCCCCCCCCCCCCCCC(=O)NCCC[N+](C)(C)CC(O)C[N+](C)(C)CCCNC(=O)CCCCCCCCCCCCCCCC.[Cl-].[Cl-]</t>
  </si>
  <si>
    <t>1,3-2(hexadecylamidepropyldimethylammoniumchloride)isopropylalcohol</t>
  </si>
  <si>
    <t>InChI=1S/C47H96N4O3.2ClH/c1-7-9-11-13-15-17-19-21-23-25-27-29-31-33-37-46(53)48-39-35-41-50(3,4)43-45(52)44-51(5,6)42-36-40-49-47(54)38-34-32-30-28-26-24-22-20-18-16-14-12-10-8-2;;/h45,52H,7-44H2,1-6H3;2*1H</t>
  </si>
  <si>
    <t>QGTRJWBPMJVPGQ-UHFFFAOYSA-N</t>
  </si>
  <si>
    <t>CCCCCCCCCCCCCCCCC(=O)NCC[N+](C)(C)Cc1ccccc1.[Cl-]</t>
  </si>
  <si>
    <t>InChI=1S/C28H50N2O.ClH/c1-4-5-6-7-8-9-10-11-12-13-14-15-16-20-23-28(31)29-24-25-30(2,3)26-27-21-18-17-19-22-27;/h17-19,21-22H,4-16,20,23-26H2,1-3H3;1H</t>
  </si>
  <si>
    <t>AKWNAYTZXGVRCP-UHFFFAOYSA-N</t>
  </si>
  <si>
    <t>CCCCCCCCCCCCCCCCC(=O)OCC[n+]1ccc(CCCc2cc[n+](CCOC(=O)CCCCCCCCCCCCCCCC)cc2)cc1.[Br-].[Br-]</t>
  </si>
  <si>
    <t>InChI=1S/C51H88N2O4.2BrH/c1-3-5-7-9-11-13-15-17-19-21-23-25-27-29-34-50(54)56-46-44-52-40-36-48(37-41-52)32-31-33-49-38-42-53(43-39-49)45-47-57-51(55)35-30-28-26-24-22-20-18-16-14-12-10-8-6-4-2;;/h36-43H,3-35,44-47H2,1-2H3;2*1H/q+2;;/p-2</t>
  </si>
  <si>
    <t>AMZCDPVJNMTRRI-UHFFFAOYSA-L</t>
  </si>
  <si>
    <t>CCCCCCCCCCCCCCCCC(=O)OCC[n+]1ccc(CCCc2cc[n+](CCOC(=O)CCCCCCCCCCCCCCCC)cc2)cc1.[Cl-].[Cl-]</t>
  </si>
  <si>
    <t>InChI=1S/C51H88N2O4.2ClH/c1-3-5-7-9-11-13-15-17-19-21-23-25-27-29-34-50(54)56-46-44-52-40-36-48(37-41-52)32-31-33-49-38-42-53(43-39-49)45-47-57-51(55)35-30-28-26-24-22-20-18-16-14-12-10-8-6-4-2;;/h36-43H,3-35,44-47H2,1-2H3;2*1H/q+2;;/p-2</t>
  </si>
  <si>
    <t>CSKUDHXKIUXNIP-UHFFFAOYSA-L</t>
  </si>
  <si>
    <t>CCCCCCCCCCCCCCCCC(=O)[O-].[K+]</t>
  </si>
  <si>
    <t>InChI=1S/C17H34O2.K/c1-2-3-4-5-6-7-8-9-10-11-12-13-14-15-16-17(18)19;/h2-16H2,1H3,(H,18,19);/q;+1/p-1</t>
  </si>
  <si>
    <t>PLNPAJUNRPFSDU-UHFFFAOYSA-M</t>
  </si>
  <si>
    <t>CCCCCCCCCCCCCCCCC(C)OS(=O)(=O)[O-].[Na+]</t>
  </si>
  <si>
    <t>sodium-octadecan-2-ylsulfate</t>
  </si>
  <si>
    <t>InChI=1S/C18H38O4S.Na/c1-3-4-5-6-7-8-9-10-11-12-13-14-15-16-17-18(2)22-23(19,20)21;/h18H,3-17H2,1-2H3,(H,19,20,21);/q;+1/p-1</t>
  </si>
  <si>
    <t>UHOGYFJGPNJUTQ-UHFFFAOYSA-M</t>
  </si>
  <si>
    <t>CCCCCCCCCCCCCCCCC(OC(=O)C(C)C)S(=O)(=O)[O-].[Na+]</t>
  </si>
  <si>
    <t>InChI=1S/C21H42O5S.Na/c1-4-5-6-7-8-9-10-11-12-13-14-15-16-17-18-20(27(23,24)25)26-21(22)19(2)3;/h19-20H,4-18H2,1-3H3,(H,23,24,25);/q;+1/p-1</t>
  </si>
  <si>
    <t>RFSJPLSGVRVJTH-UHFFFAOYSA-M</t>
  </si>
  <si>
    <t>CCCCCCCCCCCCCCCCC(OC(=O)CC)S(=O)(=O)[O-].[Na+]</t>
  </si>
  <si>
    <t>InChI=1S/C20H40O5S.Na/c1-3-5-6-7-8-9-10-11-12-13-14-15-16-17-18-20(26(22,23)24)25-19(21)4-2;/h20H,3-18H2,1-2H3,(H,22,23,24);/q;+1/p-1</t>
  </si>
  <si>
    <t>WIQAXYVIWGFURK-UHFFFAOYSA-M</t>
  </si>
  <si>
    <t>CCCCCCCCCCCCCCCCC(OC(=O)CCC)S(=O)(=O)[O-].[Na+]</t>
  </si>
  <si>
    <t>InChI=1S/C21H42O5S.Na/c1-3-5-6-7-8-9-10-11-12-13-14-15-16-17-19-21(27(23,24)25)26-20(22)18-4-2;/h21H,3-19H2,1-2H3,(H,23,24,25);/q;+1/p-1</t>
  </si>
  <si>
    <t>AXJXFMJJTRYIPK-UHFFFAOYSA-M</t>
  </si>
  <si>
    <t>CCCCCCCCCCCCCCCCC(OC(C)=O)S(=O)(=O)[O-].[Na+]</t>
  </si>
  <si>
    <t>InChI=1S/C19H38O5S.Na/c1-3-4-5-6-7-8-9-10-11-12-13-14-15-16-17-19(24-18(2)20)25(21,22)23;/h19H,3-17H2,1-2H3,(H,21,22,23);/q;+1/p-1</t>
  </si>
  <si>
    <t>OBRXYUIGGOPBSI-UHFFFAOYSA-M</t>
  </si>
  <si>
    <t>CCCCCCCCCCCCCCCCC=CS(=O)(=O)[O-].[Na+]</t>
  </si>
  <si>
    <t>sodium-octadec-1-ene-1-sulfonate</t>
  </si>
  <si>
    <t>InChI=1S/C18H36O3S.Na/c1-2-3-4-5-6-7-8-9-10-11-12-13-14-15-16-17-18-22(19,20)21;/h17-18H,2-16H2,1H3,(H,19,20,21);/q;+1/p-1</t>
  </si>
  <si>
    <t>SZGKXOCIHKEMHV-UHFFFAOYSA-M</t>
  </si>
  <si>
    <t>CCCCCCCCCCCCCCCCCC(=O)NC(O)[C@H]1O[C@@H](O[C@@H]([C@H](O)[C@@H](O)CO)[C@H](O)CO)[C@H](O)[C@@H](O)[C@H]1O</t>
  </si>
  <si>
    <t>N-octadecanoyl-N-methyllactitolamine</t>
  </si>
  <si>
    <t>InChI=1S/C30H59NO12/c1-2-3-4-5-6-7-8-9-10-11-12-13-14-15-16-17-22(36)31-29(41)28-25(39)24(38)26(40)30(43-28)42-27(21(35)19-33)23(37)20(34)18-32/h20-21,23-30,32-35,37-41H,2-19H2,1H3,(H,31,36)/t20-,21+,23+,24-,25+,26+,27+,28-,29?,30+/m0/s1</t>
  </si>
  <si>
    <t>VIEJTMSFBVQUIW-JVIHODTRSA-N</t>
  </si>
  <si>
    <t>CCCCCCCCCCCCCCCCCC(=O)NCCC[N+](C)(C)CC(O)COC1OC(CO)C(O)C(O)C1O.[Cl-]</t>
  </si>
  <si>
    <t>InChI=1S/C32H64N2O8.ClH/c1-4-5-6-7-8-9-10-11-12-13-14-15-16-17-18-20-28(37)33-21-19-22-34(2,3)23-26(36)25-41-32-31(40)30(39)29(38)27(24-35)42-32;/h26-27,29-32,35-36,38-40H,4-25H2,1-3H3;1H</t>
  </si>
  <si>
    <t>ASLUVSZOJLGIJD-UHFFFAOYSA-N</t>
  </si>
  <si>
    <t>CCCCCCCCCCCCCCCCCC(=O)NCCC[N+](C)(C)CCOC1OC(CO)C(O)C(O)C1O.[Cl-]</t>
  </si>
  <si>
    <t>InChI=1S/C31H62N2O7.ClH/c1-4-5-6-7-8-9-10-11-12-13-14-15-16-17-18-20-27(35)32-21-19-22-33(2,3)23-24-39-31-30(38)29(37)28(36)26(25-34)40-31;/h26,28-31,34,36-38H,4-25H2,1-3H3;1H</t>
  </si>
  <si>
    <t>RKBXUOPGUOBHDX-UHFFFAOYSA-N</t>
  </si>
  <si>
    <t>CCCCCCCCCCCCCCCCCC(=O)OC(C)C(=O)NCCCN(C)C</t>
  </si>
  <si>
    <t>InChI=1S/C26H52N2O3/c1-5-6-7-8-9-10-11-12-13-14-15-16-17-18-19-21-25(29)31-24(2)26(30)27-22-20-23-28(3)4/h24H,5-23H2,1-4H3,(H,27,30)</t>
  </si>
  <si>
    <t>XPEFFNDDFXPQIN-UHFFFAOYSA-N</t>
  </si>
  <si>
    <t>CCCCCCCCCCCCCCCCCC(=O)OC(C)C(=O)NCCC[N+](C)(C)C.COS(=O)(=O)[O-]</t>
  </si>
  <si>
    <t>InChI=1S/C27H54N2O3.CH4O4S/c1-6-7-8-9-10-11-12-13-14-15-16-17-18-19-20-22-26(30)32-25(2)27(31)28-23-21-24-29(3,4)5;1-5-6(2,3)4/h25H,6-24H2,1-5H3;1H3,(H,2,3,4)</t>
  </si>
  <si>
    <t>NTIGGCHLOZKWRE-UHFFFAOYSA-N</t>
  </si>
  <si>
    <t>CCCCCCCCCCCCCCCCCC(=O)OCC1OC(OCCC[N+](C)(C)C)C(O)C(O)C1O.[I-]</t>
  </si>
  <si>
    <t>InChI=1S/C30H60NO7.HI/c1-5-6-7-8-9-10-11-12-13-14-15-16-17-18-19-21-26(32)37-24-25-27(33)28(34)29(35)30(38-25)36-23-20-22-31(2,3)4;/h25,27-30,33-35H,5-24H2,1-4H3;1H/q+1;/p-1</t>
  </si>
  <si>
    <t>WTVBDJUHMDFFJF-UHFFFAOYSA-M</t>
  </si>
  <si>
    <t>CCCCCCCCCCCCCCCCCC(=O)OCCC(CO)COC(CO)COC(CO)COC(CO)CO</t>
  </si>
  <si>
    <t>InChI=1S/C32H64O10/c1-2-3-4-5-6-7-8-9-10-11-12-13-14-15-16-17-32(38)39-19-18-28(20-33)25-40-30(23-36)27-42-31(24-37)26-41-29(21-34)22-35/h28-31,33-37H,2-27H2,1H3</t>
  </si>
  <si>
    <t>JFVLNFBBPPFZEZ-UHFFFAOYSA-N</t>
  </si>
  <si>
    <t>CCCCCCCCCCCCCCCCCC(=O)OCCC(CO)COC(CO)COC(CO)COC(CO)COC(CO)COC(CO)CO</t>
  </si>
  <si>
    <t>InChI=1S/C38H76O14/c1-2-3-4-5-6-7-8-9-10-11-12-13-14-15-16-17-38(46)47-19-18-32(20-39)27-48-34(23-42)29-50-36(25-44)31-52-37(26-45)30-51-35(24-43)28-49-33(21-40)22-41/h32-37,39-45H,2-31H2,1H3</t>
  </si>
  <si>
    <t>JWKGJQBWPXJKNI-UHFFFAOYSA-N</t>
  </si>
  <si>
    <t>CCCCCCCCCCCCCCCCCC(=O)OCCOCC(OCCO)C1OCC(OCCO)C1OCCO</t>
  </si>
  <si>
    <t>POE(20) sorbitan monostearate</t>
  </si>
  <si>
    <t>InChI=1S/C32H62O10/c1-2-3-4-5-6-7-8-9-10-11-12-13-14-15-16-17-30(36)40-25-24-37-26-28(38-21-18-33)32-31(41-23-20-35)29(27-42-32)39-22-19-34/h28-29,31-35H,2-27H2,1H3</t>
  </si>
  <si>
    <t>DEKFZWMENCCOFU-UHFFFAOYSA-N</t>
  </si>
  <si>
    <t>CCCCCCCCCCCCCCCCCC(=O)OCCOCCOCCOCCOCCOCCOCCOCCO</t>
  </si>
  <si>
    <t>POE(8) stearate</t>
  </si>
  <si>
    <t>InChI=1S/C34H68O10/c1-2-3-4-5-6-7-8-9-10-11-12-13-14-15-16-17-34(36)44-33-32-43-31-30-42-29-28-41-27-26-40-25-24-39-23-22-38-21-20-37-19-18-35/h35H,2-33H2,1H3</t>
  </si>
  <si>
    <t>MOKBFXZQXUZAMV-UHFFFAOYSA-N</t>
  </si>
  <si>
    <t>CCCCCCCCCCCCCCCCCC(=O)OCC[N+](C)(CCO)CCOC(=O)CCCCCCCCCCCCCCCCC.COS(=O)(=O)[O-]</t>
  </si>
  <si>
    <t>10.1108/00368791011064437</t>
  </si>
  <si>
    <t>InChI=1S/C43H86NO5.CH4O4S/c1-4-6-8-10-12-14-16-18-20-22-24-26-28-30-32-34-42(46)48-40-37-44(3,36-39-45)38-41-49-43(47)35-33-31-29-27-25-23-21-19-17-15-13-11-9-7-5-2;1-5-6(2,3)4/h45H,4-41H2,1-3H3;1H3,(H,2,3,4)/q+1;/p-1</t>
  </si>
  <si>
    <t>FPKBRMRMNGYJLA-UHFFFAOYSA-M</t>
  </si>
  <si>
    <t>CCCCCCCCCCCCCCCCCC(=O)Oc1cccc2ccc[n+](CCCCCCCCCC)c12.[Br-]</t>
  </si>
  <si>
    <t>InChI=1S/C37H62NO2.BrH/c1-3-5-7-9-11-13-14-15-16-17-18-19-20-22-24-31-36(39)40-35-30-26-28-34-29-27-33-38(37(34)35)32-25-23-21-12-10-8-6-4-2;/h26-30,33H,3-25,31-32H2,1-2H3;1H/q+1;/p-1</t>
  </si>
  <si>
    <t>VQXSAYGRVPIMQZ-UHFFFAOYSA-M</t>
  </si>
  <si>
    <t>CCCCCCCCCCCCCCCCCC(=O)Oc1cccc2ccc[n+](CCCCCCCCCC[n+]3cccc4cccc(OC(=O)CCCCCCCCCCCCCCCCC)c43)c12.[Br-].[Br-]</t>
  </si>
  <si>
    <t>InChI=1S/C64H102N2O4.2BrH/c1-3-5-7-9-11-13-15-17-19-21-23-25-29-33-37-51-61(67)69-59-49-41-45-57-47-43-55-65(63(57)59)53-39-35-31-27-28-32-36-40-54-66-56-44-48-58-46-42-50-60(64(58)66)70-62(68)52-38-34-30-26-24-22-20-18-16-14-12-10-8-6-4-2;;/h41-50,55-56H,3-40,51-54H2,1-2H3;2*1H/q+2;;/p-2</t>
  </si>
  <si>
    <t>VHUHYLLPYFIVJO-UHFFFAOYSA-L</t>
  </si>
  <si>
    <t>CCCCCCCCCCCCCCCCCC(=O)Oc1cccc2ccc[n+](CCCCCC[n+]3cccc4cccc(OC(=O)CCCCCCCCCCCCCCCCC)c43)c12.[Br-].[Br-]</t>
  </si>
  <si>
    <t>InChI=1S/C60H94N2O4.2BrH/c1-3-5-7-9-11-13-15-17-19-21-23-25-27-29-33-47-57(63)65-55-45-37-41-53-43-39-51-61(59(53)55)49-35-31-32-36-50-62-52-40-44-54-42-38-46-56(60(54)62)66-58(64)48-34-30-28-26-24-22-20-18-16-14-12-10-8-6-4-2;;/h37-46,51-52H,3-36,47-50H2,1-2H3;2*1H/q+2;;/p-2</t>
  </si>
  <si>
    <t>MGXCXULHGADDAG-UHFFFAOYSA-L</t>
  </si>
  <si>
    <t>CCCCCCCCCCCCCCCCCC1=[N+](CCO)CCN1.O=C([O-])O</t>
  </si>
  <si>
    <t>InChI=1S/C22H44N2O.CH2O3/c1-2-3-4-5-6-7-8-9-10-11-12-13-14-15-16-17-22-23-18-19-24(22)20-21-25;2-1(3)4/h25H,2-21H2,1H3;(H2,2,3,4)</t>
  </si>
  <si>
    <t>UYXHHCSFMVOYRY-UHFFFAOYSA-N</t>
  </si>
  <si>
    <t>CCCCCCCCCCCCCCCCCCC(O)[C@H]1O[C@H](O[C@]2(CO)O[C@H](CO)[C@@H](O)[C@@H]2O)[C@H](O)[C@@H](O)[C@@H]1O</t>
  </si>
  <si>
    <t>InChI=1S/C30H58O11/c1-2-3-4-5-6-7-8-9-10-11-12-13-14-15-16-17-18-21(33)27-25(36)24(35)26(37)29(39-27)41-30(20-32)28(38)23(34)22(19-31)40-30/h21-29,31-38H,2-20H2,1H3/t21?,22-,23-,24+,25+,26-,27-,28+,29-,30+/m1/s1</t>
  </si>
  <si>
    <t>YAJZVCVAYXPYJR-VILDNSELSA-N</t>
  </si>
  <si>
    <t>CCCCCCCCCCCCCCCCCCCCCCCCCCCCCCCCCCCCCCCCCCCCCCCCCCCOCOOCCOCCOCCCCCC</t>
  </si>
  <si>
    <t>InChI=1S/C62H126O5/c1-3-5-7-9-10-11-12-13-14-15-16-17-18-19-20-21-22-23-24-25-26-27-28-29-30-31-32-33-34-35-36-37-38-39-40-41-42-43-44-45-46-47-48-49-50-51-52-53-55-57-65-62-67-66-61-60-64-59-58-63-56-54-8-6-4-2/h3-62H2,1-2H3</t>
  </si>
  <si>
    <t>RKIKNXCKQFYMKR-UHFFFAOYSA-N</t>
  </si>
  <si>
    <t>CCCCCCCCCCCCCCCCCCCCCCCCCCCC[C@]1(C)C[C@@](C)(O)CC(=O)O1</t>
  </si>
  <si>
    <t>InChI=1S/C35H68O3/c1-4-5-6-7-8-9-10-11-12-13-14-15-16-17-18-19-20-21-22-23-24-25-26-27-28-29-30-35(3)32-34(2,37)31-33(36)38-35/h37H,4-32H2,1-3H3/t34-,35+/m0/s1</t>
  </si>
  <si>
    <t>MZXMVAPEEIAJLN-OIDHKYIRSA-N</t>
  </si>
  <si>
    <t>CCCCCCCCCCCCCCCCCCN(C)C(=O)C(O)C(O)C(O)C(O)CO</t>
  </si>
  <si>
    <t>InChI=1S/C25H51NO6/c1-3-4-5-6-7-8-9-10-11-12-13-14-15-16-17-18-19-26(2)25(32)24(31)23(30)22(29)21(28)20-27/h21-24,27-31H,3-20H2,1-2H3</t>
  </si>
  <si>
    <t>DUBGARALAZQDOD-UHFFFAOYSA-N</t>
  </si>
  <si>
    <t>CCCCCCCCCCCCCCCCCCN(C)C(C(O)C(O)C(O)C(O)CO)=O</t>
  </si>
  <si>
    <t>InChI=1S/C24H49NO5/c1-3-4-5-6-7-8-9-10-11-12-13-14-15-16-17-18-19-25(2)24(27)20-28-22-30-23-29-21-26/h26H,3-23H2,1-2H3</t>
  </si>
  <si>
    <t>FLPLQLRUMKLEOI-UHFFFAOYSA-N</t>
  </si>
  <si>
    <t>CCCCCCCCCCCCCCCCCCN(C([C@@H]([C@H]([C@@H]([C@@H](CO)O)O[C@@H]1O[C@@H]([C@H]([C@@H]([C@H]1O)O)O)CO)O)O)=O)C</t>
  </si>
  <si>
    <t>N-octadecyl-N-methyllactobionamide</t>
  </si>
  <si>
    <t>InChI=1S/C31H61NO10/c1-4-5-6-7-8-9-10-11-12-13-14-15-16-17-18-19-20-32(3)30(40)27(38)26(37)29(23(34)21-33)42-31-28(39)25(36)24(35)22(2)41-31/h22-29,31,33-39H,4-21H2,1-3H3/t22-,23-,24+,25+,26-,27-,28-,29-,31+/m1/s1</t>
  </si>
  <si>
    <t>WMJMHQFBQYVJQH-FWAXZFPSSA-N</t>
  </si>
  <si>
    <t>CCCCCCCCCCCCCCCCCCN=Cc1ccc([N+](C)(CC)CC)cc1.[I-]</t>
  </si>
  <si>
    <t>10.1007/s11743-009-1156-0</t>
  </si>
  <si>
    <t>10.1201/9780203911518</t>
  </si>
  <si>
    <t>4-diethylaminobenzaldehyde-1-octadecylamine</t>
  </si>
  <si>
    <t>InChI=1S/C30H55N2.HI/c1-5-8-9-10-11-12-13-14-15-16-17-18-19-20-21-22-27-31-28-29-23-25-30(26-24-29)32(4,6-2)7-3;/h23-26,28H,5-22,27H2,1-4H3;1H/q+1;/p-1</t>
  </si>
  <si>
    <t>PBPKTECRQIMFKC-UHFFFAOYSA-M</t>
  </si>
  <si>
    <t>CCCCCCCCCCCCCCCCCCNC(=O)C(O)C(O)C(OC1OC(CO)C(O)C(O)C1O)C(O)CO</t>
  </si>
  <si>
    <t>InChI=1S/C30H59NO11/c1-2-3-4-5-6-7-8-9-10-11-12-13-14-15-16-17-18-31-29(40)26(38)25(37)28(21(34)19-32)42-30-27(39)24(36)23(35)22(20-33)41-30/h21-28,30,32-39H,2-20H2,1H3,(H,31,40)</t>
  </si>
  <si>
    <t>NLBYYWXPKRQLBK-UHFFFAOYSA-N</t>
  </si>
  <si>
    <t>CCCCCCCCCCCCCCCCCCOC(=O)C[n+]1c(N=Cc2ccc(OC)cc2)sc2ccccc21.[Br-]</t>
  </si>
  <si>
    <t>10.1080/01932691003756902</t>
  </si>
  <si>
    <t>2-[(4-methoxybenzylidene)amino]-3-(2-oxo-2-alkoxyethyl)-1,3-benzothiazol-3-iumBromide</t>
  </si>
  <si>
    <t>InChI=1S/C35H51N2O3S.BrH/c1-3-4-5-6-7-8-9-10-11-12-13-14-15-16-17-20-27-40-34(38)29-37-32-21-18-19-22-33(32)41-35(37)36-28-30-23-25-31(39-2)26-24-30;/h18-19,21-26,28H,3-17,20,27,29H2,1-2H3;1H/q+1;/p-1</t>
  </si>
  <si>
    <t>VUAPXEICHIUIRR-UHFFFAOYSA-M</t>
  </si>
  <si>
    <t>CCCCCCCCCCCCCCCCCCOC(=O)C[n+]1c(N=Cc2ccccc2)sc2ccccc21.[Br-]</t>
  </si>
  <si>
    <t>2-(benzylideneamino)-3-(2-oxo-2-octadecyloxyethyl)-1,3-benzothiazol-3-iumbromide</t>
  </si>
  <si>
    <t>InChI=1S/C34H49N2O2S.BrH/c1-2-3-4-5-6-7-8-9-10-11-12-13-14-15-16-22-27-38-33(37)29-36-31-25-20-21-26-32(31)39-34(36)35-28-30-23-18-17-19-24-30;/h17-21,23-26,28H,2-16,22,27,29H2,1H3;1H/q+1;/p-1</t>
  </si>
  <si>
    <t>KQGGIRBNLMKAKQ-UHFFFAOYSA-M</t>
  </si>
  <si>
    <t>CCCCCCCCCCCCCCCCCCOC(=O)C[n+]1cccc2ccc(CN3CCCCC3)c(O)c21.[Br-]</t>
  </si>
  <si>
    <t>10.1016/j.bmc.2005.07.031</t>
  </si>
  <si>
    <t>7-Pipridinomethyl-8-hydroxy-N-methylcarboxyoctadecyl-quinoliniumbromide</t>
  </si>
  <si>
    <t>InChI=1S/C35H56N2O3.BrH/c1-2-3-4-5-6-7-8-9-10-11-12-13-14-15-16-20-28-40-33(38)30-37-27-21-22-31-23-24-32(35(39)34(31)37)29-36-25-18-17-19-26-36;/h21-24,27H,2-20,25-26,28-30H2,1H3;1H</t>
  </si>
  <si>
    <t>BTNROUZOHNWZMX-UHFFFAOYSA-N</t>
  </si>
  <si>
    <t>CCCCCCCCCCCCCCCCCCOC(=O)C[n+]1cccc2ccc(CN3CCOCC3)c(O)c21.[Br-]</t>
  </si>
  <si>
    <t>7-Morphilinomethyl-8-hydroxy-N-methylcarboxyoctadecyl-quinoliniumbromide</t>
  </si>
  <si>
    <t>InChI=1S/C34H54N2O4.BrH/c1-2-3-4-5-6-7-8-9-10-11-12-13-14-15-16-17-25-40-32(37)29-36-22-18-19-30-20-21-31(34(38)33(30)36)28-35-23-26-39-27-24-35;/h18-22H,2-17,23-29H2,1H3;1H</t>
  </si>
  <si>
    <t>FMVQXSWMCPKHEA-UHFFFAOYSA-N</t>
  </si>
  <si>
    <t>CCCCCCCCCCCCCCCCCCOC(=O)C[n+]1oc(C)cc1N=Cc1ccccc1.[Br-]</t>
  </si>
  <si>
    <t>10.1016/j.corsci.2011.06.029</t>
  </si>
  <si>
    <t>InChI=1S/C31H49N2O3.BrH/c1-3-4-5-6-7-8-9-10-11-12-13-14-15-16-17-21-24-35-31(34)27-33-30(25-28(2)36-33)32-26-29-22-19-18-20-23-29;/h18-20,22-23,25-26H,3-17,21,24,27H2,1-2H3;1H/q+1;/p-1</t>
  </si>
  <si>
    <t>LFLSVOZUNXERTR-UHFFFAOYSA-M</t>
  </si>
  <si>
    <t>CCCCCCCCCCCCCCCCCCOC(=O)[N+](CC)(CC)CC.[I-]</t>
  </si>
  <si>
    <t>10.3139/113.110437</t>
  </si>
  <si>
    <t>2-(hexadecyloxy)-2-oxoethyl-N,N,N-triethylammoniumiodide</t>
  </si>
  <si>
    <t>InChI=1S/C25H52NO2.HI/c1-5-9-10-11-12-13-14-15-16-17-18-19-20-21-22-23-24-28-25(27)26(6-2,7-3)8-4;/h5-24H2,1-4H3;1H/q+1;/p-1</t>
  </si>
  <si>
    <t>ZTGBCBCFOSPGJU-UHFFFAOYSA-M</t>
  </si>
  <si>
    <t>CCCCCCCCCCCCCCCCCCOCCOCCOCCCCCOCCOCCOCCOCCOCCOCCOCCOCCO</t>
  </si>
  <si>
    <t>2-(2-dodecoxyethoxy)ethanol</t>
  </si>
  <si>
    <t>InChI=1S/C43H88O12/c1-2-3-4-5-6-7-8-9-10-11-12-13-14-15-16-18-22-45-26-30-49-31-27-46-23-19-17-20-24-47-28-32-50-34-36-52-38-40-54-42-43-55-41-39-53-37-35-51-33-29-48-25-21-44/h44H,2-43H2,1H3</t>
  </si>
  <si>
    <t>PWXNDMGHSNOXDT-UHFFFAOYSA-N</t>
  </si>
  <si>
    <t>CCCCCCCCCCCCCCCCCCOCCOCCOCCOCCOCCOCCOCCOCCOCCOCCO</t>
  </si>
  <si>
    <t>POE(10) stearyl ether</t>
  </si>
  <si>
    <t>InChI=1S/C38H78O11/c1-2-3-4-5-6-7-8-9-10-11-12-13-14-15-16-17-19-40-21-23-42-25-27-44-29-31-46-33-35-48-37-38-49-36-34-47-32-30-45-28-26-43-24-22-41-20-18-39/h39H,2-38H2,1H3</t>
  </si>
  <si>
    <t>HNUQMTZUNUBOLQ-UHFFFAOYSA-N</t>
  </si>
  <si>
    <t>CCCCCCCCCCCCCCCCOCCOCCOCCOCCOCCOCCOCCOCCOCCOCCOCCOCCOCCOCCOCCO</t>
  </si>
  <si>
    <t>2-[2-[2-[2-[2-[2-[2-[2-[2-[2-[2-[2-[2-(2-octadecoxyethoxy)ethoxy]ethoxy]ethoxy]ethoxy]ethoxy]ethoxy]ethoxy]ethoxy]ethoxy]ethoxy]ethoxy]ethoxy]ethanol</t>
  </si>
  <si>
    <t>InChI=1S/C46H94O15/c1-2-3-4-5-6-7-8-9-10-11-12-13-14-15-16-17-19-48-21-23-50-25-27-52-29-31-54-33-35-56-37-39-58-41-43-60-45-46-61-44-42-59-40-38-57-36-34-55-32-30-53-28-26-51-24-22-49-20-18-47/h47H,2-46H2,1H3</t>
  </si>
  <si>
    <t>FUSDNKWYJSDDRU-UHFFFAOYSA-N</t>
  </si>
  <si>
    <t>CC(C)(CC(C)(c1ccc(OCCOCCOCCO)cc1)C)C</t>
  </si>
  <si>
    <t>['10.1007/s11743-001-0184-2', '10.1002/9781118228920.ch3']</t>
  </si>
  <si>
    <t>POE(20) oleyl ether</t>
  </si>
  <si>
    <t>InChI=1S/C58H118O21/c1-2-3-4-5-6-7-8-9-10-11-12-13-14-15-16-17-19-60-21-23-62-25-27-64-29-31-66-33-35-68-37-39-70-41-43-72-45-47-74-49-51-76-53-55-78-57-58-79-56-54-77-52-50-75-48-46-73-44-42-71-40-38-69-36-34-67-32-30-65-28-26-63-24-22-61-20-18-59/h59H,2-58H2,1H3</t>
  </si>
  <si>
    <t>JKXYOQDLERSFPT-UHFFFAOYSA-N</t>
  </si>
  <si>
    <t>CCCCCCCCCCCCCCCCCCOCCOCCOCCOCCOCCOCCOCCOCCOCCOCCOCCOCCOCCOCCOCCOCCOCCOCCOCCOCCOCCO</t>
  </si>
  <si>
    <t>POE(21) stearyl ether</t>
  </si>
  <si>
    <t>InChI=1S/C60H122O22/c1-2-3-4-5-6-7-8-9-10-11-12-13-14-15-16-17-19-62-21-23-64-25-27-66-29-31-68-33-35-70-37-39-72-41-43-74-45-47-76-49-51-78-53-55-80-57-59-82-60-58-81-56-54-79-52-50-77-48-46-75-44-42-73-40-38-71-36-34-69-32-30-67-28-26-65-24-22-63-20-18-61/h61H,2-60H2,1H3</t>
  </si>
  <si>
    <t>HMOOLBSXAVBFQK-UHFFFAOYSA-N</t>
  </si>
  <si>
    <t>CCCCCCCCCCCCCCCC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</t>
  </si>
  <si>
    <t>POE(100) stearyl ether</t>
  </si>
  <si>
    <t>InChI=1S/C218H438O101/c1-2-3-4-5-6-7-8-9-10-11-12-13-14-15-16-17-19-220-21-23-222-25-27-224-29-31-226-33-35-228-37-39-230-41-43-232-45-47-234-49-51-236-53-55-238-57-59-240-61-63-242-65-67-244-69-71-246-73-75-248-77-79-250-81-83-252-85-87-254-89-91-256-93-95-258-97-99-260-101-103-262-105-107-264-109-111-266-113-115-268-117-119-270-121-123-272-125-127-274-129-131-276-133-135-278-137-139-280-141-143-282-145-147-284-149-151-286-153-155-288-157-159-290-161-163-292-165-167-294-169-171-296-173-175-298-177-179-300-181-183-302-185-187-304-189-191-306-193-195-308-197-199-310-201-203-312-205-207-314-209-211-316-213-215-318-217-218-319-216-214-317-212-210-315-208-206-313-204-202-311-200-198-309-196-194-307-192-190-305-188-186-303-184-182-301-180-178-299-176-174-297-172-170-295-168-166-293-164-162-291-160-158-289-156-154-287-152-150-285-148-146-283-144-142-281-140-138-279-136-134-277-132-130-275-128-126-273-124-122-271-120-118-269-116-114-267-112-110-265-108-106-263-104-102-261-100-98-259-96-94-257-92-90-255-88-86-253-84-82-251-80-78-249-76-74-247-72-70-245-68-66-243-64-62-241-60-58-239-56-54-237-52-50-235-48-46-233-44-42-231-40-38-229-36-34-227-32-30-225-28-26-223-24-22-221-20-18-219/h219H,2-218H2,1H3</t>
  </si>
  <si>
    <t>BIOIBMWTRFJSHC-UHFFFAOYSA-N</t>
  </si>
  <si>
    <t>CCCCCCCCCCCCCCCCOCCOCCOCCOCCOCCOS(=O)([O-])=O.[Na+]</t>
  </si>
  <si>
    <t>InChI=1S/C28H58O9S.Na/c1-2-3-4-5-6-7-8-9-10-11-12-13-14-15-16-17-18-32-19-20-33-21-22-34-23-24-35-25-26-36-27-28-37-38(29,30)31;/h2-28H2,1H3,(H,29,30,31);/q;+1/p-1</t>
  </si>
  <si>
    <t>VDDOZABAPPROJZ-UHFFFAOYSA-M</t>
  </si>
  <si>
    <t>CCCCCCCCCCCCCCCCCCOCCOCCOCCOCCOS(=O)(=O)[O-].[Na+]</t>
  </si>
  <si>
    <t>10.1016/0021-9797(76)90178-8</t>
  </si>
  <si>
    <t>InChI=1S/C26H54O8S.Na/c1-2-3-4-5-6-7-8-9-10-11-12-13-14-15-16-17-18-30-19-20-31-21-22-32-23-24-33-25-26-34-35(27,28)29;/h2-26H2,1H3,(H,27,28,29);/q;+1/p-1</t>
  </si>
  <si>
    <t>UBQDKLOAFPKOHZ-UHFFFAOYSA-M</t>
  </si>
  <si>
    <t>CCCCCCCCCCCCCCCCCCOCCOCCOCCOS(=O)(=O)[O-].[Na+]</t>
  </si>
  <si>
    <t>InChI=1S/C24H50O7S.Na/c1-2-3-4-5-6-7-8-9-10-11-12-13-14-15-16-17-18-28-19-20-29-21-22-30-23-24-31-32(25,26)27;/h2-24H2,1H3,(H,25,26,27);/q;+1/p-1</t>
  </si>
  <si>
    <t>PMGZXHGAXBWPPN-UHFFFAOYSA-M</t>
  </si>
  <si>
    <t>CCCCCCCCCCCCCCCCCCOCCOCCOS(=O)(=O)[O-].[Na+]</t>
  </si>
  <si>
    <t>InChI=1S/C22H46O6S.Na/c1-2-3-4-5-6-7-8-9-10-11-12-13-14-15-16-17-18-26-19-20-27-21-22-28-29(23,24)25;/h2-22H2,1H3,(H,23,24,25);/q;+1/p-1</t>
  </si>
  <si>
    <t>XEVGTBOXCMGKQO-UHFFFAOYSA-M</t>
  </si>
  <si>
    <t>CCCCCCCCCCCCCCCCCCOCCOS(=O)(=O)[O-].[Na+]</t>
  </si>
  <si>
    <t>InChI=1S/C20H42O5S.Na/c1-2-3-4-5-6-7-8-9-10-11-12-13-14-15-16-17-18-24-19-20-25-26(21,22)23;/h2-20H2,1H3,(H,21,22,23);/q;+1/p-1</t>
  </si>
  <si>
    <t>CCXOGWKVFCZBTN-UHFFFAOYSA-M</t>
  </si>
  <si>
    <t>CCCCCCCCCCCCCCCCCCOCOC[C@H]1OC(O)[C@H](O)[C@@H](O)[C@@H]1O</t>
  </si>
  <si>
    <t>InChI=1S/C25H50O7/c1-2-3-4-5-6-7-8-9-10-11-12-13-14-15-16-17-18-30-20-31-19-21-22(26)23(27)24(28)25(29)32-21/h21-29H,2-20H2,1H3/t21-,22-,23+,24-,25?/m1/s1</t>
  </si>
  <si>
    <t>RXGYYLSTMFDKPY-BIFUOPDKSA-N</t>
  </si>
  <si>
    <t>CCCCCCCCCCCCCCCCCCOP(=O)([O-])OCC[N+](C)(C)CCCCCCCC</t>
  </si>
  <si>
    <t>gemini zwitterionic</t>
  </si>
  <si>
    <t>10.1016/j.chemosphere.2011.05.031</t>
  </si>
  <si>
    <t>InChI=1S/C30H64NO4P/c1-5-7-9-11-13-14-15-16-17-18-19-20-21-22-24-26-29-34-36(32,33)35-30-28-31(3,4)27-25-23-12-10-8-6-2/h5-30H2,1-4H3</t>
  </si>
  <si>
    <t>PKFQMEKTCDOXTH-UHFFFAOYSA-N</t>
  </si>
  <si>
    <t>CCCCCCCCCCCCCCCCCCOS(=O)(=O)[O-].[Na+]</t>
  </si>
  <si>
    <t>['10.1016/0021-9797(76)90178-8', '10.1021/ci600462d']</t>
  </si>
  <si>
    <t>sodium-octadecyl-sulfate</t>
  </si>
  <si>
    <t>InChI=1S/C18H38O4S.Na/c1-2-3-4-5-6-7-8-9-10-11-12-13-14-15-16-17-18-22-23(19,20)21;/h2-18H2,1H3,(H,19,20,21);/q;+1/p-1</t>
  </si>
  <si>
    <t>NWZBFJYXRGSRGD-UHFFFAOYSA-M</t>
  </si>
  <si>
    <t>CCCCCCCCCCCCCCCCCC[N+](C)(C)C.[Br-]</t>
  </si>
  <si>
    <t>10.1016/j.tca.2004.11.009</t>
  </si>
  <si>
    <t>trimethyl(octadecyl)azanium-bromide</t>
  </si>
  <si>
    <t>InChI=1S/C21H46N.BrH/c1-5-6-7-8-9-10-11-12-13-14-15-16-17-18-19-20-21-22(2,3)4;/h5-21H2,1-4H3;1H/q+1;/p-1</t>
  </si>
  <si>
    <t>SZEMGTQCPRNXEG-UHFFFAOYSA-M</t>
  </si>
  <si>
    <t>CCCCCCCCCCCCCCCCCC[N+](C)(C)C.[Cl-]</t>
  </si>
  <si>
    <t>10.1016/j.crci.2018.11.009</t>
  </si>
  <si>
    <t>InChI=1S/C21H46N.ClH/c1-5-6-7-8-9-10-11-12-13-14-15-16-17-18-19-20-21-22(2,3)4;/h5-21H2,1-4H3;1H/q+1;/p-1</t>
  </si>
  <si>
    <t>VBIIFPGSPJYLRR-UHFFFAOYSA-M</t>
  </si>
  <si>
    <t>CCCCCCCCCCCCCCCCCC[N+](C)(C)CC(O)CN1CCN(CC(O)C[N+](C)(C)CCCCCCCCCCCCCCCCCC)CC1.[Cl-].[Cl-]</t>
  </si>
  <si>
    <t>10.1080/01932691.2014.986737</t>
  </si>
  <si>
    <t>N-bis(octadecyltrimethylammonium)piperazine</t>
  </si>
  <si>
    <t>InChI=1S/C50H106N4O2.2ClH/c1-7-9-11-13-15-17-19-21-23-25-27-29-31-33-35-37-43-53(3,4)47-49(55)45-51-39-41-52(42-40-51)46-50(56)48-54(5,6)44-38-36-34-32-30-28-26-24-22-20-18-16-14-12-10-8-2;;/h49-50,55-56H,7-48H2,1-6H3;2*1H/q+2;;/p-2</t>
  </si>
  <si>
    <t>RKEGABGSPPBWSY-UHFFFAOYSA-L</t>
  </si>
  <si>
    <t>CCCCCCCCCCCCCCCCCC[N+](C)(C)CC(O)COCC(C)(COCC(O)C[N+](C)(C)CCCCCCCCCCCCCCCCCC)COCC(O)C[N+](C)(C)CCCCCCCCCCCCCCCCCC.[Cl-].[Cl-].[Cl-]</t>
  </si>
  <si>
    <t>10.1007/s11743-007-1052-4</t>
  </si>
  <si>
    <t>1,1,1-Tris[2-hydroxy-3-(octadecyldimethylammonio)-propoxymethyl]ethanetrichloride</t>
  </si>
  <si>
    <t>InChI=1S/C74H156N3O6.3ClH/c1-11-14-17-20-23-26-29-32-35-38-41-44-47-50-53-56-59-75(5,6)62-71(78)65-81-68-74(4,69-82-66-72(79)63-76(7,8)60-57-54-51-48-45-42-39-36-33-30-27-24-21-18-15-12-2)70-83-67-73(80)64-77(9,10)61-58-55-52-49-46-43-40-37-34-31-28-25-22-19-16-13-3;;;/h71-73,78-80H,11-70H2,1-10H3;3*1H/q+3;;;/p-3</t>
  </si>
  <si>
    <t>FQEPXOPMNSSUOV-UHFFFAOYSA-K</t>
  </si>
  <si>
    <t>CCCCCCCCCCCCCCCCCC[N+](C)(C)CC(O)COCCOCCOCCOCCOCCOCCOCCOCCOCCOCCCCCCCCCCCC.[Cl-]</t>
  </si>
  <si>
    <t>10.1080/01932691.2015.1120676</t>
  </si>
  <si>
    <t>InChI=1S/C53H110NO11.ClH/c1-5-7-9-11-13-15-17-18-19-20-21-22-23-25-27-29-31-54(3,4)51-53(55)52-65-50-49-64-48-47-63-46-45-62-44-43-61-42-41-60-40-39-59-38-37-58-36-35-57-34-33-56-32-30-28-26-24-16-14-12-10-8-6-2;/h53,55H,5-52H2,1-4H3;1H/q+1;/p-1</t>
  </si>
  <si>
    <t>QOMBHSQFKBTSTK-UHFFFAOYSA-M</t>
  </si>
  <si>
    <t>CCCCCCCCCCCCCCCCCC[N+](C)(C)CC(O)C[N+](C)(C)CCCCCCCCCCCCCCCCCC.[Cl-].[Cl-]</t>
  </si>
  <si>
    <t>10.4028/www.scientific.net/AMM.174-177.1433</t>
  </si>
  <si>
    <t>InChI=1S/C43H92N2O.2ClH/c1-7-9-11-13-15-17-19-21-23-25-27-29-31-33-35-37-39-44(3,4)41-43(46)42-45(5,6)40-38-36-34-32-30-28-26-24-22-20-18-16-14-12-10-8-2;;/h43,46H,7-42H2,1-6H3;2*1H/q+2;;/p-2</t>
  </si>
  <si>
    <t>GVPKBFHHCHVJOJ-UHFFFAOYSA-L</t>
  </si>
  <si>
    <t>CCCCCCCCCCCCCCCCCC[N+](C)(C)CCCCCC[N+](C)(C)CCCCCC.[Br-].[Br-]</t>
  </si>
  <si>
    <t>InChI=1S/C34H74N2.2BrH/c1-7-9-11-13-14-15-16-17-18-19-20-21-22-23-24-28-32-36(5,6)34-30-26-25-29-33-35(3,4)31-27-12-10-8-2;;/h7-34H2,1-6H3;2*1H/q+2;;/p-2</t>
  </si>
  <si>
    <t>SXBYKQFFNCFKIY-UHFFFAOYSA-L</t>
  </si>
  <si>
    <t>CCCCCCCCCCCCCCCCCC[N+](C)(C)CCN(CCC(=O)NCCN(CCC(=O)OC)CCC(=O)OC)CCC(=O)NCCN(CCC(=O)OC)CCC(=O)OC.[Br-]</t>
  </si>
  <si>
    <t>10.5650/jos.62.213</t>
  </si>
  <si>
    <t>InChI=1S/C48H92N6O10.BrH/c1-8-9-10-11-12-13-14-15-16-17-18-19-20-21-22-23-41-54(2,3)42-40-53(32-24-43(55)49-30-38-51(34-26-45(57)61-4)35-27-46(58)62-5)33-25-44(56)50-31-39-52(36-28-47(59)63-6)37-29-48(60)64-7;/h8-42H2,1-7H3,(H-,49,50,55,56);1H</t>
  </si>
  <si>
    <t>JSGBYUGZUSPJGE-UHFFFAOYSA-N</t>
  </si>
  <si>
    <t>CCCCCCCCCCCCCCCCCC[N+](C)(C)CCN(CCC(=O)OC)CCC(=O)OC.[Br-]</t>
  </si>
  <si>
    <t>InChI=1S/C30H61N2O4.BrH/c1-6-7-8-9-10-11-12-13-14-15-16-17-18-19-20-21-27-32(2,3)28-26-31(24-22-29(33)35-4)25-23-30(34)36-5;/h6-28H2,1-5H3;1H/q+1;/p-1</t>
  </si>
  <si>
    <t>VVYCZUBGSGPZCG-UHFFFAOYSA-M</t>
  </si>
  <si>
    <t>CCCCCCCCCCCCCCCCCC[N+](C)(C)CCOC(=O)CCC(=O)OCC[N+](C)(C)CCCCCCCCCCCCCCCCCC.[Cl-].[Cl-]</t>
  </si>
  <si>
    <t>10.1016/j.molliq.2017.01.056</t>
  </si>
  <si>
    <t>InChI=1S/C48H98N2O4.2ClH/c1-7-9-11-13-15-17-19-21-23-25-27-29-31-33-35-37-41-49(3,4)43-45-53-47(51)39-40-48(52)54-46-44-50(5,6)42-38-36-34-32-30-28-26-24-22-20-18-16-14-12-10-8-2;;/h7-46H2,1-6H3;2*1H/q+2;;/p-2</t>
  </si>
  <si>
    <t>UFMMQVAMTKCFOC-UHFFFAOYSA-L</t>
  </si>
  <si>
    <t>CCCCCCCCCCCCCCCCCC[N+](C)(C)CCOC(=O)CCCCCCC(=O)OCC[N+](C)(C)CCCCCCCCCCCCCCCCCC.[Cl-].[Cl-]</t>
  </si>
  <si>
    <t>InChI=1S/C52H106N2O4.2ClH/c1-7-9-11-13-15-17-19-21-23-25-27-29-31-33-37-41-45-53(3,4)47-49-57-51(55)43-39-35-36-40-44-52(56)58-50-48-54(5,6)46-42-38-34-32-30-28-26-24-22-20-18-16-14-12-10-8-2;;/h7-50H2,1-6H3;2*1H/q+2;;/p-2</t>
  </si>
  <si>
    <t>CQZLZLQCFYMJJB-UHFFFAOYSA-L</t>
  </si>
  <si>
    <t>CCCCCCCCCCCCCCCCCC[N+](C)(C)CCOCC[N+](C)(C)CCCCCCCCCCCCCCCCCC.[Br-].[Br-]</t>
  </si>
  <si>
    <t>['10.1016/j.crci.2019.04.002', '10.1021/la9904096', '10.1021/la9904096']</t>
  </si>
  <si>
    <t>10.1021/la9904096</t>
  </si>
  <si>
    <t>ether-Î±,Ï‰-bis-(dimethyloctadecylammoniumbromide)</t>
  </si>
  <si>
    <t>InChI=1S/C44H94N2O.2BrH/c1-7-9-11-13-15-17-19-21-23-25-27-29-31-33-35-37-39-45(3,4)41-43-47-44-42-46(5,6)40-38-36-34-32-30-28-26-24-22-20-18-16-14-12-10-8-2;;/h7-44H2,1-6H3;2*1H/q+2;;/p-2</t>
  </si>
  <si>
    <t>XDAZVAVYNVMZIM-UHFFFAOYSA-L</t>
  </si>
  <si>
    <t>CCCCCCCCCCCCCCCCCC[N+](C)(C)CCOP(=O)([O-])OCCCCCCCC</t>
  </si>
  <si>
    <t>InChI=1S/C30H64NO4P/c1-5-7-9-11-13-14-15-16-17-18-19-20-21-22-23-25-27-31(3,4)28-30-35-36(32,33)34-29-26-24-12-10-8-6-2/h5-30H2,1-4H3</t>
  </si>
  <si>
    <t>GICYBURPCPGCTI-UHFFFAOYSA-N</t>
  </si>
  <si>
    <t>CCCCCCCCCCCCCCCCCC[N+](C)(C)CCSCC[N+](C)(C)CCCCCCCCCCCCCCCCCC.[Br-].[Br-]</t>
  </si>
  <si>
    <t>['10.1016/j.chemosphere.2011.05.031', '10.1016/0021-9797(86)90417-0', '10.1016/0021-9797(86)90417-0']</t>
  </si>
  <si>
    <t>10.1016/0021-9797(86)90417-0</t>
  </si>
  <si>
    <t>N,N'-bis(octadecyldimethyl)-3-S-1,5-pentanediammoniumdibromide</t>
  </si>
  <si>
    <t>InChI=1S/C44H94N2S.2BrH/c1-7-9-11-13-15-17-19-21-23-25-27-29-31-33-35-37-39-45(3,4)41-43-47-44-42-46(5,6)40-38-36-34-32-30-28-26-24-22-20-18-16-14-12-10-8-2;;/h7-44H2,1-6H3;2*1H/q+2;;/p-2</t>
  </si>
  <si>
    <t>WQRVGACCEWCSSZ-UHFFFAOYSA-L</t>
  </si>
  <si>
    <t>CCCCCCCCCCCCCCCCCC[N+](C)(C)Cc1cccc(OC)c1.[Cl-]</t>
  </si>
  <si>
    <t>10.1039/C4RA07363K</t>
  </si>
  <si>
    <t>N,N-dimethyl-N-octadecyl-N-(m-methoxybenzyl)ammoniumchloride</t>
  </si>
  <si>
    <t>InChI=1S/C28H52NO.ClH/c1-5-6-7-8-9-10-11-12-13-14-15-16-17-18-19-20-24-29(2,3)26-27-22-21-23-28(25-27)30-4;/h21-23,25H,5-20,24,26H2,1-4H3;1H/q+1;/p-1</t>
  </si>
  <si>
    <t>SUJJOTZQZOLUCL-UHFFFAOYSA-M</t>
  </si>
  <si>
    <t>CCCCCCCCCCCCCCCCCC[N+](C)(C)Cc1ccccc1.[Cl-]</t>
  </si>
  <si>
    <t>N,N-dimethyl-N-octadecyl-Nbenzylammoniumchloride</t>
  </si>
  <si>
    <t>InChI=1S/C27H50N.ClH/c1-4-5-6-7-8-9-10-11-12-13-14-15-16-17-18-22-25-28(2,3)26-27-23-20-19-21-24-27;/h19-21,23-24H,4-18,22,25-26H2,1-3H3;1H/q+1;/p-1</t>
  </si>
  <si>
    <t>SFVFIFLLYFPGHH-UHFFFAOYSA-M</t>
  </si>
  <si>
    <t>CCCCCCCCCCCCCCCCCC[N+](C)(C)Cc1ccccc1CO.[Cl-]</t>
  </si>
  <si>
    <t>10.1007/s11743-015-1706-6</t>
  </si>
  <si>
    <t>N-octadecylâ€“N,N-dimethyl-N-(o-hydroxymethyl)benzylammoniumchloride</t>
  </si>
  <si>
    <t>InChI=1S/C28H52NO.ClH/c1-4-5-6-7-8-9-10-11-12-13-14-15-16-17-18-21-24-29(2,3)25-27-22-19-20-23-28(27)26-30;/h19-20,22-23,30H,4-18,21,24-26H2,1-3H3;1H/q+1;/p-1</t>
  </si>
  <si>
    <t>OFXWYWKVCHMBKF-UHFFFAOYSA-M</t>
  </si>
  <si>
    <t>CCCCCCCCCCCCCCCCCC[N+]1(CC#CC[N+]2(CCCCCCCCCCCCCCCCCC)CCCC2)CCCC1.[Br-].[Br-]</t>
  </si>
  <si>
    <t>InChI=1S/C48H94N2.2BrH/c1-3-5-7-9-11-13-15-17-19-21-23-25-27-29-31-33-41-49(43-35-36-44-49)47-39-40-48-50(45-37-38-46-50)42-34-32-30-28-26-24-22-20-18-16-14-12-10-8-6-4-2;;/h3-38,41-48H2,1-2H3;2*1H/q+2;;/p-2</t>
  </si>
  <si>
    <t>FFEDMJKQZMOCOH-UHFFFAOYSA-L</t>
  </si>
  <si>
    <t>CCCCCCCCCCCCCCCCCC[N+]1(CC#CC[N+]2(CCCCCCCCCCCCCCCCCC)CCCCC2)CCCCC1.[Br-].[Br-]</t>
  </si>
  <si>
    <t>InChI=1S/C50H98N2.2BrH/c1-3-5-7-9-11-13-15-17-19-21-23-25-27-29-31-35-43-51(45-37-33-38-46-51)49-41-42-50-52(47-39-34-40-48-52)44-36-32-30-28-26-24-22-20-18-16-14-12-10-8-6-4-2;;/h3-40,43-50H2,1-2H3;2*1H/q+2;;/p-2</t>
  </si>
  <si>
    <t>NOCOXZMDHVMBPG-UHFFFAOYSA-L</t>
  </si>
  <si>
    <t>CCCCCCCCCCCCCCCCCC[N+]1=CC=CC=C1.[Cl-]</t>
  </si>
  <si>
    <t>InChI=1S/C23H47N.ClH/c1-2-3-4-5-6-7-8-9-10-11-12-13-14-15-16-18-21-24-22-19-17-20-23-24;/h2-23H2,1H3;1H/q+1;/p-1</t>
  </si>
  <si>
    <t>GUUJIKCTJDUTSC-UHFFFAOYSA-M</t>
  </si>
  <si>
    <t>CCCCCCCCCCCCCCCCCC[n+]1cccc(COC(=O)CC(O)(CC(=O)OCc2ccc[n+](CCCCCCCCCCCCCCCCCC)c2)C(=O)OCc2ccc[n+](CCCCCCCCCCCCCCCCCC)c2)c1.[Br-].[Br-].[Br-]</t>
  </si>
  <si>
    <t>10.1016/j.molliq.2020.112817</t>
  </si>
  <si>
    <t>3,3â€²-(((2-hydroxy-2-(2-((1-octadecylpyridin-1-ium-3-yl)methoxy)-2oxoethyl)succinyl)bis(oxy))bis(methylene))bis(1-octadecylpyridin1-ium)bromide</t>
  </si>
  <si>
    <t>InChI=1S/C78H134N3O7.3BrH/c1-4-7-10-13-16-19-22-25-28-31-34-37-40-43-46-49-58-79-61-52-55-72(66-79)69-86-75(82)64-78(85,77(84)88-71-74-57-54-63-81(68-74)60-51-48-45-42-39-36-33-30-27-24-21-18-15-12-9-6-3)65-76(83)87-70-73-56-53-62-80(67-73)59-50-47-44-41-38-35-32-29-26-23-20-17-14-11-8-5-2;;;/h52-57,61-63,66-68,85H,4-51,58-60,64-65,69-71H2,1-3H3;3*1H/q+3;;;/p-3</t>
  </si>
  <si>
    <t>XBPNSTWNLIVQPM-UHFFFAOYSA-K</t>
  </si>
  <si>
    <t>CCCCCCCCCCCCCCCCCC[n+]1ccccc1.[Cl-]</t>
  </si>
  <si>
    <t>1-octadecylpyridin-1-ium-chloride</t>
  </si>
  <si>
    <t>InChI=1S/C23H42N.ClH/c1-2-3-4-5-6-7-8-9-10-11-12-13-14-15-16-18-21-24-22-19-17-20-23-24;/h17,19-20,22-23H,2-16,18,21H2,1H3;1H/q+1;/p-1</t>
  </si>
  <si>
    <t>WJDJWDHXZBNQNE-UHFFFAOYSA-M</t>
  </si>
  <si>
    <t>CCCCCCCCCCCCCCCCCC[n+]1ccn(C)c1.[Br-]</t>
  </si>
  <si>
    <t>10.1016/j.colsurfa.2017.07.018</t>
  </si>
  <si>
    <t>InChI=1S/C22H43N2.BrH/c1-3-4-5-6-7-8-9-10-11-12-13-14-15-16-17-18-19-24-21-20-23(2)22-24;/h20-22H,3-19H2,1-2H3;1H/q+1;/p-1</t>
  </si>
  <si>
    <t>ICXUUUJKTYZESK-UHFFFAOYSA-M</t>
  </si>
  <si>
    <t>CCCCCCCCCCCCCCCCCC[n+]1ccn(CCOC(=O)NCCCC)c1.[Br-]</t>
  </si>
  <si>
    <t>10.1016/j.molliq.2020.114094</t>
  </si>
  <si>
    <t>InChI=1S/C28H53N3O2.BrH/c1-3-5-7-8-9-10-11-12-13-14-15-16-17-18-19-20-22-30-23-24-31(27-30)25-26-33-28(32)29-21-6-4-2;/h23-24,27H,3-22,25-26H2,1-2H3;1H</t>
  </si>
  <si>
    <t>QCNOTFXGTCTVSN-UHFFFAOYSA-N</t>
  </si>
  <si>
    <t>InChI=1S/C23H41N.ClH/c1-2-3-4-5-6-7-8-9-10-11-12-13-14-15-16-17-18-23-19-21-24-22-20-23;/h19-22H,2-18H2,1H3;1H</t>
  </si>
  <si>
    <t>WDQGJECBJHTZNY-UHFFFAOYSA-N</t>
  </si>
  <si>
    <t>CCCCCCCCCCCCCCCCCOCOOCCOCCOCCCCCC</t>
  </si>
  <si>
    <t>InChI=1S/C28H58O5/c1-3-5-7-9-10-11-12-13-14-15-16-17-18-19-21-23-31-28-33-32-27-26-30-25-24-29-22-20-8-6-4-2/h3-28H2,1-2H3</t>
  </si>
  <si>
    <t>GHUVIBSDZQDBGX-UHFFFAOYSA-N</t>
  </si>
  <si>
    <t>CCCCCCCCCCCCCCCCCS(=O)(=O)[O-].[Na+]</t>
  </si>
  <si>
    <t>sodium-heptadecane-1-sulfonate</t>
  </si>
  <si>
    <t>InChI=1S/C17H36O3S.Na/c1-2-3-4-5-6-7-8-9-10-11-12-13-14-15-16-17-21(18,19)20;/h2-17H2,1H3,(H,18,19,20);/q;+1/p-1</t>
  </si>
  <si>
    <t>JIBIRKJWPLYULV-UHFFFAOYSA-M</t>
  </si>
  <si>
    <t>CCCCCCCCCCCCCCCCN(C)C(=O)C(O)C(O)C(O)C(O)CO</t>
  </si>
  <si>
    <t>InChI=1S/C23H47NO6/c1-3-4-5-6-7-8-9-10-11-12-13-14-15-16-17-24(2)23(30)22(29)21(28)20(27)19(26)18-25/h19-22,25-29H,3-18H2,1-2H3</t>
  </si>
  <si>
    <t>DEXKRCMEVBPMED-UHFFFAOYSA-N</t>
  </si>
  <si>
    <t>CCCCCCCCCCCCCCCCN(C(C(C(C(C(CO)O)O)O)O)=O)C</t>
  </si>
  <si>
    <t>InChI=1S/C22H45NO5/c1-3-4-5-6-7-8-9-10-11-12-13-14-15-16-17-23(2)22(25)18-26-20-28-21-27-19-24/h24H,3-21H2,1-2H3</t>
  </si>
  <si>
    <t>HNNQTZRQYLDOBQ-UHFFFAOYSA-N</t>
  </si>
  <si>
    <t>CCCCCCCCCCCCCCCCN(C([C@@H]([C@H]([C@@H]([C@@H](CO)O)O[C@@H]1O[C@@H]([C@H]([C@@H]([C@H]1O)O)O)CO)O)O)=O)C</t>
  </si>
  <si>
    <t>N-hexadecyl-N-methyllactobionamide</t>
  </si>
  <si>
    <t>InChI=1S/C29H57NO10/c1-4-5-6-7-8-9-10-11-12-13-14-15-16-17-18-30(3)28(38)25(36)24(35)27(21(32)19-31)40-29-26(37)23(34)22(33)20(2)39-29/h20-27,29,31-37H,4-19H2,1-3H3/t20-,21-,22+,23+,24-,25-,26-,27-,29+/m1/s1</t>
  </si>
  <si>
    <t>CJPMMXRZBBMTQK-ZZDOROOASA-N</t>
  </si>
  <si>
    <t>CCCCCCCCCCCCCCCCN=Cc1ccc([N+](C)(CC)CC)cc1.[I-]</t>
  </si>
  <si>
    <t>4-diethylaminobenzaldehyde-1-hexadecylamine</t>
  </si>
  <si>
    <t>InChI=1S/C28H51N2.HI/c1-5-8-9-10-11-12-13-14-15-16-17-18-19-20-25-29-26-27-21-23-28(24-22-27)30(4,6-2)7-3;/h21-24,26H,5-20,25H2,1-4H3;1H/q+1;/p-1</t>
  </si>
  <si>
    <t>SHKDKVUTKXGHPG-UHFFFAOYSA-M</t>
  </si>
  <si>
    <t>CCCCCCCCCCCCCCCCNC(=O)C(O)C(O)C(OC1OC(CO)C(O)C(O)C1O)C(O)CO</t>
  </si>
  <si>
    <t>InChI=1S/C28H55NO11/c1-2-3-4-5-6-7-8-9-10-11-12-13-14-15-16-29-27(38)24(36)23(35)26(19(32)17-30)40-28-25(37)22(34)21(33)20(18-31)39-28/h19-26,28,30-37H,2-18H2,1H3,(H,29,38)</t>
  </si>
  <si>
    <t>LCMLXEILDKQYQM-UHFFFAOYSA-N</t>
  </si>
  <si>
    <t>CCCCCCCCCCCCCCCCNC(=O)C[N+](C)(C)CCNC(=O)COc1ccccc1.[Cl-]</t>
  </si>
  <si>
    <t>10.1039/C4RA14645J</t>
  </si>
  <si>
    <t>N-hexadecylcaramoylmethyl-N-[2-(2-phenoxyacetamido)-ethyl]-N,Ndimethylammoniumchloride</t>
  </si>
  <si>
    <t>InChI=1S/C30H53N3O3.ClH/c1-4-5-6-7-8-9-10-11-12-13-14-15-16-20-23-31-29(34)26-33(2,3)25-24-32-30(35)27-36-28-21-18-17-19-22-28;/h17-19,21-22H,4-16,20,23-27H2,1-3H3,(H-,31,32,34,35);1H</t>
  </si>
  <si>
    <t>OELUSBQDBGGBEU-UHFFFAOYSA-N</t>
  </si>
  <si>
    <t>CCCCCCCCCCCCCCCCOC(=O)C[N+](C)(C)CCCN=Cc1ccccc1O.[Cl-]</t>
  </si>
  <si>
    <t>10.1039/C5RA21626E</t>
  </si>
  <si>
    <t>InChI=1S/C30H52N2O3.ClH/c1-4-5-6-7-8-9-10-11-12-13-14-15-16-19-25-35-30(34)27-32(2,3)24-20-23-31-26-28-21-17-18-22-29(28)33;/h17-18,21-22,26H,4-16,19-20,23-25,27H2,1-3H3;1H</t>
  </si>
  <si>
    <t>UOXAFNKNPKPORY-UHFFFAOYSA-N</t>
  </si>
  <si>
    <t>CCCCCCCCCCCCCCCCOC(=O)C[N+](C)(C)CCOCCO.[Cl-]</t>
  </si>
  <si>
    <t>10.1016/j.molliq.2017.12.105</t>
  </si>
  <si>
    <t>2-(hexadecyloxy)-N-(2-(2-hydroxyethoxy)ethyl)-N,N-dimethyl-2-oxoethanaminiumchloride</t>
  </si>
  <si>
    <t>InChI=1S/C24H50NO4.ClH/c1-4-5-6-7-8-9-10-11-12-13-14-15-16-17-20-29-24(27)23-25(2,3)18-21-28-22-19-26;/h26H,4-23H2,1-3H3;1H/q+1;/p-1</t>
  </si>
  <si>
    <t>ZNJFPVYUGRLHRO-UHFFFAOYSA-M</t>
  </si>
  <si>
    <t>CCCCCCCCCCCCCCCCOC(=O)C[N+](CC)(CC)c1ccc(C=NCCN=Cc2ccc([N+](CC)(CC)CC(=O)OCCCCCCCCCCCCCCCC)cc2)cc1.[Cl-].[Cl-]</t>
  </si>
  <si>
    <t>10.1080/01932690903269784</t>
  </si>
  <si>
    <t>InChI=1S/C60H104N4O4.2ClH/c1-7-13-15-17-19-21-23-25-27-29-31-33-35-37-49-67-59(65)53-63(9-3,10-4)57-43-39-55(40-44-57)51-61-47-48-62-52-56-41-45-58(46-42-56)64(11-5,12-6)54-60(66)68-50-38-36-34-32-30-28-26-24-22-20-18-16-14-8-2;;/h39-46,51-52H,7-38,47-50,53-54H2,1-6H3;2*1H/q+2;;/p-2</t>
  </si>
  <si>
    <t>UODYCNJJLBQNPC-UHFFFAOYSA-L</t>
  </si>
  <si>
    <t>CCCCCCCCCCCCCCCCOC(=O)C[N+]1(C)CCCC1.[Br-]</t>
  </si>
  <si>
    <t>10.1007/s00396-013-2971-4</t>
  </si>
  <si>
    <t>1-(2-(Hexadecyloxy)-2-oxoethyl)-1-methylpyrrolidin-1-iumbromide</t>
  </si>
  <si>
    <t>InChI=1S/C23H46NO2.BrH/c1-3-4-5-6-7-8-9-10-11-12-13-14-15-18-21-26-23(25)22-24(2)19-16-17-20-24;/h3-22H2,1-2H3;1H/q+1;/p-1</t>
  </si>
  <si>
    <t>PQMQOHXADJPYKR-UHFFFAOYSA-M</t>
  </si>
  <si>
    <t>CCCCCCCCCCCCCCCCOC(=O)C[N+]1(C)CCCC1.[Cl-]</t>
  </si>
  <si>
    <t>1-(2-(Hexadecyloxy)-2-oxoethyl)-1-methylpyrrolidin-1-iumchloride</t>
  </si>
  <si>
    <t>InChI=1S/C23H46NO2.ClH/c1-3-4-5-6-7-8-9-10-11-12-13-14-15-18-21-26-23(25)22-24(2)19-16-17-20-24;/h3-22H2,1-2H3;1H/q+1;/p-1</t>
  </si>
  <si>
    <t>KLDFZSZFYGMRJR-UHFFFAOYSA-M</t>
  </si>
  <si>
    <t>CCCCCCCCCCCCCCCCOC(=O)C[n+]1c(N=Cc2ccc(OC)cc2)sc2ccccc21.[Br-]</t>
  </si>
  <si>
    <t>2-[(4-methoxybenzylidene)amino]-3-(2-oxo-2-hexadecyloxyethyl)-1,3-benzothiazol-3-iumBromide</t>
  </si>
  <si>
    <t>InChI=1S/C33H47N2O3S.BrH/c1-3-4-5-6-7-8-9-10-11-12-13-14-15-18-25-38-32(36)27-35-30-19-16-17-20-31(30)39-33(35)34-26-28-21-23-29(37-2)24-22-28;/h16-17,19-24,26H,3-15,18,25,27H2,1-2H3;1H/q+1;/p-1</t>
  </si>
  <si>
    <t>DHBAAGRASBTTBT-UHFFFAOYSA-M</t>
  </si>
  <si>
    <t>CCCCCCCCCCCCCCCCOC(=O)C[n+]1c(N=Cc2ccccc2)sc2ccccc21.[Br-]</t>
  </si>
  <si>
    <t>2-(benzylideneamino)-3-(2-oxo-2-hexadecyloxyethyl)-1,3-benzothiazol-3-iumbromide</t>
  </si>
  <si>
    <t>InChI=1S/C32H45N2O2S.BrH/c1-2-3-4-5-6-7-8-9-10-11-12-13-14-20-25-36-31(35)27-34-29-23-18-19-24-30(29)37-32(34)33-26-28-21-16-15-17-22-28;/h15-19,21-24,26H,2-14,20,25,27H2,1H3;1H/q+1;/p-1</t>
  </si>
  <si>
    <t>JVNLGQTZOYPEMD-UHFFFAOYSA-M</t>
  </si>
  <si>
    <t>CCCCCCCCCCCCCCCCOC(=O)C[n+]1cccc(N=Cc2ccc(O)c(OC)c2)c1.[Br-]</t>
  </si>
  <si>
    <t>10.1016/j.colsurfa.2011.09.032</t>
  </si>
  <si>
    <t>InChI=1S/C31H46N2O4.BrH/c1-3-4-5-6-7-8-9-10-11-12-13-14-15-16-22-37-31(35)26-33-21-17-18-28(25-33)32-24-27-19-20-29(34)30(23-27)36-2;/h17-21,23-25H,3-16,22,26H2,1-2H3;1H</t>
  </si>
  <si>
    <t>XOLQEDCDXAGEQW-UHFFFAOYSA-N</t>
  </si>
  <si>
    <t>CCCCCCCCCCCCCCCCOC(=O)C[n+]1cccc2ccc(CN3CCCCC3)c(O)c21.[Br-]</t>
  </si>
  <si>
    <t>7-Pipridinomethyl-8-hydroxy-N-methylcarboxyhexadecyl-quinoliniumbromide</t>
  </si>
  <si>
    <t>InChI=1S/C33H52N2O3.BrH/c1-2-3-4-5-6-7-8-9-10-11-12-13-14-18-26-38-31(36)28-35-25-19-20-29-21-22-30(33(37)32(29)35)27-34-23-16-15-17-24-34;/h19-22,25H,2-18,23-24,26-28H2,1H3;1H</t>
  </si>
  <si>
    <t>GGLDNHQKGRYUOE-UHFFFAOYSA-N</t>
  </si>
  <si>
    <t>CCCCCCCCCCCCCCCCOC(=O)C[n+]1cccc2ccc(CN3CCOCC3)c(O)c21.[Br-]</t>
  </si>
  <si>
    <t>7-Morphilinomethyl-8-hydroxy-N-methylcarboxyhexadecyl-quinoliniumbromide</t>
  </si>
  <si>
    <t>InChI=1S/C32H50N2O4.BrH/c1-2-3-4-5-6-7-8-9-10-11-12-13-14-15-23-38-30(35)27-34-20-16-17-28-18-19-29(32(36)31(28)34)26-33-21-24-37-25-22-33;/h16-20H,2-15,21-27H2,1H3;1H</t>
  </si>
  <si>
    <t>BQAVWPXINSDTEW-UHFFFAOYSA-N</t>
  </si>
  <si>
    <t>CCCCCCCCCCCCCCCCOC(=O)C[n+]1oc(C)cc1N=Cc1ccccc1.[Br-]</t>
  </si>
  <si>
    <t>InChI=1S/C29H45N2O3.BrH/c1-3-4-5-6-7-8-9-10-11-12-13-14-15-19-22-33-29(32)25-31-28(23-26(2)34-31)30-24-27-20-17-16-18-21-27;/h16-18,20-21,23-24H,3-15,19,22,25H2,1-2H3;1H/q+1;/p-1</t>
  </si>
  <si>
    <t>GPFUJQJDJPCADJ-UHFFFAOYSA-M</t>
  </si>
  <si>
    <t>CCCCCCCCCCCCCCCCOC(=O)[N+](CC)(CC)CC.[I-]</t>
  </si>
  <si>
    <t>2-(tetradecyloxy)-2-oxoethyl-N,N,N-triethylammoniumiodide</t>
  </si>
  <si>
    <t>InChI=1S/C23H48NO2.HI/c1-5-9-10-11-12-13-14-15-16-17-18-19-20-21-22-26-23(25)24(6-2,7-3)8-4;/h5-22H2,1-4H3;1H/q+1;/p-1</t>
  </si>
  <si>
    <t>CJXWABVAEJONDW-UHFFFAOYSA-M</t>
  </si>
  <si>
    <t>CCCCCCCCCCCCCCCCOCC(O)C[N+](C)(C)CCCC[N+](C)(C)CC(O)COCCCCCCCCCCCCCCCC.[Br-].[Br-]</t>
  </si>
  <si>
    <t>10.1007/s11743-015-1734-2</t>
  </si>
  <si>
    <t>Butanediyl-bis[N-(3-hexadecoxyl-2-hydroxy)propyl-N,NdimethylammoniumBromide]</t>
  </si>
  <si>
    <t>InChI=1S/C46H98N2O4.2BrH/c1-7-9-11-13-15-17-19-21-23-25-27-29-31-35-39-51-43-45(49)41-47(3,4)37-33-34-38-48(5,6)42-46(50)44-52-40-36-32-30-28-26-24-22-20-18-16-14-12-10-8-2;;/h45-46,49-50H,7-44H2,1-6H3;2*1H/q+2;;/p-2</t>
  </si>
  <si>
    <t>JHBCBIDLNVQUBW-UHFFFAOYSA-L</t>
  </si>
  <si>
    <t>CCCCCCCCCCCCCCCCOCC(O)C[n+]1ccn(C)c1.[Br-]</t>
  </si>
  <si>
    <t>10.1016/j.colsurfa.2011.11.022</t>
  </si>
  <si>
    <t>3-(3-(hexadecyloxy)-2-hydroxypropyl)-1-methyl-1Himidazol-3-iumbromide</t>
  </si>
  <si>
    <t>InChI=1S/C23H45N2O2.BrH/c1-3-4-5-6-7-8-9-10-11-12-13-14-15-16-19-27-21-23(26)20-25-18-17-24(2)22-25;/h17-18,22-23,26H,3-16,19-21H2,1-2H3;1H/q+1;/p-1</t>
  </si>
  <si>
    <t>WFWUMBJWXGSQKR-UHFFFAOYSA-M</t>
  </si>
  <si>
    <t>CCCCCCCCCCCCCCCCOCC(O)C[n+]1ccn(C)c1.[Cl-]</t>
  </si>
  <si>
    <t>3-(2-hydroxyl-3(tetradecyloxy)propyl-1-methyl-1H-imidazol3-iumchloride</t>
  </si>
  <si>
    <t>InChI=1S/C23H45N2O2.ClH/c1-3-4-5-6-7-8-9-10-11-12-13-14-15-16-19-27-21-23(26)20-25-18-17-24(2)22-25;/h17-18,22-23,26H,3-16,19-21H2,1-2H3;1H/q+1;/p-1</t>
  </si>
  <si>
    <t>FKPPAYDJXICWLQ-UHFFFAOYSA-M</t>
  </si>
  <si>
    <t>CCCCCCCCCCCCCCCCOCC(O)Cn1cc[n+](CCC)c1.[Br-]</t>
  </si>
  <si>
    <t>10.1016/j.jiec.2014.01.032</t>
  </si>
  <si>
    <t>1-(3-(Hexadecyloxy)-2-hydroxypropyl)-3-propyl-1H-imidazol-3-iumbromide</t>
  </si>
  <si>
    <t>InChI=1S/C25H49N2O2.BrH/c1-3-5-6-7-8-9-10-11-12-13-14-15-16-17-21-29-23-25(28)22-27-20-19-26(24-27)18-4-2;/h19-20,24-25,28H,3-18,21-23H2,1-2H3;1H/q+1;/p-1</t>
  </si>
  <si>
    <t>PPZNMTNAQCEURC-UHFFFAOYSA-M</t>
  </si>
  <si>
    <t>CCCCCCCCCCCCCCCCOCC(O)Cn1cc[n+](CCC)c1.[Cl-]</t>
  </si>
  <si>
    <t>1-(3-(Hexadecyloxy)-2-hydroxypropyl)-3-propyl-1H-imidazol-3-iumchloride</t>
  </si>
  <si>
    <t>InChI=1S/C25H49N2O2.ClH/c1-3-5-6-7-8-9-10-11-12-13-14-15-16-17-21-29-23-25(28)22-27-20-19-26(24-27)18-4-2;/h19-20,24-25,28H,3-18,21-23H2,1-2H3;1H/q+1;/p-1</t>
  </si>
  <si>
    <t>VBVIZBFYIGXWIM-UHFFFAOYSA-M</t>
  </si>
  <si>
    <t>CCCCCCCCCCCCCCCCOCC(O)Cn1cc[n+](CCC[n+]2ccn(CC(O)COCCCCCCCCCCCCCCCC)c2)c1.[Br-].[Br-]</t>
  </si>
  <si>
    <t>10.1007/s11743-013-1472-2</t>
  </si>
  <si>
    <t>1,3-bis(1(3-alkoxy2-hydroxypropyl)-1H-imidazol-3-ium)propanebromide</t>
  </si>
  <si>
    <t>InChI=1S/C47H90N4O4.2BrH/c1-3-5-7-9-11-13-15-17-19-21-23-25-27-29-38-54-42-46(52)40-50-36-34-48(44-50)32-31-33-49-35-37-51(45-49)41-47(53)43-55-39-30-28-26-24-22-20-18-16-14-12-10-8-6-4-2;;/h34-37,44-47,52-53H,3-33,38-43H2,1-2H3;2*1H/q+2;;/p-2</t>
  </si>
  <si>
    <t>CHUOUNOONSYQHM-UHFFFAOYSA-L</t>
  </si>
  <si>
    <t>CCCCCCCCCCCCCCCCOCC(O)Cn1cc[n+](CC[n+]2ccn(CC(O)COCCCCCCCCCCCCCCCC)c2)c1.[Br-].[Br-]</t>
  </si>
  <si>
    <t>1,2-bis(1(3-alkoxy-2-hydroxypropyl)-1H-imidazol-3-ium)ethanebromide</t>
  </si>
  <si>
    <t>InChI=1S/C46H88N4O4.2BrH/c1-3-5-7-9-11-13-15-17-19-21-23-25-27-29-37-53-41-45(51)39-49-35-33-47(43-49)31-32-48-34-36-50(44-48)40-46(52)42-54-38-30-28-26-24-22-20-18-16-14-12-10-8-6-4-2;;/h33-36,43-46,51-52H,3-32,37-42H2,1-2H3;2*1H/q+2;;/p-2</t>
  </si>
  <si>
    <t>JOGSXBKUGUHFOX-UHFFFAOYSA-L</t>
  </si>
  <si>
    <t>CCCCCCCCCCCCCCCCOCCOCCOCCOCCOCCOCCO</t>
  </si>
  <si>
    <t>2-[2-[2-[2-[2-(2-hexadecoxyethoxy)ethoxy]ethoxy]ethoxy]ethoxy]ethanol</t>
  </si>
  <si>
    <t>InChI=1S/C28H58O7/c1-2-3-4-5-6-7-8-9-10-11-12-13-14-15-17-30-19-21-32-23-25-34-27-28-35-26-24-33-22-20-31-18-16-29/h29H,2-28H2,1H3</t>
  </si>
  <si>
    <t>UOFCAQWHTQFNHS-UHFFFAOYSA-N</t>
  </si>
  <si>
    <t>CCCCCCCCCCCCCCCCOCCOCCOCCOCCOCCOCCOCCO</t>
  </si>
  <si>
    <t>2-[2-[2-[2-[2-[2-(2-hexadecoxyethoxy)ethoxy]ethoxy]ethoxy]ethoxy]ethoxy]ethanol</t>
  </si>
  <si>
    <t>InChI=1S/C30H62O8/c1-2-3-4-5-6-7-8-9-10-11-12-13-14-15-17-32-19-21-34-23-25-36-27-29-38-30-28-37-26-24-35-22-20-33-18-16-31/h31H,2-30H2,1H3</t>
  </si>
  <si>
    <t>IUFWXADACDFZNB-UHFFFAOYSA-N</t>
  </si>
  <si>
    <t>10.1111/j.2042-7158.1962.tb10540.x</t>
  </si>
  <si>
    <t>2-[2-[2-[2-[2-[2-[2-[2-(2-hexadecoxyethoxy)ethoxy]ethoxy]ethoxy]ethoxy]ethoxy]ethoxy]ethoxy]ethanol</t>
  </si>
  <si>
    <t>InChI=1S/C34H70O10/c1-2-3-4-5-6-7-8-9-10-11-12-13-14-15-17-36-19-21-38-23-25-40-27-29-42-31-33-44-34-32-43-30-28-41-26-24-39-22-20-37-18-16-35/h35H,2-34H2,1H3</t>
  </si>
  <si>
    <t>CSZUWXUVMBXAOG-UHFFFAOYSA-N</t>
  </si>
  <si>
    <t>CCCCCCCCCCCCCCCCOCCOCCOCCOCCOCCOCCOCCOCCOCCOCCO</t>
  </si>
  <si>
    <t>POE(10) cetyl ether</t>
  </si>
  <si>
    <t>InChI=1S/C36H74O11/c1-2-3-4-5-6-7-8-9-10-11-12-13-14-15-17-38-19-21-40-23-25-42-27-29-44-31-33-46-35-36-47-34-32-45-30-28-43-26-24-41-22-20-39-18-16-37/h37H,2-36H2,1H3</t>
  </si>
  <si>
    <t>ZWINLZAYDMUOAE-UHFFFAOYSA-N</t>
  </si>
  <si>
    <t>CCCCCCCCCCCCCCCCOCCOCCOCCOCCOCCOCCOCCOCCOCCOCCOCCOCCO</t>
  </si>
  <si>
    <t>2-[2-[2-[2-[2-[2-[2-[2-[2-[2-[2-(2-hexadecoxyethoxy)ethoxy]ethoxy]ethoxy]ethoxy]ethoxy]ethoxy]ethoxy]ethoxy]ethoxy]ethoxy]ethanol</t>
  </si>
  <si>
    <t>InChI=1S/C40H82O13/c1-2-3-4-5-6-7-8-9-10-11-12-13-14-15-17-42-19-21-44-23-25-46-27-29-48-31-33-50-35-37-52-39-40-53-38-36-51-34-32-49-30-28-47-26-24-45-22-20-43-18-16-41/h41H,2-40H2,1H3</t>
  </si>
  <si>
    <t>DVCJBXDDMHZFDE-UHFFFAOYSA-N</t>
  </si>
  <si>
    <t>2-[2-[2-[2-[2-[2-[2-[2-[2-[2-[2-[2-[2-[2-(2-hexadecoxyethoxy)ethoxy]ethoxy]ethoxy]ethoxy]ethoxy]ethoxy]ethoxy]ethoxy]ethoxy]ethoxy]ethoxy]ethoxy]ethoxy]ethanol</t>
  </si>
  <si>
    <t>InChI=1S/C46H94O16/c1-2-3-4-5-6-7-8-9-10-11-12-13-14-15-17-48-19-21-50-23-25-52-27-29-54-31-33-56-35-37-58-39-41-60-43-45-62-46-44-61-42-40-59-38-36-57-34-32-55-30-28-53-26-24-51-22-20-49-18-16-47/h47H,2-46H2,1H3</t>
  </si>
  <si>
    <t>GQKLMSVBMYUPQC-UHFFFAOYSA-N</t>
  </si>
  <si>
    <t>CCCCCCCCCCCCCCCCOCCOCCOCCOCCOCCOCCOCCOCCOCCOCCOCCOCCOCCOCCOCCOCCOCCO</t>
  </si>
  <si>
    <t>10.1016/0021-9797(76)90313-1</t>
  </si>
  <si>
    <t>InChI=1S/C50H102O18/c1-2-3-4-5-6-7-8-9-10-11-12-13-14-15-17-52-19-21-54-23-25-56-27-29-58-31-33-60-35-37-62-39-41-64-43-45-66-47-49-68-50-48-67-46-44-65-42-40-63-38-36-61-34-32-59-30-28-57-26-24-55-22-20-53-18-16-51/h51H,2-50H2,1H3</t>
  </si>
  <si>
    <t>JUBGIVZNTPEBDX-UHFFFAOYSA-N</t>
  </si>
  <si>
    <t>CCCCCCCCCCCCCCCCOCCOCCOCCOCCOCCOCCOCCOCCOCCOCCOCCOCCOCCOCCOCCOCCOCCOCCOCCOCCO</t>
  </si>
  <si>
    <t>POE(20) cetyl ether</t>
  </si>
  <si>
    <t>InChI=1S/C56H114O21/c1-2-3-4-5-6-7-8-9-10-11-12-13-14-15-17-58-19-21-60-23-25-62-27-29-64-31-33-66-35-37-68-39-41-70-43-45-72-47-49-74-51-53-76-55-56-77-54-52-75-50-48-73-46-44-71-42-40-69-38-36-67-34-32-65-30-28-63-26-24-61-22-20-59-18-16-57/h57H,2-56H2,1H3</t>
  </si>
  <si>
    <t>NLMKTBGFQGKQEV-UHFFFAOYSA-N</t>
  </si>
  <si>
    <t>CCCCCCCCCCCCCCCCOCCOCCOCCOCCOCCOCCOCCOCCOCCOCCOCCOCCOCCOCCOCCOCCOCCOCCOCCOCCOCCO</t>
  </si>
  <si>
    <t>2-[2-[2-[2-[2-[2-[2-[2-[2-[2-[2-[2-[2-[2-[2-[2-[2-[2-[2-[2-(2-hexadecoxyethoxy)ethoxy]ethoxy]ethoxy]ethoxy]ethoxy]ethoxy]ethoxy]ethoxy]ethoxy]ethoxy]ethoxy]ethoxy]ethoxy]ethoxy]ethoxy]ethoxy]ethoxy]ethoxy]ethoxy]ethanol</t>
  </si>
  <si>
    <t>InChI=1S/C58H118O22/c1-2-3-4-5-6-7-8-9-10-11-12-13-14-15-17-60-19-21-62-23-25-64-27-29-66-31-33-68-35-37-70-39-41-72-43-45-74-47-49-76-51-53-78-55-57-80-58-56-79-54-52-77-50-48-75-46-44-73-42-40-71-38-36-69-34-32-67-30-28-65-26-24-63-22-20-61-18-16-59/h59H,2-58H2,1H3</t>
  </si>
  <si>
    <t>LHBDBXSBQCGNOW-UHFFFAOYSA-N</t>
  </si>
  <si>
    <t>CCCCCCCCCCCCCCCCOCCOCCOCCOCCOCCOCCOCCOCCOCCOCCOCCOCCOCCOCCOCCOCCOCCOCCOCCOCCOCCOCCOCCOCCOCCOCCOCCOCCOCCOCCOCCOCCOCCOCCOCCOCCOCCOCCOCCOCCOCCOCCOCCOCCO</t>
  </si>
  <si>
    <t>InChI=1S/C104H210O45/c1-2-3-4-5-6-7-8-9-10-11-12-13-14-15-17-106-19-21-108-23-25-110-27-29-112-31-33-114-35-37-116-39-41-118-43-45-120-47-49-122-51-53-124-55-57-126-59-61-128-63-65-130-67-69-132-71-73-134-75-77-136-79-81-138-83-85-140-87-89-142-91-93-144-95-97-146-99-101-148-103-104-149-102-100-147-98-96-145-94-92-143-90-88-141-86-84-139-82-80-137-78-76-135-74-72-133-70-68-131-66-64-129-62-60-127-58-56-125-54-52-123-50-48-121-46-44-119-42-40-117-38-36-115-34-32-113-30-28-111-26-24-109-22-20-107-18-16-105/h105H,2-104H2,1H3</t>
  </si>
  <si>
    <t>VSHYXEIQMWXFNP-UHFFFAOYSA-N</t>
  </si>
  <si>
    <t>CCCCCCCCCCCCCCCCOCCOCCOCCOCCOCCOCCOCCOCCOCCOCCOCCOCCOCCOCCOCCOCCOCCOCCOCCOCCOCCOCCOCCOCCOCCOCCOCCOCCOCCOCCOCCOCCOCCOCCOCCOCCOCCOCCOCCOCCOCCOCCOCCOCCOCCOCCOCCOCCOCCOCCOCCOCCOCCOCCOCCOCCOCCOCCOCCOCCOCCOCCOCCO</t>
  </si>
  <si>
    <t>InChI=1S/C142H286O64/c1-2-3-4-5-6-7-8-9-10-11-12-13-14-15-17-144-19-21-146-23-25-148-27-29-150-31-33-152-35-37-154-39-41-156-43-45-158-47-49-160-51-53-162-55-57-164-59-61-166-63-65-168-67-69-170-71-73-172-75-77-174-79-81-176-83-85-178-87-89-180-91-93-182-95-97-184-99-101-186-103-105-188-107-109-190-111-113-192-115-117-194-119-121-196-123-125-198-127-129-200-131-133-202-135-137-204-139-141-206-142-140-205-138-136-203-134-132-201-130-128-199-126-124-197-122-120-195-118-116-193-114-112-191-110-108-189-106-104-187-102-100-185-98-96-183-94-92-181-90-88-179-86-84-177-82-80-175-78-76-173-74-72-171-70-68-169-66-64-167-62-60-165-58-56-163-54-52-161-50-48-159-46-44-157-42-40-155-38-36-153-34-32-151-30-28-149-26-24-147-22-20-145-18-16-143/h143H,2-142H2,1H3</t>
  </si>
  <si>
    <t>WKWPAADDMMECMD-UHFFFAOYSA-N</t>
  </si>
  <si>
    <t>CCCCCCCCCCCCCCCCOCCOCCOCCOCCOS(=O)(=O)[O-].[Na+]</t>
  </si>
  <si>
    <t>InChI=1S/C24H50O8S.Na/c1-2-3-4-5-6-7-8-9-10-11-12-13-14-15-16-28-17-18-29-19-20-30-21-22-31-23-24-32-33(25,26)27;/h2-24H2,1H3,(H,25,26,27);/q;+1/p-1</t>
  </si>
  <si>
    <t>WMJZEXWYANPSHL-UHFFFAOYSA-M</t>
  </si>
  <si>
    <t>CCCCCCCCCCCCCCCCOCCOCCOCCOS(=O)(=O)[O-].[Na+]</t>
  </si>
  <si>
    <t>InChI=1S/C22H46O7S.Na/c1-2-3-4-5-6-7-8-9-10-11-12-13-14-15-16-26-17-18-27-19-20-28-21-22-29-30(23,24)25;/h2-22H2,1H3,(H,23,24,25);/q;+1/p-1</t>
  </si>
  <si>
    <t>UXNPUKOYLVCQFH-UHFFFAOYSA-M</t>
  </si>
  <si>
    <t>CCCCCCCCCCCCCCCCOCCOCCOS(=O)(=O)[O-].[Na+]</t>
  </si>
  <si>
    <t>InChI=1S/C20H42O6S.Na/c1-2-3-4-5-6-7-8-9-10-11-12-13-14-15-16-24-17-18-25-19-20-26-27(21,22)23;/h2-20H2,1H3,(H,21,22,23);/q;+1/p-1</t>
  </si>
  <si>
    <t>PVFDZFXVVPTVAO-UHFFFAOYSA-M</t>
  </si>
  <si>
    <t>CCCCCCCCCCCCCCCCOCCOCC[N+](C)(C)C.[Br-]</t>
  </si>
  <si>
    <t>10.1007/BF01550555</t>
  </si>
  <si>
    <t>InChI=1S/C23H50NO2.BrH/c1-5-6-7-8-9-10-11-12-13-14-15-16-17-18-20-25-22-23-26-21-19-24(2,3)4;/h5-23H2,1-4H3;1H/q+1;/p-1</t>
  </si>
  <si>
    <t>XCCZNWXJOYKOFO-UHFFFAOYSA-M</t>
  </si>
  <si>
    <t>CCCCCCCCCCCCCCCCOCCOCC[N+]1=CC=CC=C1.[Cl-]</t>
  </si>
  <si>
    <t>InChI=1S/C25H51NO2.ClH/c1-2-3-4-5-6-7-8-9-10-11-12-13-14-18-22-27-24-25-28-23-21-26-19-16-15-17-20-26;/h2-25H2,1H3;1H/q+1;/p-1</t>
  </si>
  <si>
    <t>PAZOOWIDVZMBFC-UHFFFAOYSA-M</t>
  </si>
  <si>
    <t>CCCCCCCCCCCCCCCCOCCOCC[n+]1ccccc1.[Cl-]</t>
  </si>
  <si>
    <t>10.1016/0021-9797(72)90366-9</t>
  </si>
  <si>
    <t>InChI=1S/C25H46NO2.ClH/c1-2-3-4-5-6-7-8-9-10-11-12-13-14-18-22-27-24-25-28-23-21-26-19-16-15-17-20-26;/h15-17,19-20H,2-14,18,21-25H2,1H3;1H/q+1;/p-1</t>
  </si>
  <si>
    <t>XBEXEMFOZUUSJX-UHFFFAOYSA-M</t>
  </si>
  <si>
    <t>CCCCCCCCCCCCCCCCOCCOS(=O)(=O)[O-].[Na+]</t>
  </si>
  <si>
    <t>InChI=1S/C18H38O5S.Na/c1-2-3-4-5-6-7-8-9-10-11-12-13-14-15-16-22-17-18-23-24(19,20)21;/h2-18H2,1H3,(H,19,20,21);/q;+1/p-1</t>
  </si>
  <si>
    <t>SRGOZMJZADWWPU-UHFFFAOYSA-M</t>
  </si>
  <si>
    <t>CCCCCCCCCCCCCCCCOCC[N+]1=CC=CC=C1.[Cl-]</t>
  </si>
  <si>
    <t>InChI=1S/C23H47NO.ClH/c1-2-3-4-5-6-7-8-9-10-11-12-13-14-18-22-25-23-21-24-19-16-15-17-20-24;/h2-23H2,1H3;1H/q+1;/p-1</t>
  </si>
  <si>
    <t>QKVXFAVLJUCRCU-UHFFFAOYSA-M</t>
  </si>
  <si>
    <t>CCCCCCCCCCCCCCCCOCC[n+]1ccccc1.[Cl-]</t>
  </si>
  <si>
    <t>InChI=1S/C23H42NO.ClH/c1-2-3-4-5-6-7-8-9-10-11-12-13-14-18-22-25-23-21-24-19-16-15-17-20-24;/h15-17,19-20H,2-14,18,21-23H2,1H3;1H/q+1;/p-1</t>
  </si>
  <si>
    <t>CVNKMUUNCZDZAT-UHFFFAOYSA-M</t>
  </si>
  <si>
    <t>CCCCCCCCCCCCCCCCOCOC[C@H]1OC(O)[C@H](O)[C@@H](O)[C@@H]1O</t>
  </si>
  <si>
    <t>InChI=1S/C23H46O7/c1-2-3-4-5-6-7-8-9-10-11-12-13-14-15-16-28-18-29-17-19-20(24)21(25)22(26)23(27)30-19/h19-27H,2-18H2,1H3/t19-,20-,21+,22-,23?/m1/s1</t>
  </si>
  <si>
    <t>OHJCUNVRFJCLTB-HZQGQDIUSA-N</t>
  </si>
  <si>
    <t>CCCCCCCCCCCCCCCCOCOC[C@H]1O[C@@H](O[C@@H]([C@H](O)[C@@H](O)CO)[C@H](O)CO)[C@H](O)[C@@H](O)[C@H]1O</t>
  </si>
  <si>
    <t>InChI=1S/C29H58O12/c1-2-3-4-5-6-7-8-9-10-11-12-13-14-15-16-38-20-39-19-23-25(35)26(36)27(37)29(40-23)41-28(22(33)18-31)24(34)21(32)17-30/h21-37H,2-20H2,1H3/t21-,22+,23+,24+,25-,26-,27+,28+,29-/m0/s1</t>
  </si>
  <si>
    <t>CIWKJWNVCFCQKU-MXNILJKYSA-N</t>
  </si>
  <si>
    <t>CCCCCCCCCCCCCCCCOCOC[C@H]1O[C@@H](O[C@H]2[C@H](O)[C@@H](O)[C@H](O)O[C@@H]2CO)[C@H](O)[C@@H](O)[C@H]1O</t>
  </si>
  <si>
    <t>InChI=1S/C29H56O12/c1-2-3-4-5-6-7-8-9-10-11-12-13-14-15-16-37-19-38-18-21-22(31)23(32)26(35)29(40-21)41-27-20(17-30)39-28(36)25(34)24(27)33/h20-36H,2-19H2,1H3/t20-,21-,22+,23+,24-,25-,26-,27-,28-,29+/m1/s1</t>
  </si>
  <si>
    <t>LQQFJKOWDXEBGF-RVDMBQLFSA-N</t>
  </si>
  <si>
    <t>CCCCCCCCCCCCCCCCOOCCOCCOCCOCCOCCOCC</t>
  </si>
  <si>
    <t>10.1081/DIS-200054572</t>
  </si>
  <si>
    <t>InChI=1S/C28H58O7/c1-3-5-6-7-8-9-10-11-12-13-14-15-16-17-18-34-35-28-27-33-26-25-32-24-23-31-22-21-30-20-19-29-4-2/h3-28H2,1-2H3</t>
  </si>
  <si>
    <t>LAKKWOBYSSAKGL-UHFFFAOYSA-N</t>
  </si>
  <si>
    <t>CCCCCCCCCCCCCCCCOOCCOCCOCCOCCOCCOCCOCC</t>
  </si>
  <si>
    <t>InChI=1S/C30H62O8/c1-3-5-6-7-8-9-10-11-12-13-14-15-16-17-18-37-38-30-29-36-28-27-35-26-25-34-24-23-33-22-21-32-20-19-31-4-2/h3-30H2,1-2H3</t>
  </si>
  <si>
    <t>QCQQRPITKWDWTQ-UHFFFAOYSA-N</t>
  </si>
  <si>
    <t>CCCCCCCCCCCCCCCCOOCCOCCOCCOCCOCCOCCOCCOCC</t>
  </si>
  <si>
    <t>InChI=1S/C32H66O9/c1-3-5-6-7-8-9-10-11-12-13-14-15-16-17-18-40-41-32-31-39-30-29-38-28-27-37-26-25-36-24-23-35-22-21-34-20-19-33-4-2/h3-32H2,1-2H3</t>
  </si>
  <si>
    <t>RDCGOKWOUBTALU-UHFFFAOYSA-N</t>
  </si>
  <si>
    <t>CCCCCCCCCCCCCCCCOOCCOCCOCCOCCOCCOCCOCCOCCOCC</t>
  </si>
  <si>
    <t>InChI=1S/C34H70O10/c1-3-5-6-7-8-9-10-11-12-13-14-15-16-17-18-43-44-34-33-42-32-31-41-30-29-40-28-27-39-26-25-38-24-23-37-22-21-36-20-19-35-4-2/h3-34H2,1-2H3</t>
  </si>
  <si>
    <t>CYXJXDRLDFWBFI-UHFFFAOYSA-N</t>
  </si>
  <si>
    <t>CCCCCCCCCCCCCCCCOOCCOCCOCCOCCOCCOCCOCCOCCOCCOCC</t>
  </si>
  <si>
    <t>InChI=1S/C36H74O11/c1-3-5-6-7-8-9-10-11-12-13-14-15-16-17-18-46-47-36-35-45-34-33-44-32-31-43-30-29-42-28-27-41-26-25-40-24-23-39-22-21-38-20-19-37-4-2/h3-36H2,1-2H3</t>
  </si>
  <si>
    <t>SZNLQMZESTUOQH-UHFFFAOYSA-N</t>
  </si>
  <si>
    <t>CCCCCCCCCCCCCCCCOOCCOCCOCCOCCOCCOCCOCCOCCOCCOCCOCCOCC</t>
  </si>
  <si>
    <t>InChI=1S/C40H82O13/c1-3-5-6-7-8-9-10-11-12-13-14-15-16-17-18-52-53-40-39-51-38-37-50-36-35-49-34-33-48-32-31-47-30-29-46-28-27-45-26-25-44-24-23-43-22-21-42-20-19-41-4-2/h3-40H2,1-2H3</t>
  </si>
  <si>
    <t>IGKJQFJKXPVSLB-UHFFFAOYSA-N</t>
  </si>
  <si>
    <t>CCCCCCCCCCCCCCCCOS(=O)(=O)[O-].[Na+]</t>
  </si>
  <si>
    <t>['10.1016/0021-9797(76)90178-8', '10.1021/ci600462d', '10.1021/ci600462d']</t>
  </si>
  <si>
    <t>sodium-hexadecylsulfate</t>
  </si>
  <si>
    <t>InChI=1S/C16H34O4S.Na/c1-2-3-4-5-6-7-8-9-10-11-12-13-14-15-16-20-21(17,18)19;/h2-16H2,1H3,(H,17,18,19);/q;+1/p-1</t>
  </si>
  <si>
    <t>GGHPAKFFUZUEKL-UHFFFAOYSA-M</t>
  </si>
  <si>
    <t>CCCCCCCCCCCCCCCCOc1ccc(C[n+]2ccn(C)c2)cc1.[Br-]</t>
  </si>
  <si>
    <t>10.1002/ejlt.201000437</t>
  </si>
  <si>
    <t>InChI=1S/C27H45N2O.BrH/c1-3-4-5-6-7-8-9-10-11-12-13-14-15-16-23-30-27-19-17-26(18-20-27)24-29-22-21-28(2)25-29;/h17-22,25H,3-16,23-24H2,1-2H3;1H/q+1;/p-1</t>
  </si>
  <si>
    <t>PBVNFNZTOFOGHC-UHFFFAOYSA-M</t>
  </si>
  <si>
    <t>CCCCCCCCCCCCCCCCOc1ccc(NC(=O)C[N+](C)(C)CCCCCC[N+](C)(C)CC(=O)Nc2ccc(OCCCCCCCCCCCCCCCC)cc2)cc1.[Br-].[Br-]</t>
  </si>
  <si>
    <t>10.1016/j.molliq.2017.06.008</t>
  </si>
  <si>
    <t>['10.1016/j.ces.2022.118208', '10.1016/j.molliq.2017.06.008', '10.1201/9780203911518']</t>
  </si>
  <si>
    <t>N,N,Nâ€²,Nâ€²-tetramethylhexadecylenediaminewith2-bromo-N-(4-(hexyloxy)phenyl)acetamide</t>
  </si>
  <si>
    <t>InChI=1S/C58H102N4O4.2BrH/c1-7-9-11-13-15-17-19-21-23-25-27-29-33-37-49-65-55-43-39-53(40-44-55)59-57(63)51-61(3,4)47-35-31-32-36-48-62(5,6)52-58(64)60-54-41-45-56(46-42-54)66-50-38-34-30-28-26-24-22-20-18-16-14-12-10-8-2;;/h39-46H,7-38,47-52H2,1-6H3;2*1H</t>
  </si>
  <si>
    <t>GVBBOFIENJEILU-UHFFFAOYSA-N</t>
  </si>
  <si>
    <t>CCCCCCCCCCCCCCCCOc1ccc(NC(=O)C[N+](C)(C)CCCC[N+](C)(C)CC(=O)Nc2ccc(OCCCCCCCCCCCCCCCC)cc2)cc1.[Br-].[Br-]</t>
  </si>
  <si>
    <t>10.3390/pr7080502</t>
  </si>
  <si>
    <t>N,N,Nâ€²,Nâ€²-tetramethylhexadecylenediaminewith2-bromo-N-(4-(butyloxy)phenyl)acetamide</t>
  </si>
  <si>
    <t>InChI=1S/C56H98N4O4.2BrH/c1-7-9-11-13-15-17-19-21-23-25-27-29-31-35-47-63-53-41-37-51(38-42-53)57-55(61)49-59(3,4)45-33-34-46-60(5,6)50-56(62)58-52-39-43-54(44-40-52)64-48-36-32-30-28-26-24-22-20-18-16-14-12-10-8-2;;/h37-44H,7-36,45-50H2,1-6H3;2*1H</t>
  </si>
  <si>
    <t>PWKYZIOSYUXYOE-UHFFFAOYSA-N</t>
  </si>
  <si>
    <t>CCCCCCCCCCCCCCCCOc1ccc(NC(=O)C[N+](C)(C)CC[N+](C)(C)CC(=O)Nc2ccc(OCCCCCCCCCCCCCCCC)cc2)cc1.[Br-].[Br-]</t>
  </si>
  <si>
    <t>N,N,Nâ€²,Nâ€²-tetramethylhexadecylenediaminewith2-bromo-N-(4-(ethyloxy)phenyl)acetamide</t>
  </si>
  <si>
    <t>InChI=1S/C54H94N4O4.2BrH/c1-7-9-11-13-15-17-19-21-23-25-27-29-31-33-45-61-51-39-35-49(36-40-51)55-53(59)47-57(3,4)43-44-58(5,6)48-54(60)56-50-37-41-52(42-38-50)62-46-34-32-30-28-26-24-22-20-18-16-14-12-10-8-2;;/h35-42H,7-34,43-48H2,1-6H3;2*1H</t>
  </si>
  <si>
    <t>CCUUCDDBNCKPRT-UHFFFAOYSA-N</t>
  </si>
  <si>
    <t>CCCCCCCCCCCCCCCCOc1ccc[n+](CC(O)C[n+]2cccc(OCCCCCCCCCCCCCCCC)c2)c1.[Br-].[Br-]</t>
  </si>
  <si>
    <t>InChI=1S/C45H80N2O3.2BrH/c1-3-5-7-9-11-13-15-17-19-21-23-25-27-29-37-49-44-33-31-35-46(41-44)39-43(48)40-47-36-32-34-45(42-47)50-38-30-28-26-24-22-20-18-16-14-12-10-8-6-4-2;;/h31-36,41-43,48H,3-30,37-40H2,1-2H3;2*1H/q+2;;/p-2</t>
  </si>
  <si>
    <t>YZJFMMYSRODAAX-UHFFFAOYSA-L</t>
  </si>
  <si>
    <t>CCCCCCCCCCCCCCCCS(=O)(=O)[O-].[Na+]</t>
  </si>
  <si>
    <t>sodium-hexadecane-1-sulfonate</t>
  </si>
  <si>
    <t>InChI=1S/C16H34O3S.Na/c1-2-3-4-5-6-7-8-9-10-11-12-13-14-15-16-20(17,18)19;/h2-16H2,1H3,(H,17,18,19);/q;+1/p-1</t>
  </si>
  <si>
    <t>PNGBYKXZVCIZRN-UHFFFAOYSA-M</t>
  </si>
  <si>
    <t>CCCCCCCCCCCCCCCC[N+](C)(C)C.Cc1ccc(S(=O)(=O)[O-])cc1</t>
  </si>
  <si>
    <t>hexadecyl(trimethyl)azanium-4-methylbenzenesulfonate</t>
  </si>
  <si>
    <t>InChI=1S/C19H42N.C7H8O3S/c1-5-6-7-8-9-10-11-12-13-14-15-16-17-18-19-20(2,3)4;1-6-2-4-7(5-3-6)11(8,9)10/h5-19H2,1-4H3;2-5H,1H3,(H,8,9,10)/q+1;/p-1</t>
  </si>
  <si>
    <t>MZMRZONIDDFOGF-UHFFFAOYSA-M</t>
  </si>
  <si>
    <t>CCCCCCCCCCCCCCCC[N+](C)(C)C.[Br-]</t>
  </si>
  <si>
    <t>['10.1016/j.colsurfa.2014.06.019', '10.1021/acs.jpcb.1c05264', '10.1021/acs.jpcb.1c05264']</t>
  </si>
  <si>
    <t>['10.1016/j.colsurfa.2014.06.019', '10.1016/j.ces.2022.118208', '10.1016/j.ces.2022.118208']</t>
  </si>
  <si>
    <t>10.1016/S0144-8617(01)00299-5</t>
  </si>
  <si>
    <t>10.1016/j.colsurfa.2014.06.019</t>
  </si>
  <si>
    <t>hexadecyl-trimethyl-ammoniumbromide</t>
  </si>
  <si>
    <t>InChI=1S/C19H42N.BrH/c1-5-6-7-8-9-10-11-12-13-14-15-16-17-18-19-20(2,3)4;/h5-19H2,1-4H3;1H/q+1;/p-1</t>
  </si>
  <si>
    <t>LZZYPRNAOMGNLH-UHFFFAOYSA-M</t>
  </si>
  <si>
    <t>CCCCCCCCCCCCCCCC[N+](C)(C)C.[Cl-]</t>
  </si>
  <si>
    <t>Hexadecylammoniumchloride</t>
  </si>
  <si>
    <t>InChI=1S/C19H42N.ClH/c1-5-6-7-8-9-10-11-12-13-14-15-16-17-18-19-20(2,3)4;/h5-19H2,1-4H3;1H/q+1;/p-1</t>
  </si>
  <si>
    <t>WOWHHFRSBJGXCM-UHFFFAOYSA-M</t>
  </si>
  <si>
    <t>CCCCCCCCCCCCCCCC[N+](C)(C)CC(=O)NCCNC(=O)C[N+](C)(C)CCCCCCCCCCCCCCCC.[Cl-].[Cl-]</t>
  </si>
  <si>
    <t>10.1016/j.molliq.2015.01.055</t>
  </si>
  <si>
    <t>Ethane-1,2-diylbis(N,N-dimethyl-N-hexadecyl-ammoniumacetoamide)dichloride</t>
  </si>
  <si>
    <t>InChI=1S/C42H86N4O2.2ClH/c1-7-9-11-13-15-17-19-21-23-25-27-29-31-33-37-45(3,4)39-41(47)43-35-36-44-42(48)40-46(5,6)38-34-32-30-28-26-24-22-20-18-16-14-12-10-8-2;;/h7-40H2,1-6H3;2*1H</t>
  </si>
  <si>
    <t>ZDDRKTJVKPCBKL-UHFFFAOYSA-N</t>
  </si>
  <si>
    <t>CCCCCCCCCCCCCCCC[N+](C)(C)CC(=O)Nc1ccccc1.[Cl-]</t>
  </si>
  <si>
    <t>10.1021/acsomega.0c00294</t>
  </si>
  <si>
    <t>InChI=1S/C26H46N2O.ClH/c1-4-5-6-7-8-9-10-11-12-13-14-15-16-20-23-28(2,3)24-26(29)27-25-21-18-17-19-22-25;/h17-19,21-22H,4-16,20,23-24H2,1-3H3;1H</t>
  </si>
  <si>
    <t>VHMPOFARDFNHGO-UHFFFAOYSA-N</t>
  </si>
  <si>
    <t>CCCCCCCCCCCCCCCC[N+](C)(C)CC(=O)OCCCOC(=O)C[N+](C)(C)CCCCCCCCCCCCCCCC.[Cl-].[Cl-]</t>
  </si>
  <si>
    <t>10.1016/j.molliq.2017.05.092</t>
  </si>
  <si>
    <t>N,N-Dimethylhexadecylamine</t>
  </si>
  <si>
    <t>InChI=1S/C43H88N2O4.2ClH/c1-7-9-11-13-15-17-19-21-23-25-27-29-31-33-36-44(3,4)40-42(46)48-38-35-39-49-43(47)41-45(5,6)37-34-32-30-28-26-24-22-20-18-16-14-12-10-8-2;;/h7-41H2,1-6H3;2*1H/q+2;;/p-2</t>
  </si>
  <si>
    <t>YLKQVJFAIKLZPY-UHFFFAOYSA-L</t>
  </si>
  <si>
    <t>CCCCCCCCCCCCCCCC[N+](C)(C)CC(=O)OCCN(CCOC(=O)C[N+](C)(C)CCCCCCCCCC)CCOC(=O)C[N+](C)(C)CCCCCCCCCC.[Br-].[Br-].[Br-]</t>
  </si>
  <si>
    <t>Triethanolaminetris(dimethylhexadecylammonioacetate),tribromide</t>
  </si>
  <si>
    <t>InChI=1S/C54H111N4O6.3BrH/c1-10-13-16-19-22-25-26-27-28-29-30-33-36-39-45-58(8,9)51-54(61)64-48-42-55(40-46-62-52(59)49-56(4,5)43-37-34-31-23-20-17-14-11-2)41-47-63-53(60)50-57(6,7)44-38-35-32-24-21-18-15-12-3;;;/h10-51H2,1-9H3;3*1H/q+3;;;/p-3</t>
  </si>
  <si>
    <t>LJYYIHMOJDXAKV-UHFFFAOYSA-K</t>
  </si>
  <si>
    <t>CCCCCCCCCCCCCCCC[N+](C)(C)CC(=O)OCCOC(=O)C[N+](C)(C)CCCCCCCCCCCCCCCC.[Cl-].[Cl-]</t>
  </si>
  <si>
    <t>Ethane-1,2-diylbis(N,N-dimethyl-N-hexadecyl-ammoniumacetoxy)dichloride</t>
  </si>
  <si>
    <t>InChI=1S/C42H86N2O4.2ClH/c1-7-9-11-13-15-17-19-21-23-25-27-29-31-33-35-43(3,4)39-41(45)47-37-38-48-42(46)40-44(5,6)36-34-32-30-28-26-24-22-20-18-16-14-12-10-8-2;;/h7-40H2,1-6H3;2*1H/q+2;;/p-2</t>
  </si>
  <si>
    <t>RJFDRQUTIGFRNR-UHFFFAOYSA-L</t>
  </si>
  <si>
    <t>CCCCCCCCCCCCCCCC[N+](C)(C)CC(=O)[O-]</t>
  </si>
  <si>
    <t>2-[hexadecyl(dimethyl)azaniumyl]acetate</t>
  </si>
  <si>
    <t>InChI=1S/C20H41NO2/c1-4-5-6-7-8-9-10-11-12-13-14-15-16-17-18-21(2,3)19-20(22)23/h4-19H2,1-3H3</t>
  </si>
  <si>
    <t>TYIOVYZMKITKRO-UHFFFAOYSA-N</t>
  </si>
  <si>
    <t>CCCCCCCCCCCCCCCC[N+](C)(C)CC(O)C(O)C[N+](C)(C)CCCCCCCCCCCCCCCC.[Br-].[Br-]</t>
  </si>
  <si>
    <t>InChI=1S/C40H86N2O2.2BrH/c1-7-9-11-13-15-17-19-21-23-25-27-29-31-33-35-41(3,4)37-39(43)40(44)38-42(5,6)36-34-32-30-28-26-24-22-20-18-16-14-12-10-8-2;;/h39-40,43-44H,7-38H2,1-6H3;2*1H/q+2;;/p-2</t>
  </si>
  <si>
    <t>LBFWJWDMOGVJPX-UHFFFAOYSA-L</t>
  </si>
  <si>
    <t>CCCCCCCCCCCCCCCC[N+](C)(C)CC(O)CC(O)[N+](C)(C)CCCCCCCCCCCCCCCC.[Br-].[Br-]</t>
  </si>
  <si>
    <t>InChI=1S/C40H86N2O2.2BrH/c1-7-9-11-13-15-17-19-21-23-25-27-29-31-33-35-41(3,4)38-39(43)37-40(44)42(5,6)36-34-32-30-28-26-24-22-20-18-16-14-12-10-8-2;;/h39-40,43-44H,7-38H2,1-6H3;2*1H/q+2;;/p-2</t>
  </si>
  <si>
    <t>IDCZEUGGHCNOIL-UHFFFAOYSA-L</t>
  </si>
  <si>
    <t>CCCCCCCCCCCCCCCC[N+](C)(C)CC(O)CN1CCN(CC(O)C[N+](C)(C)CCCCCCCCCCCCCCCC)CC1.[Cl-].[Cl-]</t>
  </si>
  <si>
    <t>N-bis(hexadecyltrimethylammonium)piperazine</t>
  </si>
  <si>
    <t>InChI=1S/C46H98N4O2.2ClH/c1-7-9-11-13-15-17-19-21-23-25-27-29-31-33-39-49(3,4)43-45(51)41-47-35-37-48(38-36-47)42-46(52)44-50(5,6)40-34-32-30-28-26-24-22-20-18-16-14-12-10-8-2;;/h45-46,51-52H,7-44H2,1-6H3;2*1H/q+2;;/p-2</t>
  </si>
  <si>
    <t>QAFDHEOEAIAKEC-UHFFFAOYSA-L</t>
  </si>
  <si>
    <t>CCCCCCCCCCCCCCCC[N+](C)(C)CC(O)COCCOCC(O)C[N+](C)(C)CCCCCCCCCCCCCCCC.[Br-].[Br-]</t>
  </si>
  <si>
    <t>10.1016/j.colsurfa.2011.12.014</t>
  </si>
  <si>
    <t>Î±,Ï‰-Bis(hexadecyldimethylammoniomethyl)trioxyethyleneglycoldibromide</t>
  </si>
  <si>
    <t>InChI=1S/C44H94N2O4.2BrH/c1-7-9-11-13-15-17-19-21-23-25-27-29-31-33-35-45(3,4)39-43(47)41-49-37-38-50-42-44(48)40-46(5,6)36-34-32-30-28-26-24-22-20-18-16-14-12-10-8-2;;/h43-44,47-48H,7-42H2,1-6H3;2*1H/q+2;;/p-2</t>
  </si>
  <si>
    <t>LHJNVDKYWMYYCD-UHFFFAOYSA-L</t>
  </si>
  <si>
    <t>CCCCCCCCCCCCCCCC[N+](C)(C)CC(O)COCCOCCOCC(O)C[N+](C)(C)CCCCCCCCCCCCCCCC.[Br-].[Br-]</t>
  </si>
  <si>
    <t>Î±,Ï‰-Bis(hexadecyldimethylammoniomethyl)tetraoxyethyleneglycoldibromide</t>
  </si>
  <si>
    <t>InChI=1S/C46H98N2O5.2BrH/c1-7-9-11-13-15-17-19-21-23-25-27-29-31-33-35-47(3,4)41-45(49)43-52-39-37-51-38-40-53-44-46(50)42-48(5,6)36-34-32-30-28-26-24-22-20-18-16-14-12-10-8-2;;/h45-46,49-50H,7-44H2,1-6H3;2*1H/q+2;;/p-2</t>
  </si>
  <si>
    <t>PNIBMGJCRHIYNB-UHFFFAOYSA-L</t>
  </si>
  <si>
    <t>CCCCCCCCCCCCCCCC[N+](C)(C)CC(O)COCCOCCOCCOCC(O)C[N+](C)(C)CCCCCCCCCCCCCCCC.[Br-].[Br-]</t>
  </si>
  <si>
    <t>Î±,Ï‰-Bis(hexadecyldimethylammoniomethyl)pentaoxyethyleneglycoldibromide</t>
  </si>
  <si>
    <t>InChI=1S/C48H102N2O6.2BrH/c1-7-9-11-13-15-17-19-21-23-25-27-29-31-33-35-49(3,4)43-47(51)45-55-41-39-53-37-38-54-40-42-56-46-48(52)44-50(5,6)36-34-32-30-28-26-24-22-20-18-16-14-12-10-8-2;;/h47-48,51-52H,7-46H2,1-6H3;2*1H/q+2;;/p-2</t>
  </si>
  <si>
    <t>JVEJJVAFUFAWMD-UHFFFAOYSA-L</t>
  </si>
  <si>
    <t>CCCCCCCCCCCCCCCC[N+](C)(C)CC(O)COc1ccc(OCC(O)C[N+](C)(C)CCCCCCCCCCCCCCCC)cc1.[Cl-].[Cl-]</t>
  </si>
  <si>
    <t>10.1080/01932690903192580</t>
  </si>
  <si>
    <t>InChI=1S/C48H94N2O4.2ClH/c1-7-9-11-13-15-17-19-21-23-25-27-29-31-33-39-49(3,4)41-45(51)43-53-47-35-37-48(38-36-47)54-44-46(52)42-50(5,6)40-34-32-30-28-26-24-22-20-18-16-14-12-10-8-2;;/h35-38,45-46,51-52H,7-34,39-44H2,1-6H3;2*1H/q+2;;/p-2</t>
  </si>
  <si>
    <t>QAZYEURSWSPBAP-UHFFFAOYSA-L</t>
  </si>
  <si>
    <t>CCCCCCCCCCCCCCCC[N+](C)(C)CC(O)C[N+](C)(C)CCCCCCCCCCCCCCCC.[Cl-].[Cl-]</t>
  </si>
  <si>
    <t>10.1007/BF02517994</t>
  </si>
  <si>
    <t>bis-hexadecyldimethylammoniumsalt</t>
  </si>
  <si>
    <t>InChI=1S/C39H84N2O.2ClH/c1-7-9-11-13-15-17-19-21-23-25-27-29-31-33-35-40(3,4)37-39(42)38-41(5,6)36-34-32-30-28-26-24-22-20-18-16-14-12-10-8-2;;/h39,42H,7-38H2,1-6H3;2*1H/q+2;;/p-2</t>
  </si>
  <si>
    <t>HMAYCSYZHMMONE-UHFFFAOYSA-L</t>
  </si>
  <si>
    <t>CCCCCCCCCCCCCCCC[N+](C)(C)CCC/N=C/c1ccc(OC)c(OC)c1.[Br-]</t>
  </si>
  <si>
    <t>10.1016/j.molliq.2015.03.043</t>
  </si>
  <si>
    <t>InChI=1S/C30H55N2O2.BrH/c1-6-7-8-9-10-11-12-13-14-15-16-17-18-19-24-32(2,3)25-20-23-31-27-28-21-22-29(33-4)30(26-28)34-5;/h21-22,26-27H,6-20,23-25H2,1-5H3;1H/q+1;/p-1/b31-27+;</t>
  </si>
  <si>
    <t>VOQNHCFTAVCCKW-OVXWMHFQSA-M</t>
  </si>
  <si>
    <t>CCCCCCCCCCCCCCCC[N+](C)(C)CCCCCCCCCCCC[N+](C)(C)CCCCCCCCCCCCCCCC.[Br-].[Br-]</t>
  </si>
  <si>
    <t>InChI=1S/C48H102N2.2BrH/c1-7-9-11-13-15-17-19-21-23-25-29-33-37-41-45-49(3,4)47-43-39-35-31-27-28-32-36-40-44-48-50(5,6)46-42-38-34-30-26-24-22-20-18-16-14-12-10-8-2;;/h7-48H2,1-6H3;2*1H/q+2;;/p-2</t>
  </si>
  <si>
    <t>UGWRREYDQHMMFN-UHFFFAOYSA-L</t>
  </si>
  <si>
    <t>CCCCCCCCCCCCCCCC[N+](C)(C)CCCCCCCCCC[N+](C)(C)CCCCCCCCCCCCCCCC.[Br-].[Br-]</t>
  </si>
  <si>
    <t>InChI=1S/C46H98N2.2BrH/c1-7-9-11-13-15-17-19-21-23-25-27-31-35-39-43-47(3,4)45-41-37-33-29-30-34-38-42-46-48(5,6)44-40-36-32-28-26-24-22-20-18-16-14-12-10-8-2;;/h7-46H2,1-6H3;2*1H/q+2;;/p-2</t>
  </si>
  <si>
    <t>RZEAFVHJBQISLS-UHFFFAOYSA-L</t>
  </si>
  <si>
    <t>CCCCCCCCCCCCCCCC[N+](C)(C)CCCCCCCC[N+](C)(C)CCCCCCCCCCCCCCCC.[Br-].[Br-]</t>
  </si>
  <si>
    <t>InChI=1S/C44H94N2.2BrH/c1-7-9-11-13-15-17-19-21-23-25-27-29-33-37-41-45(3,4)43-39-35-31-32-36-40-44-46(5,6)42-38-34-30-28-26-24-22-20-18-16-14-12-10-8-2;;/h7-44H2,1-6H3;2*1H/q+2;;/p-2</t>
  </si>
  <si>
    <t>FUNHFZXJFFCANR-UHFFFAOYSA-L</t>
  </si>
  <si>
    <t>CCCCCCCCCCCCCCCC[N+](C)(C)CCCCCCC[N+](C)(C)CCCCCCCCCCCCCCCC.[Br-].[Br-]</t>
  </si>
  <si>
    <t>InChI=1S/C43H92N2.2BrH/c1-7-9-11-13-15-17-19-21-23-25-27-29-32-36-40-44(3,4)42-38-34-31-35-39-43-45(5,6)41-37-33-30-28-26-24-22-20-18-16-14-12-10-8-2;;/h7-43H2,1-6H3;2*1H/q+2;;/p-2</t>
  </si>
  <si>
    <t>JQZOGIWQFXAINO-UHFFFAOYSA-L</t>
  </si>
  <si>
    <t>CCCCCCCCCCCCCCCC[N+](C)(C)CCCCCC[N+](C)(C)CCCCCC.[Br-].[Br-]</t>
  </si>
  <si>
    <t>InChI=1S/C32H70N2.2BrH/c1-7-9-11-13-14-15-16-17-18-19-20-21-22-26-30-34(5,6)32-28-24-23-27-31-33(3,4)29-25-12-10-8-2;;/h7-32H2,1-6H3;2*1H/q+2;;/p-2</t>
  </si>
  <si>
    <t>VOGTXAAMFDHAPL-UHFFFAOYSA-L</t>
  </si>
  <si>
    <t>CCCCCCCCCCCCCCCC[N+](C)(C)CCCCCC[N+](C)(C)CCCCCCCC.[Br-].[Br-]</t>
  </si>
  <si>
    <t>InChI=1S/C34H74N2.2BrH/c1-7-9-11-13-15-16-17-18-19-20-21-22-24-28-32-36(5,6)34-30-26-25-29-33-35(3,4)31-27-23-14-12-10-8-2;;/h7-34H2,1-6H3;2*1H/q+2;;/p-2</t>
  </si>
  <si>
    <t>IKFKTXYHLBMJJB-UHFFFAOYSA-L</t>
  </si>
  <si>
    <t>CCCCCCCCCCCCCCCC[N+](C)(C)CCCCCC[N+](C)(C)CCCCCCCCCCCCCCCC.[Br-].[Br-]</t>
  </si>
  <si>
    <t>['10.1016/j.chemosphere.2011.05.031', '10.1007/s11743-011-1269-0', '10.1007/s11743-011-1269-0']</t>
  </si>
  <si>
    <t>10.1007/s11743-011-1269-0</t>
  </si>
  <si>
    <t>bis(hexadecyldimethylammonium)ethane</t>
  </si>
  <si>
    <t>InChI=1S/C42H90N2.2BrH/c1-7-9-11-13-15-17-19-21-23-25-27-29-31-35-39-43(3,4)41-37-33-34-38-42-44(5,6)40-36-32-30-28-26-24-22-20-18-16-14-12-10-8-2;;/h7-42H2,1-6H3;2*1H/q+2;;/p-2</t>
  </si>
  <si>
    <t>OFCDWMVMKYLZAD-UHFFFAOYSA-L</t>
  </si>
  <si>
    <t>CCCCCCCCCCCCCCCC[N+](C)(C)CCCCC[N+](C)(C)CCCCCCCCCCCCCCCC.[Br-].[Br-]</t>
  </si>
  <si>
    <t>InChI=1S/C41H88N2.2BrH/c1-7-9-11-13-15-17-19-21-23-25-27-29-31-34-38-42(3,4)40-36-33-37-41-43(5,6)39-35-32-30-28-26-24-22-20-18-16-14-12-10-8-2;;/h7-41H2,1-6H3;2*1H/q+2;;/p-2</t>
  </si>
  <si>
    <t>LVAHQMUPVDUACD-UHFFFAOYSA-L</t>
  </si>
  <si>
    <t>CCCCCCCCCCCCCCCC[N+](C)(C)CCCCNC[N+](C)(C)CCCCCCCCCCCCCCCC.[Br-].[Br-]</t>
  </si>
  <si>
    <t>InChI=1S/C41H89N3.2BrH/c1-7-9-11-13-15-17-19-21-23-25-27-29-31-34-38-43(3,4)39-36-33-37-42-41-44(5,6)40-35-32-30-28-26-24-22-20-18-16-14-12-10-8-2;;/h42H,7-41H2,1-6H3;2*1H/q+2;;/p-2</t>
  </si>
  <si>
    <t>NASMIXYPXIVLDO-UHFFFAOYSA-L</t>
  </si>
  <si>
    <t>CCCCCCCCCCCCCCCC[N+](C)(C)CCCCO[N+](C)(C)CCCCCCCCCCCCCCCC.[Br-].[Br-]</t>
  </si>
  <si>
    <t>InChI=1S/C40H86N2O.2BrH/c1-7-9-11-13-15-17-19-21-23-25-27-29-31-33-37-41(3,4)38-35-36-40-43-42(5,6)39-34-32-30-28-26-24-22-20-18-16-14-12-10-8-2;;/h7-40H2,1-6H3;2*1H/q+2;;/p-2</t>
  </si>
  <si>
    <t>MHUXPDRYJIIXGQ-UHFFFAOYSA-L</t>
  </si>
  <si>
    <t>CCCCCCCCCCCCCCCC[N+](C)(C)CCCC[N+](C)(C)CCCCCCCCCCCCCCCC.[Br-].[Br-]</t>
  </si>
  <si>
    <t>bis(hexadecyldimethylammonium)butane</t>
  </si>
  <si>
    <t>InChI=1S/C40H86N2.2BrH/c1-7-9-11-13-15-17-19-21-23-25-27-29-31-33-37-41(3,4)39-35-36-40-42(5,6)38-34-32-30-28-26-24-22-20-18-16-14-12-10-8-2;;/h7-40H2,1-6H3;2*1H/q+2;;/p-2</t>
  </si>
  <si>
    <t>IRUJPPYZXHQHHU-UHFFFAOYSA-L</t>
  </si>
  <si>
    <t>CCCCCCCCCCCCCCCC[N+](C)(C)CCCC[N+](C)(C)CCCCCCCCCCCCCCCC.[Cl-].[Cl-]</t>
  </si>
  <si>
    <t>10.1007/s11743-001-0179-z</t>
  </si>
  <si>
    <t>InChI=1S/C40H86N2.2ClH/c1-7-9-11-13-15-17-19-21-23-25-27-29-31-33-37-41(3,4)39-35-36-40-42(5,6)38-34-32-30-28-26-24-22-20-18-16-14-12-10-8-2;;/h7-40H2,1-6H3;2*1H/q+2;;/p-2</t>
  </si>
  <si>
    <t>SSLVDXATSDYDNN-UHFFFAOYSA-L</t>
  </si>
  <si>
    <t>CCCCCCCCCCCCCCCC[N+](C)(C)CCCN=Cc1ccccc1.[Br-]</t>
  </si>
  <si>
    <t>10.1016/j.ejpe.2017.05.006</t>
  </si>
  <si>
    <t>InChI=1S/C28H51N2.BrH/c1-4-5-6-7-8-9-10-11-12-13-14-15-16-20-25-30(2,3)26-21-24-29-27-28-22-18-17-19-23-28;/h17-19,22-23,27H,4-16,20-21,24-26H2,1-3H3;1H/q+1;/p-1</t>
  </si>
  <si>
    <t>VKAWJNROEKLZJM-UHFFFAOYSA-M</t>
  </si>
  <si>
    <t>CCCCCCCCCCCCCCCC[N+](C)(C)CCCNC(=O)CCCCCCCCCCCCC.[Br-]</t>
  </si>
  <si>
    <t>N,N-dimethyl-N-(3-tetradecanamidopropyl)hexadecan-1-ammoniumbromide</t>
  </si>
  <si>
    <t>InChI=1S/C35H72N2O.BrH/c1-5-7-9-11-13-15-17-18-19-21-23-25-27-29-33-37(3,4)34-30-32-36-35(38)31-28-26-24-22-20-16-14-12-10-8-6-2;/h5-34H2,1-4H3;1H</t>
  </si>
  <si>
    <t>SKUJPJDRILTUQG-UHFFFAOYSA-N</t>
  </si>
  <si>
    <t>CCCCCCCCCCCCCCCC[N+](C)(C)CCCNC(=O)c1ccc(C(=O)NCCC[N+](C)(C)CCCCCCCCCCCCCCCC)cc1.[Br-].[Br-]</t>
  </si>
  <si>
    <t>10.1007/s11743-015-1752-0</t>
  </si>
  <si>
    <t>InChI=1S/C50H94N4O2.2BrH/c1-7-9-11-13-15-17-19-21-23-25-27-29-31-33-43-53(3,4)45-35-41-51-49(55)47-37-39-48(40-38-47)50(56)52-42-36-46-54(5,6)44-34-32-30-28-26-24-22-20-18-16-14-12-10-8-2;;/h37-40H,7-36,41-46H2,1-6H3;2*1H</t>
  </si>
  <si>
    <t>SNZHOTIRRROMLG-UHFFFAOYSA-N</t>
  </si>
  <si>
    <t>CCCCCCCCCCCCCCCC[N+](C)(C)CCCNCCC[N+](C)(C)CCCCCCCCCCCCCCCC.[Br-].[Br-]</t>
  </si>
  <si>
    <t>InChI=1S/C42H91N3.2BrH/c1-7-9-11-13-15-17-19-21-23-25-27-29-31-33-39-44(3,4)41-35-37-43-38-36-42-45(5,6)40-34-32-30-28-26-24-22-20-18-16-14-12-10-8-2;;/h43H,7-42H2,1-6H3;2*1H/q+2;;/p-2</t>
  </si>
  <si>
    <t>ZXCDUSVLOVWTBD-UHFFFAOYSA-L</t>
  </si>
  <si>
    <t>CCCCCCCCCCCCCCCC[N+](C)(C)CCC[N+](C)(C)CCCCCCCCCCCCCCCC.[Br-].[Br-]</t>
  </si>
  <si>
    <t>InChI=1S/C39H84N2.2BrH/c1-7-9-11-13-15-17-19-21-23-25-27-29-31-33-36-40(3,4)38-35-39-41(5,6)37-34-32-30-28-26-24-22-20-18-16-14-12-10-8-2;;/h7-39H2,1-6H3;2*1H/q+2;;/p-2</t>
  </si>
  <si>
    <t>LZLBBKACUZCHAV-UHFFFAOYSA-L</t>
  </si>
  <si>
    <t>CCCCCCCCCCCCCCCC[N+](C)(C)CCC[N+](C)(C)CCCCCCCCCCCCCCCC.[Cl-].[Cl-]</t>
  </si>
  <si>
    <t>InChI=1S/C39H84N2.2ClH/c1-7-9-11-13-15-17-19-21-23-25-27-29-31-33-36-40(3,4)38-35-39-41(5,6)37-34-32-30-28-26-24-22-20-18-16-14-12-10-8-2;;/h7-39H2,1-6H3;2*1H/q+2;;/p-2</t>
  </si>
  <si>
    <t>VSUVCWOISMKUDN-UHFFFAOYSA-L</t>
  </si>
  <si>
    <t>CCCCCCCCCCCCCCCC[N+](C)(C)CCN(C)CC[N+](C)(C)CCCCCCCCCCCCCCCC.[Br-].[Br-]</t>
  </si>
  <si>
    <t>N,N'-bis(hexadecyldimethyl)-3-N-methyl-1,5-pentanediammoniumdibromide</t>
  </si>
  <si>
    <t>InChI=1S/C41H89N3.2BrH/c1-8-10-12-14-16-18-20-22-24-26-28-30-32-34-38-43(4,5)40-36-42(3)37-41-44(6,7)39-35-33-31-29-27-25-23-21-19-17-15-13-11-9-2;;/h8-41H2,1-7H3;2*1H/q+2;;/p-2</t>
  </si>
  <si>
    <t>QMKWSHDNELZGLH-UHFFFAOYSA-L</t>
  </si>
  <si>
    <t>CCCCCCCCCCCCCCCC[N+](C)(C)CCN=Cc1ccc(OC)c(OC)c1.[Br-]</t>
  </si>
  <si>
    <t>10.1002/jsde.12318</t>
  </si>
  <si>
    <t>N-(2-((3,4-dimethoxybenzylidene)amino)ethyl)-N,N-dimethylhexadectan1-aminiumbromide</t>
  </si>
  <si>
    <t>InChI=1S/C29H53N2O2.BrH/c1-6-7-8-9-10-11-12-13-14-15-16-17-18-19-23-31(2,3)24-22-30-26-27-20-21-28(32-4)29(25-27)33-5;/h20-21,25-26H,6-19,22-24H2,1-5H3;1H/q+1;/p-1</t>
  </si>
  <si>
    <t>VUUCXSBLKNDFMG-UHFFFAOYSA-M</t>
  </si>
  <si>
    <t>CCCCCCCCCCCCCCCC[N+](C)(C)CCOC(=O)CCC(=O)OCC[N+](C)(C)CCCCCCCCCCCCCCCC.[Cl-].[Cl-]</t>
  </si>
  <si>
    <t>InChI=1S/C44H90N2O4.2ClH/c1-7-9-11-13-15-17-19-21-23-25-27-29-31-33-37-45(3,4)39-41-49-43(47)35-36-44(48)50-42-40-46(5,6)38-34-32-30-28-26-24-22-20-18-16-14-12-10-8-2;;/h7-42H2,1-6H3;2*1H/q+2;;/p-2</t>
  </si>
  <si>
    <t>LLPIYOYOQZXZIS-UHFFFAOYSA-L</t>
  </si>
  <si>
    <t>CCCCCCCCCCCCCCCC[N+](C)(C)CCOC(=O)CCCCCCC(=O)OCC[N+](C)(C)CCCCCCCCCCCCCCCC.[Cl-].[Cl-]</t>
  </si>
  <si>
    <t>InChI=1S/C48H98N2O4.2ClH/c1-7-9-11-13-15-17-19-21-23-25-27-29-33-37-41-49(3,4)43-45-53-47(51)39-35-31-32-36-40-48(52)54-46-44-50(5,6)42-38-34-30-28-26-24-22-20-18-16-14-12-10-8-2;;/h7-46H2,1-6H3;2*1H/q+2;;/p-2</t>
  </si>
  <si>
    <t>YUGRJTROMKKJDU-UHFFFAOYSA-L</t>
  </si>
  <si>
    <t>CCCCCCCCCCCCCCCC[N+](C)(C)CCOC1OC(CO)C(O)C(O)C1O.[Br-]</t>
  </si>
  <si>
    <t>10.1021/jo051579s</t>
  </si>
  <si>
    <t>2-dodecyldimethylamine-(2,3,4,6-tetra-O-hydroxy)-Î²-D--glucopyranosidebromide</t>
  </si>
  <si>
    <t>InChI=1S/C26H54NO6.BrH/c1-4-5-6-7-8-9-10-11-12-13-14-15-16-17-18-27(2,3)19-20-32-26-25(31)24(30)23(29)22(21-28)33-26;/h22-26,28-31H,4-21H2,1-3H3;1H/q+1;/p-1</t>
  </si>
  <si>
    <t>BWULRELORSVIOQ-UHFFFAOYSA-M</t>
  </si>
  <si>
    <t>CCCCCCCCCCCCCCCC[N+](C)(C)CCOC1OC(COC)C(OC)C(OC)C1OC.[Br-]</t>
  </si>
  <si>
    <t>2-dodecyldimethylamine-(2,3,4,6-tetra-O-acetyl)-Î²-D--glucopyranosidebromide</t>
  </si>
  <si>
    <t>InChI=1S/C30H62NO6.BrH/c1-8-9-10-11-12-13-14-15-16-17-18-19-20-21-22-31(2,3)23-24-36-30-29(35-7)28(34-6)27(33-5)26(37-30)25-32-4;/h26-30H,8-25H2,1-7H3;1H/q+1;/p-1</t>
  </si>
  <si>
    <t>OSHBOBRPWQNEGG-UHFFFAOYSA-M</t>
  </si>
  <si>
    <t>CCCCCCCCCCCCCCCC[N+](C)(C)CCOCCO.[Br-]</t>
  </si>
  <si>
    <t>10.1016/j.molliq.2016.05.088</t>
  </si>
  <si>
    <t>N-(2-(2-hydroxyethoxy)ethyl)-N,N-dimethylhexadecan-1-aminiumbromide</t>
  </si>
  <si>
    <t>InChI=1S/C22H48NO2.BrH/c1-4-5-6-7-8-9-10-11-12-13-14-15-16-17-18-23(2,3)19-21-25-22-20-24;/h24H,4-22H2,1-3H3;1H/q+1;/p-1</t>
  </si>
  <si>
    <t>WPIRCOZWZRMLOS-UHFFFAOYSA-M</t>
  </si>
  <si>
    <t>CCCCCCCCCCCCCCCC[N+](C)(C)CCOCC[N+](C)(C)CCCCCCCCCCCCCCCC.[Br-].[Br-]</t>
  </si>
  <si>
    <t>ether-Î±,Ï‰-bis-(dimethylhexadecylammoniumbromide)</t>
  </si>
  <si>
    <t>InChI=1S/C40H86N2O.2BrH/c1-7-9-11-13-15-17-19-21-23-25-27-29-31-33-35-41(3,4)37-39-43-40-38-42(5,6)36-34-32-30-28-26-24-22-20-18-16-14-12-10-8-2;;/h7-40H2,1-6H3;2*1H/q+2;;/p-2</t>
  </si>
  <si>
    <t>FJPVMTYMOAAPIL-UHFFFAOYSA-L</t>
  </si>
  <si>
    <t>CCCCCCCCCCCCCCCC[N+](C)(C)CCOP(=O)([O-])OCCCCCCCCCC</t>
  </si>
  <si>
    <t>InChI=1S/C30H64NO4P/c1-5-7-9-11-13-15-16-17-18-19-20-21-23-25-27-31(3,4)28-30-35-36(32,33)34-29-26-24-22-14-12-10-8-6-2/h5-30H2,1-4H3</t>
  </si>
  <si>
    <t>AJMCRWBEHPALGR-UHFFFAOYSA-N</t>
  </si>
  <si>
    <t>CCCCCCCCCCCCCCCC[N+](C)(C)CCOc1ccc(C=NNC(=O)C(=O)NN=Cc2ccc(OCC[N+](C)(C)CCCCCCCCCCCCCCCC)cc2)cc1.[Cl-].[Cl-]</t>
  </si>
  <si>
    <t>10.1080/01932691.2021.1929289</t>
  </si>
  <si>
    <t>InChI=1S/C56H96N6O4.2ClH/c1-7-9-11-13-15-17-19-21-23-25-27-29-31-33-43-61(3,4)45-47-65-53-39-35-51(36-40-53)49-57-59-55(63)56(64)60-58-50-52-37-41-54(42-38-52)66-48-46-62(5,6)44-34-32-30-28-26-24-22-20-18-16-14-12-10-8-2;;/h35-42,49-50H,7-34,43-48H2,1-6H3;2*1H</t>
  </si>
  <si>
    <t>RZYOTGPRTIGTRP-UHFFFAOYSA-N</t>
  </si>
  <si>
    <t>CCCCCCCCCCCCCCCC[N+](C)(C)CCSCC[N+](C)(C)CCCCCCCCCCCCCCCC.[Br-].[Br-]</t>
  </si>
  <si>
    <t>N,N'-bis(hexadecyldimethyl)-3-S-1,5-pentanediammoniumdibromide</t>
  </si>
  <si>
    <t>InChI=1S/C40H86N2S.2BrH/c1-7-9-11-13-15-17-19-21-23-25-27-29-31-33-35-41(3,4)37-39-43-40-38-42(5,6)36-34-32-30-28-26-24-22-20-18-16-14-12-10-8-2;;/h7-40H2,1-6H3;2*1H/q+2;;/p-2</t>
  </si>
  <si>
    <t>GVZGSHODKFIADD-UHFFFAOYSA-L</t>
  </si>
  <si>
    <t>CCCCCCCCCCCCCCCC[N+](C)(C)CC[N+](C)(C)CCCCCCCCCCCCCCCC.[Br-].[Br-]</t>
  </si>
  <si>
    <t>['10.1007/s11743-011-1269-0', '10.1016/j.chemosphere.2011.05.031']</t>
  </si>
  <si>
    <t>bis(hexadecyldimethylammonium)hexane</t>
  </si>
  <si>
    <t>InChI=1S/C38H82N2.2BrH/c1-7-9-11-13-15-17-19-21-23-25-27-29-31-33-35-39(3,4)37-38-40(5,6)36-34-32-30-28-26-24-22-20-18-16-14-12-10-8-2;;/h7-38H2,1-6H3;2*1H/q+2;;/p-2</t>
  </si>
  <si>
    <t>VDROVMWXXOMDPT-UHFFFAOYSA-L</t>
  </si>
  <si>
    <t>CCCCCCCCCCCCCCCC[N+](C)(C)Cc1cccc(OC)c1.[Cl-]</t>
  </si>
  <si>
    <t>N,N-dimethyl-N-hexadecyl-N-(m-methoxybenzyl)ammoniumchloride</t>
  </si>
  <si>
    <t>InChI=1S/C26H48NO.ClH/c1-5-6-7-8-9-10-11-12-13-14-15-16-17-18-22-27(2,3)24-25-20-19-21-26(23-25)28-4;/h19-21,23H,5-18,22,24H2,1-4H3;1H/q+1;/p-1</t>
  </si>
  <si>
    <t>DEZHQVSCBFJHGY-UHFFFAOYSA-M</t>
  </si>
  <si>
    <t>CCCCCCCCCCCCCCCC[N+](C)(C)Cc1ccccc1.[Cl-]</t>
  </si>
  <si>
    <t>InChI=1S/C25H46N.ClH/c1-4-5-6-7-8-9-10-11-12-13-14-15-16-20-23-26(2,3)24-25-21-18-17-19-22-25;/h17-19,21-22H,4-16,20,23-24H2,1-3H3;1H/q+1;/p-1</t>
  </si>
  <si>
    <t>SXPWTBGAZSPLHA-UHFFFAOYSA-M</t>
  </si>
  <si>
    <t>CCCCCCCCCCCCCCCC[N+](C)(C)Cc1ccccc1CO.[Cl-]</t>
  </si>
  <si>
    <t>N-hexadecylâ€“N,N-dimethyl-N-(o-hydroxymethyl)benzylammoniumchloride</t>
  </si>
  <si>
    <t>InChI=1S/C26H48NO.ClH/c1-4-5-6-7-8-9-10-11-12-13-14-15-16-19-22-27(2,3)23-25-20-17-18-21-26(25)24-28;/h17-18,20-21,28H,4-16,19,22-24H2,1-3H3;1H/q+1;/p-1</t>
  </si>
  <si>
    <t>SDFVTJQZTRLHFG-UHFFFAOYSA-M</t>
  </si>
  <si>
    <t>CCCCCCCCCCCCCCCC[N+](C)(C)NC(=O)CCC(=O)N1CCCCC1.[I-]</t>
  </si>
  <si>
    <t>10.1007/s13738-021-02247-3</t>
  </si>
  <si>
    <t>Nâ€™â€‘HexadecylNâ€™,Nâ€™dimethylâ€‘4â€‘piperidinoâ€‘4â€‘oxobutanoylhydraziniumiodide</t>
  </si>
  <si>
    <t>InChI=1S/C27H53N3O2.HI/c1-4-5-6-7-8-9-10-11-12-13-14-15-16-20-25-30(2,3)28-26(31)21-22-27(32)29-23-18-17-19-24-29;/h4-25H2,1-3H3;1H</t>
  </si>
  <si>
    <t>XYYJFFFCGKUVJC-UHFFFAOYSA-N</t>
  </si>
  <si>
    <t>CCCCCCCCCCCCCCCC[N+](C)(C)NC(=O)CCC(=O)N1CCOCC1.[I-]</t>
  </si>
  <si>
    <t>Nâ€™â€‘HexadecylNâ€™,Nâ€™dimethylâ€‘4â€‘morpholinoâ€‘4â€‘oxobutanoylhydraziniumiodide</t>
  </si>
  <si>
    <t>InChI=1S/C26H51N3O3.HI/c1-4-5-6-7-8-9-10-11-12-13-14-15-16-17-22-29(2,3)27-25(30)18-19-26(31)28-20-23-32-24-21-28;/h4-24H2,1-3H3;1H</t>
  </si>
  <si>
    <t>OHKMKUCWGJKNIR-UHFFFAOYSA-N</t>
  </si>
  <si>
    <t>CCCCCCCCCCCCCCCC[N+](C)(C)c1ccc(C=Nc2c(C)n(C)n(-c3ccccc3)c2=O)cc1.[Br-]</t>
  </si>
  <si>
    <t>E)-4-(((1,5-dimethyl-3-oxo-2-phenyl-2,3-dihydro-1H-pyrazol-4-yl)imino)methyl)-N-hexadecyl-N,N-dimethylbenzenaminiumbromide</t>
  </si>
  <si>
    <t>InChI=1S/C36H55N4O.BrH/c1-6-7-8-9-10-11-12-13-14-15-16-17-18-22-29-40(4,5)34-27-25-32(26-28-34)30-37-35-31(2)38(3)39(36(35)41)33-23-20-19-21-24-33;/h19-21,23-28,30H,6-18,22,29H2,1-5H3;1H/q+1;/p-1</t>
  </si>
  <si>
    <t>YJEZZLNMJWICNV-UHFFFAOYSA-M</t>
  </si>
  <si>
    <t>CCCCCCCCCCCCCCCC[N+](CC)(CC)CCO.[Br-]</t>
  </si>
  <si>
    <t>10.1007/s11743-010-1237-0</t>
  </si>
  <si>
    <t>InChI=1S/C22H48NO.BrH/c1-4-7-8-9-10-11-12-13-14-15-16-17-18-19-20-23(5-2,6-3)21-22-24;/h24H,4-22H2,1-3H3;1H/q+1;/p-1</t>
  </si>
  <si>
    <t>VMCRHMJDVUYCMF-UHFFFAOYSA-M</t>
  </si>
  <si>
    <t>CCCCCCCCCCCCCCCC[N+](CCC)(CCC)CCC.[Br-]</t>
  </si>
  <si>
    <t>10.1021/j100794a010</t>
  </si>
  <si>
    <t>InChI=1S/C25H54N.BrH/c1-5-9-10-11-12-13-14-15-16-17-18-19-20-21-25-26(22-6-2,23-7-3)24-8-4;/h5-25H2,1-4H3;1H/q+1;/p-1</t>
  </si>
  <si>
    <t>FIUXEBBRCRBWTE-UHFFFAOYSA-M</t>
  </si>
  <si>
    <t>CCCCCCCCCCCCCCCC[N+](CCC)(CCC)CCCC[N+](CCC)(CCC)CCCCCCCCCCCCCCCC.[Br-].[Br-]</t>
  </si>
  <si>
    <t>10.1016/j.colsurfa.2015.02.005</t>
  </si>
  <si>
    <t>InChI=1S/C48H102N2.2BrH/c1-7-13-15-17-19-21-23-25-27-29-31-33-35-37-45-49(41-9-3,42-10-4)47-39-40-48-50(43-11-5,44-12-6)46-38-36-34-32-30-28-26-24-22-20-18-16-14-8-2;;/h7-48H2,1-6H3;2*1H/q+2;;/p-2</t>
  </si>
  <si>
    <t>QVIKZMGJWKGWRU-UHFFFAOYSA-L</t>
  </si>
  <si>
    <t>CCCCCCCCCCCCCCCC[N+](CCCCC[N+](CCCCCCCCCCCCCCCC)(CC(C)O)CC(C)O)(CC(C)O)CC(C)O.[Br-].[Br-]</t>
  </si>
  <si>
    <t>10.1016/j.colsurfa.2019.05.019</t>
  </si>
  <si>
    <t>di-2-hydroxypropylhexadecylamines.</t>
  </si>
  <si>
    <t>InChI=1S/C49H104N2O4.2BrH/c1-7-9-11-13-15-17-19-21-23-25-27-29-31-34-38-50(42-46(3)52,43-47(4)53)40-36-33-37-41-51(44-48(5)54,45-49(6)55)39-35-32-30-28-26-24-22-20-18-16-14-12-10-8-2;;/h46-49,52-55H,7-45H2,1-6H3;2*1H/q+2;;/p-2</t>
  </si>
  <si>
    <t>LJECNAFVHGVGTM-UHFFFAOYSA-L</t>
  </si>
  <si>
    <t>CCCCCCCCCCCCCCCC[NH+](CC(O)C)CCCCC[NH+](CC(O)C)CCCCCCCCCCCCCCCC.[Br-].[Br-]</t>
  </si>
  <si>
    <t>2-hydroxypropylhexadecylamines</t>
  </si>
  <si>
    <t>InChI=1S/C43H90N2O2.2BrH/c1-5-7-9-11-13-15-17-19-21-23-25-27-29-32-36-44(40-42(3)46)38-34-31-35-39-45(41-43(4)47)37-33-30-28-26-24-22-20-18-16-14-12-10-8-6-2;;/h42-43,46-47H,5-41H2,1-4H3;2*1H/q+2;;/p-2</t>
  </si>
  <si>
    <t>QZLVJVLZMNKYHS-UHFFFAOYSA-L</t>
  </si>
  <si>
    <t>CCCCCCCCCCCCCCCC[N+]1(C)CC[N+](C)(CCCCCCCCCCCCCCCC)CC1.[Br-].[Br-]</t>
  </si>
  <si>
    <t>10.1080/01932691.2017.1381916</t>
  </si>
  <si>
    <t>1,4-dihexadecyl-1,4-dimethylpiperazine-1,4-diiumbromide</t>
  </si>
  <si>
    <t>InChI=1S/C38H80N2.2BrH/c1-5-7-9-11-13-15-17-19-21-23-25-27-29-31-33-39(3)35-37-40(4,38-36-39)34-32-30-28-26-24-22-20-18-16-14-12-10-8-6-2;;/h5-38H2,1-4H3;2*1H/q+2;;/p-2</t>
  </si>
  <si>
    <t>CDMYYRGERKDQLZ-UHFFFAOYSA-L</t>
  </si>
  <si>
    <t>CCCCCCCCCCCCCCCC[N+]1(CC#CC[N+]2(CCCCCCCCCCCCCCCC)CCCC2)CCCC1.[Br-].[Br-]</t>
  </si>
  <si>
    <t>InChI=1S/C44H86N2.2BrH/c1-3-5-7-9-11-13-15-17-19-21-23-25-27-29-37-45(39-31-32-40-45)43-35-36-44-46(41-33-34-42-46)38-30-28-26-24-22-20-18-16-14-12-10-8-6-4-2;;/h3-34,37-44H2,1-2H3;2*1H/q+2;;/p-2</t>
  </si>
  <si>
    <t>ZRRTVLATQMOTOD-UHFFFAOYSA-L</t>
  </si>
  <si>
    <t>CCCCCCCCCCCCCCCC[N+]1(CC#CC[N+]2(CCCCCCCCCCCCCCCC)CCCCC2)CCCCC1.[Br-].[Br-]</t>
  </si>
  <si>
    <t>InChI=1S/C46H90N2.2BrH/c1-3-5-7-9-11-13-15-17-19-21-23-25-27-31-39-47(41-33-29-34-42-47)45-37-38-46-48(43-35-30-36-44-48)40-32-28-26-24-22-20-18-16-14-12-10-8-6-4-2;;/h3-36,39-46H2,1-2H3;2*1H/q+2;;/p-2</t>
  </si>
  <si>
    <t>XTUWEXANWISBTM-UHFFFAOYSA-L</t>
  </si>
  <si>
    <t>CCCCCCCCCCCCCCCC[N+]1(CCCC[N+]2(CCCCCCCCCCCCCCCC)CCCC2)CCCC1.[Br-].[Br-]</t>
  </si>
  <si>
    <t>10.1016/j.jcis.2011.12.025</t>
  </si>
  <si>
    <t>InChI=1S/C44H90N2.2BrH/c1-3-5-7-9-11-13-15-17-19-21-23-25-27-29-37-45(39-31-32-40-45)43-35-36-44-46(41-33-34-42-46)38-30-28-26-24-22-20-18-16-14-12-10-8-6-4-2;;/h3-44H2,1-2H3;2*1H/q+2;;/p-2</t>
  </si>
  <si>
    <t>QCBCYKXBUFLJBQ-UHFFFAOYSA-L</t>
  </si>
  <si>
    <t>CCCCCCCCCCCCCCCC[N+]1(Cc2ccc(-c3ccc(C[N+]4(CCCCCCCCCCCCCCCC)CCOCC4)cc3)cc2)CCOCC1.[Cl-].[Cl-]</t>
  </si>
  <si>
    <t>10.1016/j.molliq.2021.115781</t>
  </si>
  <si>
    <t>morpholinium-bishexadecyl-biphenylene</t>
  </si>
  <si>
    <t>InChI=1S/C54H94N2O2.2ClH/c1-3-5-7-9-11-13-15-17-19-21-23-25-27-29-39-55(41-45-57-46-42-55)49-51-31-35-53(36-32-51)54-37-33-52(34-38-54)50-56(43-47-58-48-44-56)40-30-28-26-24-22-20-18-16-14-12-10-8-6-4-2;;/h31-38H,3-30,39-50H2,1-2H3;2*1H/q+2;;/p-2</t>
  </si>
  <si>
    <t>OFFHFFFFXHNQFF-UHFFFAOYSA-L</t>
  </si>
  <si>
    <t>CCCCCCCCCCCCCCCC[N+]1(Cc2ccc(C[N+]3(CCCCCCCCCCCCCCCC)CCOCC3)cc2)CCOCC1.[Cl-].[Cl-]</t>
  </si>
  <si>
    <t>morpholinium-bishexadecyl-phenylene</t>
  </si>
  <si>
    <t>InChI=1S/C48H90N2O2.2ClH/c1-3-5-7-9-11-13-15-17-19-21-23-25-27-29-35-49(37-41-51-42-38-49)45-47-31-33-48(34-32-47)46-50(39-43-52-44-40-50)36-30-28-26-24-22-20-18-16-14-12-10-8-6-4-2;;/h31-34H,3-30,35-46H2,1-2H3;2*1H/q+2;;/p-2</t>
  </si>
  <si>
    <t>BOIACGSSOVFYRQ-UHFFFAOYSA-L</t>
  </si>
  <si>
    <t>CCCCCCCCCCCCCCCC[N+]1=CC=CC=C1.[Cl-]</t>
  </si>
  <si>
    <t>InChI=1S/C21H43N.ClH/c1-2-3-4-5-6-7-8-9-10-11-12-13-14-16-19-22-20-17-15-18-21-22;/h2-21H2,1H3;1H/q+1;/p-1</t>
  </si>
  <si>
    <t>VXDXNKNSWNFBAU-UHFFFAOYSA-M</t>
  </si>
  <si>
    <t>CCCCCCCCCCCCCCCC[n+]1ccccc1.[Br-]</t>
  </si>
  <si>
    <t>['10.1016/j.tca.2004.11.009', '10.1021/acs.jpcb.1c05264', '10.1016/j.tca.2004.11.009']</t>
  </si>
  <si>
    <t>1-hexadecylpyridin-1-ium-bromide</t>
  </si>
  <si>
    <t>InChI=1S/C21H38N.BrH/c1-2-3-4-5-6-7-8-9-10-11-12-13-14-16-19-22-20-17-15-18-21-22;/h15,17-18,20-21H,2-14,16,19H2,1H3;1H/q+1;/p-1</t>
  </si>
  <si>
    <t>DVBJBNKEBPCGSY-UHFFFAOYSA-M</t>
  </si>
  <si>
    <t>CCCCCCCCCCCCCCCC[n+]1ccccc1.[Cl-]</t>
  </si>
  <si>
    <t>['10.1016/j.tca.2004.11.009', '10.1021/acs.jpcb.1c05264']</t>
  </si>
  <si>
    <t>10.1016/j.colsurfa.2005.02.018</t>
  </si>
  <si>
    <t>Hexadecylpyridiniumchloride</t>
  </si>
  <si>
    <t>InChI=1S/C21H38N.ClH/c1-2-3-4-5-6-7-8-9-10-11-12-13-14-16-19-22-20-17-15-18-21-22;/h15,17-18,20-21H,2-14,16,19H2,1H3;1H/q+1;/p-1</t>
  </si>
  <si>
    <t>YMKDRGPMQRFJGP-UHFFFAOYSA-M</t>
  </si>
  <si>
    <t>CCCCCCCCCCCCCCCC[n+]1ccn(CCOC(=O)NCCCC)c1.[Br-]</t>
  </si>
  <si>
    <t>InChI=1S/C26H49N3O2.BrH/c1-3-5-7-8-9-10-11-12-13-14-15-16-17-18-20-28-21-22-29(25-28)23-24-31-26(30)27-19-6-4-2;/h21-22,25H,3-20,23-24H2,1-2H3;1H</t>
  </si>
  <si>
    <t>KLADHKJNJVBUSG-UHFFFAOYSA-N</t>
  </si>
  <si>
    <t>InChI=1S/C21H37N.BrH/c1-2-3-4-5-6-7-8-9-10-11-12-13-14-15-16-21-17-19-22-20-18-21;/h17-20H,2-16H2,1H3;1H</t>
  </si>
  <si>
    <t>HRMCRUVQDSWXBG-UHFFFAOYSA-N</t>
  </si>
  <si>
    <t>InChI=1S/C21H37N.ClH/c1-2-3-4-5-6-7-8-9-10-11-12-13-14-15-16-21-17-19-22-20-18-21;/h17-20H,2-16H2,1H3;1H</t>
  </si>
  <si>
    <t>WPCGBQZVJSKDMP-UHFFFAOYSA-N</t>
  </si>
  <si>
    <t>CCCCCCCCCCCCCCCCn1cc[n+](C)c1.[Br-]</t>
  </si>
  <si>
    <t>10.1021/je400861g</t>
  </si>
  <si>
    <t>InChI=1S/C20H39N2.BrH/c1-3-4-5-6-7-8-9-10-11-12-13-14-15-16-17-22-19-18-21(2)20-22;/h18-20H,3-17H2,1-2H3;1H/q+1;/p-1</t>
  </si>
  <si>
    <t>QPERNWXRUSFVPU-UHFFFAOYSA-M</t>
  </si>
  <si>
    <t>CCCCCCCCCCCCCCCCn1cc[n+](C)c1.[Cl-]</t>
  </si>
  <si>
    <t>InChI=1S/C20H39N2.ClH/c1-3-4-5-6-7-8-9-10-11-12-13-14-15-16-17-22-19-18-21(2)20-22;/h18-20H,3-17H2,1-2H3;1H/q+1;/p-1</t>
  </si>
  <si>
    <t>ZCPPLZJPPBIWRU-UHFFFAOYSA-M</t>
  </si>
  <si>
    <t>CCCCCCCCCCCCCCCCn1cc[n+](COCCCCCCOC[n+]2ccn(CCCCCCCCCCCCCCCC)c2)c1.[Cl-].[Cl-]</t>
  </si>
  <si>
    <t>10.1111/cbdd.12236</t>
  </si>
  <si>
    <t>InChI=1S/C46H88N4O2.2ClH/c1-3-5-7-9-11-13-15-17-19-21-23-25-27-31-35-47-37-39-49(43-47)45-51-41-33-29-30-34-42-52-46-50-40-38-48(44-50)36-32-28-26-24-22-20-18-16-14-12-10-8-6-4-2;;/h37-40,43-44H,3-36,41-42,45-46H2,1-2H3;2*1H/q+2;;/p-2</t>
  </si>
  <si>
    <t>BLXSDTRZTBUQNO-UHFFFAOYSA-L</t>
  </si>
  <si>
    <t>CCCCCCCCCCCCCCCCn1cc[n+](COCCCCCOC[n+]2ccn(CCCCCCCCCCCCCCCC)c2)c1.[Cl-].[Cl-]</t>
  </si>
  <si>
    <t>InChI=1S/C45H86N4O2.2ClH/c1-3-5-7-9-11-13-15-17-19-21-23-25-27-30-34-46-36-38-48(42-46)44-50-40-32-29-33-41-51-45-49-39-37-47(43-49)35-31-28-26-24-22-20-18-16-14-12-10-8-6-4-2;;/h36-39,42-43H,3-35,40-41,44-45H2,1-2H3;2*1H/q+2;;/p-2</t>
  </si>
  <si>
    <t>MJASWZSPWVSNRT-UHFFFAOYSA-L</t>
  </si>
  <si>
    <t>CCCCCCCCCCCCCCCCn1cc[n+](COCCCCOC[n+]2ccn(CCCCCCCCCCCCCCCC)c2)c1.[Cl-].[Cl-]</t>
  </si>
  <si>
    <t>InChI=1S/C44H84N4O2.2ClH/c1-3-5-7-9-11-13-15-17-19-21-23-25-27-29-33-45-35-37-47(41-45)43-49-39-31-32-40-50-44-48-38-36-46(42-48)34-30-28-26-24-22-20-18-16-14-12-10-8-6-4-2;;/h35-38,41-42H,3-34,39-40,43-44H2,1-2H3;2*1H/q+2;;/p-2</t>
  </si>
  <si>
    <t>XFCVUOGALFCAIC-UHFFFAOYSA-L</t>
  </si>
  <si>
    <t>CCCCCCCCCCCCCCCCn1cc[n+](COCCCOC[n+]2ccn(CCCCCCCCCCCCCCCC)c2)c1.[Cl-].[Cl-]</t>
  </si>
  <si>
    <t>InChI=1S/C43H82N4O2.2ClH/c1-3-5-7-9-11-13-15-17-19-21-23-25-27-29-32-44-34-36-46(40-44)42-48-38-31-39-49-43-47-37-35-45(41-47)33-30-28-26-24-22-20-18-16-14-12-10-8-6-4-2;;/h34-37,40-41H,3-33,38-39,42-43H2,1-2H3;2*1H/q+2;;/p-2</t>
  </si>
  <si>
    <t>BHMVWQDQIRLYMF-UHFFFAOYSA-L</t>
  </si>
  <si>
    <t>CCCCCCCCCCCCCCCCn1cc[n+](COCCOC[n+]2ccn(CCCCCCCCCCCCCCCC)c2)c1.[Cl-].[Cl-]</t>
  </si>
  <si>
    <t>InChI=1S/C42H80N4O2.2ClH/c1-3-5-7-9-11-13-15-17-19-21-23-25-27-29-31-43-33-35-45(39-43)41-47-37-38-48-42-46-36-34-44(40-46)32-30-28-26-24-22-20-18-16-14-12-10-8-6-4-2;;/h33-36,39-40H,3-32,37-38,41-42H2,1-2H3;2*1H/q+2;;/p-2</t>
  </si>
  <si>
    <t>RMARADZZUOFQCN-UHFFFAOYSA-L</t>
  </si>
  <si>
    <t>CCCCCCCCCCCCCCCOCCOCCOCCOCCOCCOCCOCCOCCO</t>
  </si>
  <si>
    <t>10.1007/BF01419322</t>
  </si>
  <si>
    <t>2-[2-[2-[2-[2-[2-[2-(2-pentadecoxyethoxy)ethoxy]ethoxy]ethoxy]ethoxy]ethoxy]ethoxy]ethanol</t>
  </si>
  <si>
    <t>InChI=1S/C31H64O9/c1-2-3-4-5-6-7-8-9-10-11-12-13-14-16-33-18-20-35-22-24-37-26-28-39-30-31-40-29-27-38-25-23-36-21-19-34-17-15-32/h32H,2-31H2,1H3</t>
  </si>
  <si>
    <t>TXZCOTWFAODTIK-UHFFFAOYSA-N</t>
  </si>
  <si>
    <t>CCCCCCCCCCCCCCCOOCCOCCOCCOCCOCCOCCOCCOCC</t>
  </si>
  <si>
    <t>InChI=1S/C31H64O9/c1-3-5-6-7-8-9-10-11-12-13-14-15-16-17-39-40-31-30-38-29-28-37-27-26-36-25-24-35-23-22-34-21-20-33-19-18-32-4-2/h3-31H2,1-2H3</t>
  </si>
  <si>
    <t>RAGOEDPJVNKGJZ-UHFFFAOYSA-N</t>
  </si>
  <si>
    <t>CCCCCCCCCCCCCCCOS(=O)(=O)[O-].[Na+]</t>
  </si>
  <si>
    <t>sodium-pentadecyl-sulfate</t>
  </si>
  <si>
    <t>InChI=1S/C15H32O4S.Na/c1-2-3-4-5-6-7-8-9-10-11-12-13-14-15-19-20(16,17)18;/h2-15H2,1H3,(H,16,17,18);/q;+1/p-1</t>
  </si>
  <si>
    <t>SMECTXYFLVLAJE-UHFFFAOYSA-M</t>
  </si>
  <si>
    <t>CCCCCCCCCCCCCCCS(=O)(=O)[O-].[Na+]</t>
  </si>
  <si>
    <t>sodium-pentadecane-1-sulfonat</t>
  </si>
  <si>
    <t>InChI=1S/C15H32O3S.Na/c1-2-3-4-5-6-7-8-9-10-11-12-13-14-15-19(16,17)18;/h2-15H2,1H3,(H,16,17,18);/q;+1/p-1</t>
  </si>
  <si>
    <t>PLQISZLZPSPBDP-UHFFFAOYSA-M</t>
  </si>
  <si>
    <t>CCCCCCCCCCCCCCC[N+](C)(C)CCCCNC[N+](C)(C)CCCCCCCCCCCCCCC.[Br-].[Br-]</t>
  </si>
  <si>
    <t>InChI=1S/C39H85N3.2BrH/c1-7-9-11-13-15-17-19-21-23-25-27-29-32-36-41(3,4)37-34-31-35-40-39-42(5,6)38-33-30-28-26-24-22-20-18-16-14-12-10-8-2;;/h40H,7-39H2,1-6H3;2*1H/q+2;;/p-2</t>
  </si>
  <si>
    <t>BZUHHVVMUKQWFJ-UHFFFAOYSA-L</t>
  </si>
  <si>
    <t>CCCCCCCCCCCCCCC[N+](C)(C)CCN(C)CC[N+](C)(C)CCCCCCCCCCCCCCC.[Br-].[Br-]</t>
  </si>
  <si>
    <t>N,N'-bis(pentadecyldimethyl)-3-N-methyl-1,5-pentanediammoniumdibromide</t>
  </si>
  <si>
    <t>InChI=1S/C39H85N3.2BrH/c1-8-10-12-14-16-18-20-22-24-26-28-30-32-36-41(4,5)38-34-40(3)35-39-42(6,7)37-33-31-29-27-25-23-21-19-17-15-13-11-9-2;;/h8-39H2,1-7H3;2*1H/q+2;;/p-2</t>
  </si>
  <si>
    <t>XNUSGPRXBYZVLV-UHFFFAOYSA-L</t>
  </si>
  <si>
    <t>CCCCCCCCCCCCCCC[N+]1(CCC#CCC[N+]2(CCCCCCCCCCCCCCC)CCCC2)CCCC1.[Br-].[Br-]</t>
  </si>
  <si>
    <t>InChI=1S/C44H86N2.2BrH/c1-3-5-7-9-11-13-15-17-19-21-23-25-29-37-45(41-33-34-42-45)39-31-27-28-32-40-46(43-35-36-44-46)38-30-26-24-22-20-18-16-14-12-10-8-6-4-2;;/h3-26,29-44H2,1-2H3;2*1H/q+2;;/p-2</t>
  </si>
  <si>
    <t>JRLPBUIVRCNTOL-UHFFFAOYSA-L</t>
  </si>
  <si>
    <t>CCCCCCCCCCCCCCC[n+]1ccccc1.[Br-]</t>
  </si>
  <si>
    <t>1-pentadecylpyridin-1-ium-bromide</t>
  </si>
  <si>
    <t>InChI=1S/C20H36N.BrH/c1-2-3-4-5-6-7-8-9-10-11-12-13-15-18-21-19-16-14-17-20-21;/h14,16-17,19-20H,2-13,15,18H2,1H3;1H/q+1;/p-1</t>
  </si>
  <si>
    <t>CTKQHXPMKKCCTJ-UHFFFAOYSA-M</t>
  </si>
  <si>
    <t>4-pentadecylpyridin-1-ium-bromide</t>
  </si>
  <si>
    <t>InChI=1S/C20H35N.BrH/c1-2-3-4-5-6-7-8-9-10-11-12-13-14-15-20-16-18-21-19-17-20;/h16-19H,2-15H2,1H3;1H</t>
  </si>
  <si>
    <t>OKPSRCJDRIPXJV-UHFFFAOYSA-N</t>
  </si>
  <si>
    <t>CCCCCCCCCCCCCCN(C)C(=O)C(O)C(O)C(O)C(O)CO</t>
  </si>
  <si>
    <t>InChI=1S/C21H43NO6/c1-3-4-5-6-7-8-9-10-11-12-13-14-15-22(2)21(28)20(27)19(26)18(25)17(24)16-23/h17-20,23-27H,3-16H2,1-2H3</t>
  </si>
  <si>
    <t>OGUODBFRSCMWFE-UHFFFAOYSA-N</t>
  </si>
  <si>
    <t>CCCCCCCCCCCCCCN(C(C(C(C(C(CO)O)O)O)O)=O)C</t>
  </si>
  <si>
    <t>InChI=1S/C20H41NO5/c1-3-4-5-6-7-8-9-10-11-12-13-14-15-21(2)20(23)16-24-18-26-19-25-17-22/h22H,3-19H2,1-2H3</t>
  </si>
  <si>
    <t>SCGVDAGTKKHCNB-UHFFFAOYSA-N</t>
  </si>
  <si>
    <t>CCCCCCCCCCCCCCN(C)C(=O)[C@H](O)[C@@H](O)[C@H](O)[C@H](O)CO</t>
  </si>
  <si>
    <t>N-tetradecyl-N-methylgluconamide</t>
  </si>
  <si>
    <t>InChI=1S/C21H43NO6/c1-3-4-5-6-7-8-9-10-11-12-13-14-15-22(2)21(28)20(27)19(26)18(25)17(24)16-23/h17-20,23-27H,3-16H2,1-2H3/t17-,18-,19+,20-/m1/s1</t>
  </si>
  <si>
    <t>OGUODBFRSCMWFE-YSTOQKLRSA-N</t>
  </si>
  <si>
    <t>CCCCCCCCCCCCCCN(C([C@@H]([C@H]([C@@H]([C@@H](CO)O)O[C@@H]1O[C@@H]([C@H]([C@@H]([C@H]1O)O)O)CO)O)O)=O)C</t>
  </si>
  <si>
    <t>N-tetradecyl-N-methyllactobionamide</t>
  </si>
  <si>
    <t>InChI=1S/C27H53NO10/c1-4-5-6-7-8-9-10-11-12-13-14-15-16-28(3)26(36)23(34)22(33)25(19(30)17-29)38-27-24(35)21(32)20(31)18(2)37-27/h18-25,27,29-35H,4-17H2,1-3H3/t18-,19-,20+,21+,22-,23-,24-,25-,27+/m1/s1</t>
  </si>
  <si>
    <t>DVYQCQIOAZSVGO-FGIGEDFMSA-N</t>
  </si>
  <si>
    <t>CCCCCCCCCCCCCCN=Cc1ccc([N+](C)(CC)CC)cc1.[I-]</t>
  </si>
  <si>
    <t>4-diethylaminobenzaldehyde-1-tetradecylamine</t>
  </si>
  <si>
    <t>InChI=1S/C26H47N2.HI/c1-5-8-9-10-11-12-13-14-15-16-17-18-23-27-24-25-19-21-26(22-20-25)28(4,6-2)7-3;/h19-22,24H,5-18,23H2,1-4H3;1H/q+1;/p-1</t>
  </si>
  <si>
    <t>FNWVTMRXWQATES-UHFFFAOYSA-M</t>
  </si>
  <si>
    <t>CCCCCCCCCCCCCCNC(=O)C(O)C(O)C(OC1OC(O)C(O)C(O)C1O)C(O)CO</t>
  </si>
  <si>
    <t>InChI=1S/C25H49NO11/c1-2-3-4-5-6-7-8-9-10-11-12-13-14-26-23(34)19(31)18(30)22(16(28)15-27)36-25-21(33)17(29)20(32)24(35)37-25/h16-22,24-25,27-33,35H,2-15H2,1H3,(H,26,34)</t>
  </si>
  <si>
    <t>NLPSAHVBAOSJCB-UHFFFAOYSA-N</t>
  </si>
  <si>
    <t>CCCCCCCCCCCCCCNC(C([NH3+])CCCNC(N)=[NH2+])=O.[Cl-].[Cl-]</t>
  </si>
  <si>
    <t>Arginine-N-octylamidedihydrochloride</t>
  </si>
  <si>
    <t>InChI=1S/C20H41N5O.2ClH/c1-2-3-4-5-6-7-8-9-10-11-12-13-16-24-19(26)18(21)15-14-17-25-20(22)23;;/h18,20,25H,2-17,22H2,1H3,(H,24,26);2*1H/q+2;;/p-2</t>
  </si>
  <si>
    <t>GZDXXBRLTTURFE-UHFFFAOYSA-L</t>
  </si>
  <si>
    <t>CCCCCCCCCCCCCCNC(=O)C[N+](C)(C)CCNC(=O)COc1ccccc1.[Cl-]</t>
  </si>
  <si>
    <t>N-tetradecylcaramoylmethyl-N-[2-(2-phenoxyacetamido)-ethyl]-N,Ndimethylammoniumchloride</t>
  </si>
  <si>
    <t>InChI=1S/C28H49N3O3.ClH/c1-4-5-6-7-8-9-10-11-12-13-14-18-21-29-27(32)24-31(2,3)23-22-30-28(33)25-34-26-19-16-15-17-20-26;/h15-17,19-20H,4-14,18,21-25H2,1-3H3,(H-,29,30,32,33);1H</t>
  </si>
  <si>
    <t>GHIMACXJMLXXHP-UHFFFAOYSA-N</t>
  </si>
  <si>
    <t>CCCCCCCCCCCCCCOC(=O)CCS(=O)(=O)[O-].[Na+]</t>
  </si>
  <si>
    <t>InChI=1S/C17H34O5S.Na/c1-2-3-4-5-6-7-8-9-10-11-12-13-15-22-17(18)14-16-23(19,20)21;/h2-16H2,1H3,(H,19,20,21);/q;+1/p-1</t>
  </si>
  <si>
    <t>FSNHZBRUMZTCAL-UHFFFAOYSA-M</t>
  </si>
  <si>
    <t>CCCCCCCCCCCCCCOC(=O)CS(=O)(=O)[O-].[Na+]</t>
  </si>
  <si>
    <t>sodium-2-oxo-2-tetradecoxyethanesulfonate</t>
  </si>
  <si>
    <t>InChI=1S/C16H32O5S.Na/c1-2-3-4-5-6-7-8-9-10-11-12-13-14-21-16(17)15-22(18,19)20;/h2-15H2,1H3,(H,18,19,20);/q;+1/p-1</t>
  </si>
  <si>
    <t>IIJXVXYJSCOOAR-UHFFFAOYSA-M</t>
  </si>
  <si>
    <t>CCCCCCCCCCCCCCOC(=O)C[N+](C)(C)CCCN=Cc1ccccc1O.[Cl-]</t>
  </si>
  <si>
    <t>InChI=1S/C28H48N2O3.ClH/c1-4-5-6-7-8-9-10-11-12-13-14-17-23-33-28(32)25-30(2,3)22-18-21-29-24-26-19-15-16-20-27(26)31;/h15-16,19-20,24H,4-14,17-18,21-23,25H2,1-3H3;1H</t>
  </si>
  <si>
    <t>IDLXNPBSSKLFOC-UHFFFAOYSA-N</t>
  </si>
  <si>
    <t>CCCCCCCCCCCCCCOC(=O)C[N+]1(C)CCCC1.[Br-]</t>
  </si>
  <si>
    <t>1-Methyl-1-(2-oxo-2-(tetradecyloxy)ethyl)pyrrolidin-1-iumbromide</t>
  </si>
  <si>
    <t>InChI=1S/C21H42NO2.BrH/c1-3-4-5-6-7-8-9-10-11-12-13-16-19-24-21(23)20-22(2)17-14-15-18-22;/h3-20H2,1-2H3;1H/q+1;/p-1</t>
  </si>
  <si>
    <t>SKIOOOMZYAUWMM-UHFFFAOYSA-M</t>
  </si>
  <si>
    <t>CCCCCCCCCCCCCCOC(=O)C[N+]1(C)CCCC1.[Cl-]</t>
  </si>
  <si>
    <t>1-Methyl-1-(2-oxo-2-(tetradecyloxy)ethyl)pyrrolidin-1-iumchloride</t>
  </si>
  <si>
    <t>InChI=1S/C21H42NO2.ClH/c1-3-4-5-6-7-8-9-10-11-12-13-16-19-24-21(23)20-22(2)17-14-15-18-22;/h3-20H2,1-2H3;1H/q+1;/p-1</t>
  </si>
  <si>
    <t>ADEBXFPWHLVVEI-UHFFFAOYSA-M</t>
  </si>
  <si>
    <t>CCCCCCCCCCCCCCOC(=O)C[n+]1c(N=Cc2ccc(OC)cc2)sc2ccccc21.[Br-]</t>
  </si>
  <si>
    <t>2-[(4-methoxybenzylidene)amino]-3-(2-oxo-2-tetradecyloxyethyl)-1,3-benzothiazol-3-iumBromide</t>
  </si>
  <si>
    <t>InChI=1S/C31H43N2O3S.BrH/c1-3-4-5-6-7-8-9-10-11-12-13-16-23-36-30(34)25-33-28-17-14-15-18-29(28)37-31(33)32-24-26-19-21-27(35-2)22-20-26;/h14-15,17-22,24H,3-13,16,23,25H2,1-2H3;1H/q+1;/p-1</t>
  </si>
  <si>
    <t>WSMYJAHKSPXCGW-UHFFFAOYSA-M</t>
  </si>
  <si>
    <t>CCCCCCCCCCCCCCOC(=O)C[n+]1c(N=Cc2ccccc2)sc2ccccc21.[Br-]</t>
  </si>
  <si>
    <t>2-(benzylideneamino)-3-(2-oxo-2-tetradecyloxyethyl)-1,3-benzothiazol-3-iumbromide</t>
  </si>
  <si>
    <t>InChI=1S/C30H41N2O2S.BrH/c1-2-3-4-5-6-7-8-9-10-11-12-18-23-34-29(33)25-32-27-21-16-17-22-28(27)35-30(32)31-24-26-19-14-13-15-20-26;/h13-17,19-22,24H,2-12,18,23,25H2,1H3;1H/q+1;/p-1</t>
  </si>
  <si>
    <t>ZQOXUKAFGKHKIE-UHFFFAOYSA-M</t>
  </si>
  <si>
    <t>CCCCCCCCCCCCCCOC(=O)C[n+]1ccc(CCCc2cc[n+](CC(=O)OCCCCCCCCCCCCCC)cc2)cc1.[Br-].[Br-]</t>
  </si>
  <si>
    <t>InChI=1S/C45H76N2O4.2BrH/c1-3-5-7-9-11-13-15-17-19-21-23-25-38-50-44(48)40-46-34-30-42(31-35-46)28-27-29-43-32-36-47(37-33-43)41-45(49)51-39-26-24-22-20-18-16-14-12-10-8-6-4-2;;/h30-37H,3-29,38-41H2,1-2H3;2*1H/q+2;;/p-2</t>
  </si>
  <si>
    <t>JFQZSZAEHNRQBJ-UHFFFAOYSA-L</t>
  </si>
  <si>
    <t>CCCCCCCCCCCCCCOC(=O)C[n+]1ccc(CCCc2cc[n+](CC(=O)OCCCCCCCCCCCCCC)cc2)cc1.[Cl-].[Cl-]</t>
  </si>
  <si>
    <t>InChI=1S/C45H76N2O4.2ClH/c1-3-5-7-9-11-13-15-17-19-21-23-25-38-50-44(48)40-46-34-30-42(31-35-46)28-27-29-43-32-36-47(37-33-43)41-45(49)51-39-26-24-22-20-18-16-14-12-10-8-6-4-2;;/h30-37H,3-29,38-41H2,1-2H3;2*1H/q+2;;/p-2</t>
  </si>
  <si>
    <t>WVCDNJXRCHSODY-UHFFFAOYSA-L</t>
  </si>
  <si>
    <t>CCCCCCCCCCCCCCOC(=O)C[n+]1oc(C)cc1N=Cc1ccccc1.[Br-]</t>
  </si>
  <si>
    <t>InChI=1S/C27H41N2O3.BrH/c1-3-4-5-6-7-8-9-10-11-12-13-17-20-31-27(30)23-29-26(21-24(2)32-29)28-22-25-18-15-14-16-19-25;/h14-16,18-19,21-22H,3-13,17,20,23H2,1-2H3;1H/q+1;/p-1</t>
  </si>
  <si>
    <t>FHPDRZLMDSDNPW-UHFFFAOYSA-M</t>
  </si>
  <si>
    <t>CCCCCCCCCCCCCCOCC(CCC[N+](C)(C)C)(CCC[N+](C)(C)C)COCCCCCCCCCCCCCC.[I-].[I-]</t>
  </si>
  <si>
    <t>10.1016/j.jcis.2014.02.017</t>
  </si>
  <si>
    <t>4,4-bis(tetradecyloxymethyl)-N,N,N,N',N',N'-hexamethyl-1,7-heptanediammoniumdiiodide</t>
  </si>
  <si>
    <t>InChI=1S/C43H92N2O2.2HI/c1-9-11-13-15-17-19-21-23-25-27-29-31-39-46-41-43(35-33-37-44(3,4)5,36-34-38-45(6,7)8)42-47-40-32-30-28-26-24-22-20-18-16-14-12-10-2;;/h9-42H2,1-8H3;2*1H/q+2;;/p-2</t>
  </si>
  <si>
    <t>YGSITQQXHBITSG-UHFFFAOYSA-L</t>
  </si>
  <si>
    <t>CCCCCCCCCCCCCCOCC(CC[N+](C)(C)C)(CC[N+](C)(C)C)COCCCCCCCCCCCCCC.[I-].[I-]</t>
  </si>
  <si>
    <t>3,3-bis(tetradecyloxymethyl)-N,N,N,N',N',N'-hexamethyl-1,5-pentanediammoniumdiiodide</t>
  </si>
  <si>
    <t>InChI=1S/C41H88N2O2.2HI/c1-9-11-13-15-17-19-21-23-25-27-29-31-37-44-39-41(33-35-42(3,4)5,34-36-43(6,7)8)40-45-38-32-30-28-26-24-22-20-18-16-14-12-10-2;;/h9-40H2,1-8H3;2*1H/q+2;;/p-2</t>
  </si>
  <si>
    <t>VEBWVPKAVBJTAQ-UHFFFAOYSA-L</t>
  </si>
  <si>
    <t>CCCCCCCCCCCCCCOCC(COCCCCCCCCCCCCCC)(COCCC[N+](C)(C)C)COCCC[N+](C)(C)C.[I-].[I-]</t>
  </si>
  <si>
    <t>6,6-bis(tetradecyloxymethyl)-N,N,N,N',N',N'-hexamethyl-4,8-dioxa-1,11-undecanediammoniumdiiodide</t>
  </si>
  <si>
    <t>InChI=1S/C45H96N2O4.2HI/c1-9-11-13-15-17-19-21-23-25-27-29-31-37-48-41-45(43-50-39-33-35-46(3,4)5,44-51-40-34-36-47(6,7)8)42-49-38-32-30-28-26-24-22-20-18-16-14-12-10-2;;/h9-44H2,1-8H3;2*1H/q+2;;/p-2</t>
  </si>
  <si>
    <t>WRPAAUSGECEFAD-UHFFFAOYSA-L</t>
  </si>
  <si>
    <t>CCCCCCCCCCCCCCOCC(COCCCCCCCCCCCCCC)(COCC[N+](C)(C)C)COCC[N+](C)(C)C.[I-].[I-]</t>
  </si>
  <si>
    <t>5,5-bis(tetradecyloxymethyl)-N,N,N,N',N',N'-hexamethyl-3,7-dioxa-1,9-nonanediammoniumdiiodide</t>
  </si>
  <si>
    <t>InChI=1S/C43H92N2O4.2HI/c1-9-11-13-15-17-19-21-23-25-27-29-31-35-46-39-43(41-48-37-33-44(3,4)5,42-49-38-34-45(6,7)8)40-47-36-32-30-28-26-24-22-20-18-16-14-12-10-2;;/h9-42H2,1-8H3;2*1H/q+2;;/p-2</t>
  </si>
  <si>
    <t>XLRMJHJBKUJBMJ-UHFFFAOYSA-L</t>
  </si>
  <si>
    <t>CCCCCCCCCCCCCCOCC(COCCCCCCCCCCCCCC)(C[N+](C)(C)C)C[N+](C)(C)C.[I-].[I-]</t>
  </si>
  <si>
    <t>2,2-bis(tetradecyloxymethyl)-N,N,N,N',N',N'-hexamethyl-1,3-propanediammoniumdiiodide</t>
  </si>
  <si>
    <t>InChI=1S/C39H84N2O2.2HI/c1-9-11-13-15-17-19-21-23-25-27-29-31-33-42-37-39(35-40(3,4)5,36-41(6,7)8)38-43-34-32-30-28-26-24-22-20-18-16-14-12-10-2;;/h9-38H2,1-8H3;2*1H/q+2;;/p-2</t>
  </si>
  <si>
    <t>RWICAXKOCLZKHQ-UHFFFAOYSA-L</t>
  </si>
  <si>
    <t>CCCCCCCCCCCCCCOCC(O)C[N+](C)(C)CCCC[N+](C)(C)CC(O)COCCCCCCCCCCCCCC.[Br-].[Br-]</t>
  </si>
  <si>
    <t>Butanediyl-bis[N-(3-tetradecoxyl-2-hydroxy)propyl-N,NdimethylammoniumBromide]</t>
  </si>
  <si>
    <t>InChI=1S/C42H90N2O4.2BrH/c1-7-9-11-13-15-17-19-21-23-25-27-31-35-47-39-41(45)37-43(3,4)33-29-30-34-44(5,6)38-42(46)40-48-36-32-28-26-24-22-20-18-16-14-12-10-8-2;;/h41-42,45-46H,7-40H2,1-6H3;2*1H/q+2;;/p-2</t>
  </si>
  <si>
    <t>GPDKHRCJRHGSIS-UHFFFAOYSA-L</t>
  </si>
  <si>
    <t>CCCCCCCCCCCCCCOCC(O)C[n+]1ccn(C)c1.[Br-]</t>
  </si>
  <si>
    <t>3-(3-(hexadecyloxy)-2-hydroxypropyl)-1-methyl-1Himidazol-3-iumchloride</t>
  </si>
  <si>
    <t>InChI=1S/C21H41N2O2.BrH/c1-3-4-5-6-7-8-9-10-11-12-13-14-17-25-19-21(24)18-23-16-15-22(2)20-23;/h15-16,20-21,24H,3-14,17-19H2,1-2H3;1H/q+1;/p-1</t>
  </si>
  <si>
    <t>MIIZPQNTBYCJGT-UHFFFAOYSA-M</t>
  </si>
  <si>
    <t>CCCCCCCCCCCCCCOCC(O)C[n+]1ccn(C)c1.[Cl-]</t>
  </si>
  <si>
    <t>3-(3-(dodecyloxy)-2-hydroxypropyl)-1-methyl-1H-imidazol3-iumbromide</t>
  </si>
  <si>
    <t>InChI=1S/C21H41N2O2.ClH/c1-3-4-5-6-7-8-9-10-11-12-13-14-17-25-19-21(24)18-23-16-15-22(2)20-23;/h15-16,20-21,24H,3-14,17-19H2,1-2H3;1H/q+1;/p-1</t>
  </si>
  <si>
    <t>ZKYZUOHUDUKADK-UHFFFAOYSA-M</t>
  </si>
  <si>
    <t>CCCCCCCCCCCCCCOCC(O)Cn1cc[n+](CCC)c1.[Br-]</t>
  </si>
  <si>
    <t>1-(3-Tetradecyloxy)-2-hydroxypropyl)-3-propyl-1H-imidazol-3-iumbromide</t>
  </si>
  <si>
    <t>InChI=1S/C23H45N2O2.BrH/c1-3-5-6-7-8-9-10-11-12-13-14-15-19-27-21-23(26)20-25-18-17-24(22-25)16-4-2;/h17-18,22-23,26H,3-16,19-21H2,1-2H3;1H/q+1;/p-1</t>
  </si>
  <si>
    <t>RATQSAWZOSLCCC-UHFFFAOYSA-M</t>
  </si>
  <si>
    <t>CCCCCCCCCCCCCCOCC(O)Cn1cc[n+](CCC)c1.[Cl-]</t>
  </si>
  <si>
    <t>1-(3-(Tetradecyloxy)-2-hydroxypropyl)-3-propyl-1H-imidazol-3-iumchloride</t>
  </si>
  <si>
    <t>InChI=1S/C23H45N2O2.ClH/c1-3-5-6-7-8-9-10-11-12-13-14-15-19-27-21-23(26)20-25-18-17-24(22-25)16-4-2;/h17-18,22-23,26H,3-16,19-21H2,1-2H3;1H/q+1;/p-1</t>
  </si>
  <si>
    <t>HBQCVAQPTPFAGX-UHFFFAOYSA-M</t>
  </si>
  <si>
    <t>CCCCCCCCCCCCCCOCC(O)Cn1cc[n+](CCC[n+]2ccn(CC(O)COCCCCCCCCCCCCCC)c2)c1.[Br-].[Br-]</t>
  </si>
  <si>
    <t>1,3-bis(1(3-alkoxy-2-hydroxypropyl)-1H-imidazol-3-ium)propanebromide</t>
  </si>
  <si>
    <t>InChI=1S/C43H82N4O4.2BrH/c1-3-5-7-9-11-13-15-17-19-21-23-25-34-50-38-42(48)36-46-32-30-44(40-46)28-27-29-45-31-33-47(41-45)37-43(49)39-51-35-26-24-22-20-18-16-14-12-10-8-6-4-2;;/h30-33,40-43,48-49H,3-29,34-39H2,1-2H3;2*1H/q+2;;/p-2</t>
  </si>
  <si>
    <t>DYXOBTJZDPSKQQ-UHFFFAOYSA-L</t>
  </si>
  <si>
    <t>CCCCCCCCCCCCCCOCC(O)Cn1cc[n+](CC[n+]2ccn(CC(O)COCCCCCCCCCCCCCC)c2)c1.[Br-].[Br-]</t>
  </si>
  <si>
    <t>1,2-bis(1(3-alkoxy2-hydroxypropyl)-1H-imidazol-3-ium)ethanebromide</t>
  </si>
  <si>
    <t>InChI=1S/C42H80N4O4.2BrH/c1-3-5-7-9-11-13-15-17-19-21-23-25-33-49-37-41(47)35-45-31-29-43(39-45)27-28-44-30-32-46(40-44)36-42(48)38-50-34-26-24-22-20-18-16-14-12-10-8-6-4-2;;/h29-32,39-42,47-48H,3-28,33-38H2,1-2H3;2*1H/q+2;;/p-2</t>
  </si>
  <si>
    <t>NPFGCLJKDLBGBI-UHFFFAOYSA-L</t>
  </si>
  <si>
    <t>CCCCCCCCCCCCCCOCCOCCOCCOCCOCCOCCO</t>
  </si>
  <si>
    <t>10.1039/F19757100217</t>
  </si>
  <si>
    <t>2-[2-[2-[2-[2-(2-tetradecoxyethoxy)ethoxy]ethoxy]ethoxy]ethoxy]ethanol</t>
  </si>
  <si>
    <t>InChI=1S/C26H54O7/c1-2-3-4-5-6-7-8-9-10-11-12-13-15-28-17-19-30-21-23-32-25-26-33-24-22-31-20-18-29-16-14-27/h27H,2-26H2,1H3</t>
  </si>
  <si>
    <t>CMOAVXMJUDBIST-UHFFFAOYSA-N</t>
  </si>
  <si>
    <t>2-[2-[2-[2-[2-[2-[2-(2-tetradecoxyethoxy)ethoxy]ethoxy]ethoxy]ethoxy]ethoxy]ethoxy]ethanol</t>
  </si>
  <si>
    <t>InChI=1S/C30H62O9/c1-2-3-4-5-6-7-8-9-10-11-12-13-15-32-17-19-34-21-23-36-25-27-38-29-30-39-28-26-37-24-22-35-20-18-33-16-14-31/h31H,2-30H2,1H3</t>
  </si>
  <si>
    <t>NHHAZFYVKWSFIR-UHFFFAOYSA-N</t>
  </si>
  <si>
    <t>CCCCCCCCCCCCCCOCCOCC[N+](C)(C)C.[Br-]</t>
  </si>
  <si>
    <t>InChI=1S/C21H46NO2.BrH/c1-5-6-7-8-9-10-11-12-13-14-15-16-18-23-20-21-24-19-17-22(2,3)4;/h5-21H2,1-4H3;1H/q+1;/p-1</t>
  </si>
  <si>
    <t>LHOKBJRWWDDYBF-UHFFFAOYSA-M</t>
  </si>
  <si>
    <t>CCCCCCCCCCCCCCOCCOS(=O)(=O)[O-].[Na+]</t>
  </si>
  <si>
    <t>sodium-2-tetradecoxyethylsulfate</t>
  </si>
  <si>
    <t>InChI=1S/C16H34O5S.Na/c1-2-3-4-5-6-7-8-9-10-11-12-13-14-20-15-16-21-22(17,18)19;/h2-16H2,1H3,(H,17,18,19);/q;+1/p-1</t>
  </si>
  <si>
    <t>XYWGYCTUGYVSIZ-UHFFFAOYSA-M</t>
  </si>
  <si>
    <t>CCCCCCCCCCCCCCOOCCOCCOCCOCCOCCOCC</t>
  </si>
  <si>
    <t>InChI=1S/C26H54O7/c1-3-5-6-7-8-9-10-11-12-13-14-15-16-32-33-26-25-31-24-23-30-22-21-29-20-19-28-18-17-27-4-2/h3-26H2,1-2H3</t>
  </si>
  <si>
    <t>DSSGBKKPNVBAFX-UHFFFAOYSA-N</t>
  </si>
  <si>
    <t>CCCCCCCCCCCCCCOOCCOCCOCCOCCOCCOCCOCCOCC</t>
  </si>
  <si>
    <t>InChI=1S/C30H62O9/c1-3-5-6-7-8-9-10-11-12-13-14-15-16-38-39-30-29-37-28-27-36-26-25-35-24-23-34-22-21-33-20-19-32-18-17-31-4-2/h3-30H2,1-2H3</t>
  </si>
  <si>
    <t>YLEFIWXVPMJAAX-UHFFFAOYSA-N</t>
  </si>
  <si>
    <t>CCCCCCCCCCCCCCOOCCOCCOCCOCCOCCOCCOCCOCCOCC</t>
  </si>
  <si>
    <t>InChI=1S/C32H66O10/c1-3-5-6-7-8-9-10-11-12-13-14-15-16-41-42-32-31-40-30-29-39-28-27-38-26-25-37-24-23-36-22-21-35-20-19-34-18-17-33-4-2/h3-32H2,1-2H3</t>
  </si>
  <si>
    <t>BENHQGBEPLZYIX-UHFFFAOYSA-N</t>
  </si>
  <si>
    <t>CCCCCCCCCCCCCCOP(=O)([O-])OCC[N+](C)(C)CCCCCCCC</t>
  </si>
  <si>
    <t>InChI=1S/C26H56NO4P/c1-5-7-9-11-13-14-15-16-17-18-20-22-25-30-32(28,29)31-26-24-27(3,4)23-21-19-12-10-8-6-2/h5-26H2,1-4H3</t>
  </si>
  <si>
    <t>WOGOTDVDKZZNLM-UHFFFAOYSA-N</t>
  </si>
  <si>
    <t>CCCCCCCCCCCCCCOP(=O)([O-])OCC[N+](C)(C)CCCCCCCCCC</t>
  </si>
  <si>
    <t>InChI=1S/C28H60NO4P/c1-5-7-9-11-13-15-16-17-18-20-22-24-27-32-34(30,31)33-28-26-29(3,4)25-23-21-19-14-12-10-8-6-2/h5-28H2,1-4H3</t>
  </si>
  <si>
    <t>PQWGVLCLJHYCIT-UHFFFAOYSA-N</t>
  </si>
  <si>
    <t>CCCCCCCCCCCCCCOP(=O)([O-])OCC[N+](C)(C)CCCCCCCCCCCC</t>
  </si>
  <si>
    <t>InChI=1S/C30H64NO4P/c1-5-7-9-11-13-15-17-18-20-22-24-26-29-34-36(32,33)35-30-28-31(3,4)27-25-23-21-19-16-14-12-10-8-6-2/h5-30H2,1-4H3</t>
  </si>
  <si>
    <t>RWLDGUNRSZFPCW-UHFFFAOYSA-N</t>
  </si>
  <si>
    <t>CCCCCCCCCCCCCCOS(=O)(=O)[O-].[Na+]</t>
  </si>
  <si>
    <t>sodium-tetradecylsulfate</t>
  </si>
  <si>
    <t>InChI=1S/C14H30O4S.Na/c1-2-3-4-5-6-7-8-9-10-11-12-13-14-18-19(15,16)17;/h2-14H2,1H3,(H,15,16,17);/q;+1/p-1</t>
  </si>
  <si>
    <t>UPUIQOIQVMNQAP-UHFFFAOYSA-M</t>
  </si>
  <si>
    <t>CCCCCCCCCCCCCCOc1ccc(C[n+]2ccn(C)c2)cc1.[Br-]</t>
  </si>
  <si>
    <t>InChI=1S/C25H41N2O.BrH/c1-3-4-5-6-7-8-9-10-11-12-13-14-21-28-25-17-15-24(16-18-25)22-27-20-19-26(2)23-27;/h15-20,23H,3-14,21-22H2,1-2H3;1H/q+1;/p-1</t>
  </si>
  <si>
    <t>JPWDQPBXHIYHBC-UHFFFAOYSA-M</t>
  </si>
  <si>
    <t>CCCCCCCCCCCCCCOc1ccc(C[n+]2ccn(CCCCCCn3cc[n+](Cc4ccc(OCCCCCCCCCCCCCC)cc4)c3)c2)cc1.[Br-].[Br-]</t>
  </si>
  <si>
    <t>InChI=1S/C54H88N4O2.2BrH/c1-3-5-7-9-11-13-15-17-19-21-25-29-45-59-53-35-31-51(32-36-53)47-57-43-41-55(49-57)39-27-23-24-28-40-56-42-44-58(50-56)48-52-33-37-54(38-34-52)60-46-30-26-22-20-18-16-14-12-10-8-6-4-2;;/h31-38,41-44,49-50H,3-30,39-40,45-48H2,1-2H3;2*1H/q+2;;/p-2</t>
  </si>
  <si>
    <t>QNDWWIVCNWQLQA-UHFFFAOYSA-L</t>
  </si>
  <si>
    <t>CCCCCCCCCCCCCCOc1ccc(C[n+]2ccn(CCCn3cc[n+](Cc4ccc(OCCCCCCCCCCCCCC)cc4)c3)c2)cc1.[Br-].[Br-]</t>
  </si>
  <si>
    <t>InChI=1S/C51H82N4O2.2BrH/c1-3-5-7-9-11-13-15-17-19-21-23-25-42-56-50-32-28-48(29-33-50)44-54-40-38-52(46-54)36-27-37-53-39-41-55(47-53)45-49-30-34-51(35-31-49)57-43-26-24-22-20-18-16-14-12-10-8-6-4-2;;/h28-35,38-41,46-47H,3-27,36-37,42-45H2,1-2H3;2*1H/q+2;;/p-2</t>
  </si>
  <si>
    <t>LTIAEVWJZDIYIS-UHFFFAOYSA-L</t>
  </si>
  <si>
    <t>CCCCCCCCCCCCCCOc1ccc(NC(=O)C[N+](C)(C)CCCCCC[N+](C)(C)CC(=O)Nc2ccc(OCCCCCCCCCCCCCC)cc2)cc1.[Br-].[Br-]</t>
  </si>
  <si>
    <t>N,N,Nâ€²,Nâ€²-tetramethyltetradecylenediaminewith2-bromo-N-(4-(hexyloxy)phenyl)acetamide</t>
  </si>
  <si>
    <t>InChI=1S/C54H94N4O4.2BrH/c1-7-9-11-13-15-17-19-21-23-25-29-33-45-61-51-39-35-49(36-40-51)55-53(59)47-57(3,4)43-31-27-28-32-44-58(5,6)48-54(60)56-50-37-41-52(42-38-50)62-46-34-30-26-24-22-20-18-16-14-12-10-8-2;;/h35-42H,7-34,43-48H2,1-6H3;2*1H</t>
  </si>
  <si>
    <t>NZWNASGZUKEYBD-UHFFFAOYSA-N</t>
  </si>
  <si>
    <t>CCCCCCCCCCCCCCOc1ccc(NC(=O)C[N+](C)(C)CCCC[N+](C)(C)CC(=O)Nc2ccc(OCCCCCCCCCCCCCC)cc2)cc1.[Br-].[Br-]</t>
  </si>
  <si>
    <t>N,N,Nâ€²,Nâ€²-tetramethyltetradecylenediaminewith2-bromo-N-(4-(butyloxy)phenyl)acetamide</t>
  </si>
  <si>
    <t>InChI=1S/C52H90N4O4.2BrH/c1-7-9-11-13-15-17-19-21-23-25-27-31-43-59-49-37-33-47(34-38-49)53-51(57)45-55(3,4)41-29-30-42-56(5,6)46-52(58)54-48-35-39-50(40-36-48)60-44-32-28-26-24-22-20-18-16-14-12-10-8-2;;/h33-40H,7-32,41-46H2,1-6H3;2*1H</t>
  </si>
  <si>
    <t>DZMJYKFMGNWWLH-UHFFFAOYSA-N</t>
  </si>
  <si>
    <t>CCCCCCCCCCCCCCOc1ccc(NC(=O)C[N+](C)(C)CC[N+](C)(C)CC(=O)Nc2ccc(OCCCCCCCCCCCCCC)cc2)cc1.[Br-].[Br-]</t>
  </si>
  <si>
    <t>N,N,Nâ€²,Nâ€²-tetramethyltetradecylenediaminewith2-bromo-N-(4-(ethyloxy)phenyl)acetamide</t>
  </si>
  <si>
    <t>InChI=1S/C50H86N4O4.2BrH/c1-7-9-11-13-15-17-19-21-23-25-27-29-41-57-47-35-31-45(32-36-47)51-49(55)43-53(3,4)39-40-54(5,6)44-50(56)52-46-33-37-48(38-34-46)58-42-30-28-26-24-22-20-18-16-14-12-10-8-2;;/h31-38H,7-30,39-44H2,1-6H3;2*1H</t>
  </si>
  <si>
    <t>HIQSQCOUANAPFW-UHFFFAOYSA-N</t>
  </si>
  <si>
    <t>CCCCCCCCCCCCCCOc1c[n+](CC(C[n+]2cc(OCCCCCCCCCCCCCC)ccc2)O)ccc1.[Br-].[Br-]</t>
  </si>
  <si>
    <t>10.1021/la5045267</t>
  </si>
  <si>
    <t>InChI=1S/C41H72N2O3/c1-3-5-7-9-11-13-15-17-19-21-23-25-33-45-40-29-27-31-42(37-40)35-39(44)36-43-32-28-30-41(38-43)46-34-26-24-22-20-18-16-14-12-10-8-6-4-2/h27-32,37-39,44H,3-26,33-36H2,1-2H3/q+2</t>
  </si>
  <si>
    <t>VCRXVCKGCULNFA-UHFFFAOYSA-N</t>
  </si>
  <si>
    <t>CCCCCCCCCCCCCCOc1ccc[n+](CC(O)C[n+]2cccc(OCCCCCCCCCCCCCC)c2)c1.[Br-].[Br-]</t>
  </si>
  <si>
    <t>InChI=1S/C41H72N2O3.2BrH/c1-3-5-7-9-11-13-15-17-19-21-23-25-33-45-40-29-27-31-42(37-40)35-39(44)36-43-32-28-30-41(38-43)46-34-26-24-22-20-18-16-14-12-10-8-6-4-2;;/h27-32,37-39,44H,3-26,33-36H2,1-2H3;2*1H/q+2;;/p-2</t>
  </si>
  <si>
    <t>SQNJOXNTIZNMJE-UHFFFAOYSA-L</t>
  </si>
  <si>
    <t>CCCCCCCCCCCCCCOc1ccc[n+](CCCCCC[n+]2cccc(OCCCCCCCCCCCCCC)c2)c1.[Br-].[Br-]</t>
  </si>
  <si>
    <t>10.1016/j.jcis.2013.11.059</t>
  </si>
  <si>
    <t>1,1'-(hexane-1,6-diyl)bis(3-(tetradecyloxy)pyridin-1-ium)bromide</t>
  </si>
  <si>
    <t>InChI=1S/C44H78N2O2.2BrH/c1-3-5-7-9-11-13-15-17-19-21-25-29-39-47-43-33-31-37-45(41-43)35-27-23-24-28-36-46-38-32-34-44(42-46)48-40-30-26-22-20-18-16-14-12-10-8-6-4-2;;/h31-34,37-38,41-42H,3-30,35-36,39-40H2,1-2H3;2*1H/q+2;;/p-2</t>
  </si>
  <si>
    <t>MJYSKZJRSGNYMA-UHFFFAOYSA-L</t>
  </si>
  <si>
    <t>CCCCCCCCCCCCCCOc1ccc[n+](CCCCC[n+]2cccc(OCCCCCCCCCCCCCC)c2)c1.[Br-].[Br-]</t>
  </si>
  <si>
    <t>1,1'-(pentane-1,5-diyl)bis(3-(tetradecyloxy)pyridin-1-ium)bromide</t>
  </si>
  <si>
    <t>InChI=1S/C43H76N2O2.2BrH/c1-3-5-7-9-11-13-15-17-19-21-23-28-38-46-42-32-30-36-44(40-42)34-26-25-27-35-45-37-31-33-43(41-45)47-39-29-24-22-20-18-16-14-12-10-8-6-4-2;;/h30-33,36-37,40-41H,3-29,34-35,38-39H2,1-2H3;2*1H/q+2;;/p-2</t>
  </si>
  <si>
    <t>CEOGJCHJNXGQRX-UHFFFAOYSA-L</t>
  </si>
  <si>
    <t>CCCCCCCCCCCCCCOc1ccc[n+](CCCC[n+]2cccc(OCCCCCCCCCCCCCC)c2)c1.[Br-].[Br-]</t>
  </si>
  <si>
    <t>1,1'-(butane-1,4-diyl)bis(3-(tetradecyloxy)pyridin-1-ium)bromide</t>
  </si>
  <si>
    <t>InChI=1S/C42H74N2O2.2BrH/c1-3-5-7-9-11-13-15-17-19-21-23-27-37-45-41-31-29-35-43(39-41)33-25-26-34-44-36-30-32-42(40-44)46-38-28-24-22-20-18-16-14-12-10-8-6-4-2;;/h29-32,35-36,39-40H,3-28,33-34,37-38H2,1-2H3;2*1H/q+2;;/p-2</t>
  </si>
  <si>
    <t>WLSBKDQPSSRLRI-UHFFFAOYSA-L</t>
  </si>
  <si>
    <t>CCCCCCCCCCCCCCOc1ccc[n+](CCC[n+]2cccc(OCCCCCCCCCCCCCC)c2)c1.[Br-].[Br-]</t>
  </si>
  <si>
    <t>InChI=1S/C41H72N2O2.2BrH/c1-3-5-7-9-11-13-15-17-19-21-23-25-36-44-40-30-27-32-42(38-40)34-29-35-43-33-28-31-41(39-43)45-37-26-24-22-20-18-16-14-12-10-8-6-4-2;;/h27-28,30-33,38-39H,3-26,29,34-37H2,1-2H3;2*1H/q+2;;/p-2</t>
  </si>
  <si>
    <t>MFLMJOQVACTZBS-UHFFFAOYSA-L</t>
  </si>
  <si>
    <t>CCCCCCCCCCCCCCOc1ccc[n+](CC[n+]2cccc(OCCCCCCCCCCCCCC)c2)c1.[Br-].[Br-]</t>
  </si>
  <si>
    <t>InChI=1S/C40H70N2O2.2BrH/c1-3-5-7-9-11-13-15-17-19-21-23-25-35-43-39-29-27-31-41(37-39)33-34-42-32-28-30-40(38-42)44-36-26-24-22-20-18-16-14-12-10-8-6-4-2;;/h27-32,37-38H,3-26,33-36H2,1-2H3;2*1H/q+2;;/p-2</t>
  </si>
  <si>
    <t>DDVQUIZCTDOTGL-UHFFFAOYSA-L</t>
  </si>
  <si>
    <t>CCCCCCCCCCCCCCS(=O)(=O)[O-].[Na+]</t>
  </si>
  <si>
    <t>sodium-tetradecane-1-sulfonate</t>
  </si>
  <si>
    <t>InChI=1S/C14H30O3S.Na/c1-2-3-4-5-6-7-8-9-10-11-12-13-14-18(15,16)17;/h2-14H2,1H3,(H,15,16,17);/q;+1/p-1</t>
  </si>
  <si>
    <t>AYFACLKQYVTXNS-UHFFFAOYSA-M</t>
  </si>
  <si>
    <t>CCCCCCCCCCCCCC[N+](C)(C)C.[Br-]</t>
  </si>
  <si>
    <t>['10.1016/j.colsurfa.2014.06.019', '10.1021/acs.jpcb.1c05264']</t>
  </si>
  <si>
    <t>['10.1016/j.colsurfa.2014.06.019', '10.1016/j.ces.2022.118208']</t>
  </si>
  <si>
    <t>tetradecyl-trimethyl-ammoniumbromide</t>
  </si>
  <si>
    <t>InChI=1S/C17H38N.BrH/c1-5-6-7-8-9-10-11-12-13-14-15-16-17-18(2,3)4;/h5-17H2,1-4H3;1H/q+1;/p-1</t>
  </si>
  <si>
    <t>CXRFDZFCGOPDTD-UHFFFAOYSA-M</t>
  </si>
  <si>
    <t>CCCCCCCCCCCCCC[N+](C)(C)C.[Cl-]</t>
  </si>
  <si>
    <t>trimethyl(tetradecyl)azanium-chloride</t>
  </si>
  <si>
    <t>InChI=1S/C17H38N.ClH/c1-5-6-7-8-9-10-11-12-13-14-15-16-17-18(2,3)4;/h5-17H2,1-4H3;1H/q+1;/p-1</t>
  </si>
  <si>
    <t>CEYYIKYYFSTQRU-UHFFFAOYSA-M</t>
  </si>
  <si>
    <t>CCCCCCCCCCCCCC[N+](C)(C)CC(=O)NCCNC(=O)C[N+](C)(C)CCCCCCCCCCCCCC.[Cl-].[Cl-]</t>
  </si>
  <si>
    <t>Ethane-1,2-diylbis(N,N-dimethyl-N-tetradecyl-ammoniumacetoamide)dichloride</t>
  </si>
  <si>
    <t>InChI=1S/C38H78N4O2.2ClH/c1-7-9-11-13-15-17-19-21-23-25-27-29-33-41(3,4)35-37(43)39-31-32-40-38(44)36-42(5,6)34-30-28-26-24-22-20-18-16-14-12-10-8-2;;/h7-36H2,1-6H3;2*1H</t>
  </si>
  <si>
    <t>PJHMAPROMXBFFO-UHFFFAOYSA-N</t>
  </si>
  <si>
    <t>CCCCCCCCCCCCCC[N+](C)(C)CC(=O)OCCCOC(=O)C[N+](C)(C)CCCCCCCCCCCCCC.[Cl-].[Cl-]</t>
  </si>
  <si>
    <t>N,N-Dimethyltetradecylamine</t>
  </si>
  <si>
    <t>InChI=1S/C39H80N2O4.2ClH/c1-7-9-11-13-15-17-19-21-23-25-27-29-32-40(3,4)36-38(42)44-34-31-35-45-39(43)37-41(5,6)33-30-28-26-24-22-20-18-16-14-12-10-8-2;;/h7-37H2,1-6H3;2*1H/q+2;;/p-2</t>
  </si>
  <si>
    <t>SCDVVZXKOMVXQD-UHFFFAOYSA-L</t>
  </si>
  <si>
    <t>CCCCCCCCCCCCCC[N+](C)(C)CC(=O)OCCN(CCOC(=O)C[N+](C)(C)CCCCCCCCCC)CCOC(=O)C[N+](C)(C)CCCCCCCCCC.[Br-].[Br-].[Br-]</t>
  </si>
  <si>
    <t>Triethanolaminetris(dimethyltetradecylammonioacetate),tribromide</t>
  </si>
  <si>
    <t>InChI=1S/C52H107N4O6.3BrH/c1-10-13-16-19-22-25-26-27-28-31-34-37-43-56(8,9)49-52(59)62-46-40-53(38-44-60-50(57)47-54(4,5)41-35-32-29-23-20-17-14-11-2)39-45-61-51(58)48-55(6,7)42-36-33-30-24-21-18-15-12-3;;;/h10-49H2,1-9H3;3*1H/q+3;;;/p-3</t>
  </si>
  <si>
    <t>SXIVAKMWBGPSNE-UHFFFAOYSA-K</t>
  </si>
  <si>
    <t>CCCCCCCCCCCCCC[N+](C)(C)CC(=O)OCCOC(=O)C[N+](C)(C)CCCCCCCCCCCCCC.[Cl-].[Cl-]</t>
  </si>
  <si>
    <t>Ethane-1,2-diylbis(N,N-dimethyl-N-tetradecyl-ammoniumacetoxy)dichloride</t>
  </si>
  <si>
    <t>InChI=1S/C38H78N2O4.2ClH/c1-7-9-11-13-15-17-19-21-23-25-27-29-31-39(3,4)35-37(41)43-33-34-44-38(42)36-40(5,6)32-30-28-26-24-22-20-18-16-14-12-10-8-2;;/h7-36H2,1-6H3;2*1H/q+2;;/p-2</t>
  </si>
  <si>
    <t>GTEXWYAELAGBAH-UHFFFAOYSA-L</t>
  </si>
  <si>
    <t>CCCCCCCCCCCCCC[N+](C)(C)CC(=O)OCc1ccc(COC(=O)C[N+](C)(C)CCCCCCCCCCCCCC)cc1.[Cl-].[Cl-]</t>
  </si>
  <si>
    <t>10.1007/s11743-015-1777-4</t>
  </si>
  <si>
    <t>InChI=1S/C44H82N2O4.2ClH/c1-7-9-11-13-15-17-19-21-23-25-27-29-35-45(3,4)37-43(47)49-39-41-31-33-42(34-32-41)40-50-44(48)38-46(5,6)36-30-28-26-24-22-20-18-16-14-12-10-8-2;;/h31-34H,7-30,35-40H2,1-6H3;2*1H/q+2;;/p-2</t>
  </si>
  <si>
    <t>WHDTXTTZWYMPKA-UHFFFAOYSA-L</t>
  </si>
  <si>
    <t>CCCCCCCCCCCCCC[N+](C)(C)CC(=O)Oc1ccc(OC(=O)C[N+](C)(C)CCCCCCCCCCCCCC)cc1.[Cl-].[Cl-]</t>
  </si>
  <si>
    <t>InChI=1S/C42H78N2O4.2ClH/c1-7-9-11-13-15-17-19-21-23-25-27-29-35-43(3,4)37-41(45)47-39-31-33-40(34-32-39)48-42(46)38-44(5,6)36-30-28-26-24-22-20-18-16-14-12-10-8-2;;/h31-34H,7-30,35-38H2,1-6H3;2*1H/q+2;;/p-2</t>
  </si>
  <si>
    <t>FUVXCRBLDLDXNU-UHFFFAOYSA-L</t>
  </si>
  <si>
    <t>CCCCCCCCCCCCCC[N+](C)(C)CC(=O)[O-]</t>
  </si>
  <si>
    <t>2-[dimethyl(tetradecyl)azaniumyl]acetate</t>
  </si>
  <si>
    <t>InChI=1S/C18H37NO2/c1-4-5-6-7-8-9-10-11-12-13-14-15-16-19(2,3)17-18(20)21/h4-17H2,1-3H3</t>
  </si>
  <si>
    <t>KKMIHKCGXQMFEU-UHFFFAOYSA-N</t>
  </si>
  <si>
    <t>CCCCCCCCCCCCCC[N+](C)(C)CC(O)C(O)C[N+](C)(C)CCCCCCCCCCCCCC.[Br-].[Br-]</t>
  </si>
  <si>
    <t>InChI=1S/C36H78N2O2.2BrH/c1-7-9-11-13-15-17-19-21-23-25-27-29-31-37(3,4)33-35(39)36(40)34-38(5,6)32-30-28-26-24-22-20-18-16-14-12-10-8-2;;/h35-36,39-40H,7-34H2,1-6H3;2*1H/q+2;;/p-2</t>
  </si>
  <si>
    <t>LZEBFFQLJOVKQT-UHFFFAOYSA-L</t>
  </si>
  <si>
    <t>CCCCCCCCCCCCCC[N+](C)(C)CC(O)CC(O)[N+](C)(C)CCCCCCCCCCCCCC.[Br-].[Br-]</t>
  </si>
  <si>
    <t>InChI=1S/C36H78N2O2.2BrH/c1-7-9-11-13-15-17-19-21-23-25-27-29-31-37(3,4)34-35(39)33-36(40)38(5,6)32-30-28-26-24-22-20-18-16-14-12-10-8-2;;/h35-36,39-40H,7-34H2,1-6H3;2*1H/q+2;;/p-2</t>
  </si>
  <si>
    <t>NXOGXQRSPBPWLV-UHFFFAOYSA-L</t>
  </si>
  <si>
    <t>CCCCCCCCCCCCCC[N+](C)(C)CC(O)COCCOCC(O)C[N+](C)(C)CCCCCCCCCCCCCC.[Br-].[Br-]</t>
  </si>
  <si>
    <t>Î±,Ï‰-Bis(tetradecyldimethylammoniomethyl)trioxyethyleneglycoldibromide</t>
  </si>
  <si>
    <t>InChI=1S/C40H86N2O4.2BrH/c1-7-9-11-13-15-17-19-21-23-25-27-29-31-41(3,4)35-39(43)37-45-33-34-46-38-40(44)36-42(5,6)32-30-28-26-24-22-20-18-16-14-12-10-8-2;;/h39-40,43-44H,7-38H2,1-6H3;2*1H/q+2;;/p-2</t>
  </si>
  <si>
    <t>KRWPAZGKOMONLG-UHFFFAOYSA-L</t>
  </si>
  <si>
    <t>CCCCCCCCCCCCCC[N+](C)(C)CC(O)COCCOCCOCC(O)C[N+](C)(C)CCCCCCCCCCCCCC.[Br-].[Br-]</t>
  </si>
  <si>
    <t>Î±,Ï‰-Bis(tetradecyldimethylammoniomethyl)tetraoxyethyleneglycoldibromide</t>
  </si>
  <si>
    <t>InChI=1S/C42H90N2O5.2BrH/c1-7-9-11-13-15-17-19-21-23-25-27-29-31-43(3,4)37-41(45)39-48-35-33-47-34-36-49-40-42(46)38-44(5,6)32-30-28-26-24-22-20-18-16-14-12-10-8-2;;/h41-42,45-46H,7-40H2,1-6H3;2*1H/q+2;;/p-2</t>
  </si>
  <si>
    <t>AHDYBNVQANCYOW-UHFFFAOYSA-L</t>
  </si>
  <si>
    <t>CCCCCCCCCCCCCC[N+](C)(C)CC(O)COCCOCCOCCOCC(O)C[N+](C)(C)CCCCCCCCCCCCCC.[Br-].[Br-]</t>
  </si>
  <si>
    <t>Î±,Ï‰-Bis(tetradecyldimethylammoniomethyl)pentaoxyethyleneglycoldibromide</t>
  </si>
  <si>
    <t>InChI=1S/C44H94N2O6.2BrH/c1-7-9-11-13-15-17-19-21-23-25-27-29-31-45(3,4)39-43(47)41-51-37-35-49-33-34-50-36-38-52-42-44(48)40-46(5,6)32-30-28-26-24-22-20-18-16-14-12-10-8-2;;/h43-44,47-48H,7-42H2,1-6H3;2*1H/q+2;;/p-2</t>
  </si>
  <si>
    <t>YGJDGLXJNTXGLA-UHFFFAOYSA-L</t>
  </si>
  <si>
    <t>CCCCCCCCCCCCCC[N+](C)(C)CC(O)COc1ccc(OCC(O)C[N+](C)(C)CCCCCCCCCCCCCC)cc1.[Cl-].[Cl-]</t>
  </si>
  <si>
    <t>InChI=1S/C44H86N2O4.2ClH/c1-7-9-11-13-15-17-19-21-23-25-27-29-35-45(3,4)37-41(47)39-49-43-31-33-44(34-32-43)50-40-42(48)38-46(5,6)36-30-28-26-24-22-20-18-16-14-12-10-8-2;;/h31-34,41-42,47-48H,7-30,35-40H2,1-6H3;2*1H/q+2;;/p-2</t>
  </si>
  <si>
    <t>DYVJVXJIIAUQIV-UHFFFAOYSA-L</t>
  </si>
  <si>
    <t>CCCCCCCCCCCCCC[N+](C)(C)CC(O)C[N+](C)(C)CCCCCCCCCCCCCC.[Cl-].[Cl-]</t>
  </si>
  <si>
    <t>bis-tetradecyldimethylammoniumsalt</t>
  </si>
  <si>
    <t>InChI=1S/C35H76N2O.2ClH/c1-7-9-11-13-15-17-19-21-23-25-27-29-31-36(3,4)33-35(38)34-37(5,6)32-30-28-26-24-22-20-18-16-14-12-10-8-2;;/h35,38H,7-34H2,1-6H3;2*1H/q+2;;/p-2</t>
  </si>
  <si>
    <t>LSDSHVGSVJMFPH-UHFFFAOYSA-L</t>
  </si>
  <si>
    <t>CCCCCCCCCCCCCC[N+](C)(C)CCCCCC[N+](C)(C)CCCCCC.[Br-].[Br-]</t>
  </si>
  <si>
    <t>InChI=1S/C30H66N2.2BrH/c1-7-9-11-13-14-15-16-17-18-19-20-24-28-32(5,6)30-26-22-21-25-29-31(3,4)27-23-12-10-8-2;;/h7-30H2,1-6H3;2*1H/q+2;;/p-2</t>
  </si>
  <si>
    <t>LPBGBOIMEWLUNQ-UHFFFAOYSA-L</t>
  </si>
  <si>
    <t>CCCCCCCCCCCCCC[N+](C)(C)CCCCCC[N+](C)(C)CCCCCCCCCC.[Br-].[Br-]</t>
  </si>
  <si>
    <t>InChI=1S/C34H74N2.2BrH/c1-7-9-11-13-15-17-18-19-20-22-24-28-32-36(5,6)34-30-26-25-29-33-35(3,4)31-27-23-21-16-14-12-10-8-2;;/h7-34H2,1-6H3;2*1H/q+2;;/p-2</t>
  </si>
  <si>
    <t>JQKKPOLDFIYTAN-UHFFFAOYSA-L</t>
  </si>
  <si>
    <t>CCCCCCCCCCCCCC[N+](C)(C)CCCCCC[N+](C)(C)CCCCCCCCCCCCCC.[Br-].[Br-]</t>
  </si>
  <si>
    <t>6-[dimethyl(tetradecyl)azaniumyl]hexyl-dimethyl-tetradecylazanium-dibromide</t>
  </si>
  <si>
    <t>InChI=1S/C38H82N2.2BrH/c1-7-9-11-13-15-17-19-21-23-25-27-31-35-39(3,4)37-33-29-30-34-38-40(5,6)36-32-28-26-24-22-20-18-16-14-12-10-8-2;;/h7-38H2,1-6H3;2*1H/q+2;;/p-2</t>
  </si>
  <si>
    <t>ILFSOPWHFRAWHB-UHFFFAOYSA-L</t>
  </si>
  <si>
    <t>CCCCCCCCCCCCCC[N+](C)(C)CCCCC[N+](C)(C)CCCCCCCCCCCCCC.[Br-].[Br-]</t>
  </si>
  <si>
    <t>N,N'-bis(tetradecyldimethyl)-3-methyl-1,5-pentanediammoniumdibromide</t>
  </si>
  <si>
    <t>InChI=1S/C37H80N2.2BrH/c1-7-9-11-13-15-17-19-21-23-25-27-30-34-38(3,4)36-32-29-33-37-39(5,6)35-31-28-26-24-22-20-18-16-14-12-10-8-2;;/h7-37H2,1-6H3;2*1H/q+2;;/p-2</t>
  </si>
  <si>
    <t>JZEYISZKKLSNHT-UHFFFAOYSA-L</t>
  </si>
  <si>
    <t>CCCCCCCCCCCCCC[N+](C)(C)CCCCNC[N+](C)(C)CCCCCCCCCCCCCC.[Br-].[Br-]</t>
  </si>
  <si>
    <t>InChI=1S/C37H81N3.2BrH/c1-7-9-11-13-15-17-19-21-23-25-27-30-34-39(3,4)35-32-29-33-38-37-40(5,6)36-31-28-26-24-22-20-18-16-14-12-10-8-2;;/h38H,7-37H2,1-6H3;2*1H/q+2;;/p-2</t>
  </si>
  <si>
    <t>OUITVTDJQHBLIS-UHFFFAOYSA-L</t>
  </si>
  <si>
    <t>CCCCCCCCCCCCCC[N+](C)(C)CCCCO[N+](C)(C)CCCCCCCCCCCCCC.[Br-].[Br-]</t>
  </si>
  <si>
    <t>InChI=1S/C36H78N2O.2BrH/c1-7-9-11-13-15-17-19-21-23-25-27-29-33-37(3,4)34-31-32-36-39-38(5,6)35-30-28-26-24-22-20-18-16-14-12-10-8-2;;/h7-36H2,1-6H3;2*1H/q+2;;/p-2</t>
  </si>
  <si>
    <t>OPXINVDNEOCQHJ-UHFFFAOYSA-L</t>
  </si>
  <si>
    <t>CCCCCCCCCCCCCC[N+](C)(C)CCCC[N+](C)(C)CCCCCCCCCCCCCC.[Br-].[Br-]</t>
  </si>
  <si>
    <t>InChI=1S/C36H78N2.2BrH/c1-7-9-11-13-15-17-19-21-23-25-27-29-33-37(3,4)35-31-32-36-38(5,6)34-30-28-26-24-22-20-18-16-14-12-10-8-2;;/h7-36H2,1-6H3;2*1H/q+2;;/p-2</t>
  </si>
  <si>
    <t>PNCAJMGKWAHAPS-UHFFFAOYSA-L</t>
  </si>
  <si>
    <t>CCCCCCCCCCCCCC[N+](C)(C)CCCC[N+](C)(C)CCCCCCCCCCCCCC.[Cl-].[Cl-]</t>
  </si>
  <si>
    <t>InChI=1S/C36H78N2.2ClH/c1-7-9-11-13-15-17-19-21-23-25-27-29-33-37(3,4)35-31-32-36-38(5,6)34-30-28-26-24-22-20-18-16-14-12-10-8-2;;/h7-36H2,1-6H3;2*1H/q+2;;/p-2</t>
  </si>
  <si>
    <t>DLSAXPHTMTYNMJ-UHFFFAOYSA-L</t>
  </si>
  <si>
    <t>CCCCCCCCCCCCCC[N+](C)(C)CCCNC(=O)c1ccc(C(=O)NCCC[N+](C)(C)CCCCCCCCCCCCCC)cc1.[Br-].[Br-]</t>
  </si>
  <si>
    <t>InChI=1S/C46H86N4O2.2BrH/c1-7-9-11-13-15-17-19-21-23-25-27-29-39-49(3,4)41-31-37-47-45(51)43-33-35-44(36-34-43)46(52)48-38-32-42-50(5,6)40-30-28-26-24-22-20-18-16-14-12-10-8-2;;/h33-36H,7-32,37-42H2,1-6H3;2*1H</t>
  </si>
  <si>
    <t>HACGKJFQZMNJCW-UHFFFAOYSA-N</t>
  </si>
  <si>
    <t>CCCCCCCCCCCCCC[N+](C)(C)CCCS(=O)(=O)[O-]</t>
  </si>
  <si>
    <t>3-[dimethyl(tetradecyl)azaniumyl]propane-1-sulfonate</t>
  </si>
  <si>
    <t>InChI=1S/C19H41NO3S/c1-4-5-6-7-8-9-10-11-12-13-14-15-17-20(2,3)18-16-19-24(21,22)23/h4-19H2,1-3H3</t>
  </si>
  <si>
    <t>BHATUINFZWUDIX-UHFFFAOYSA-N</t>
  </si>
  <si>
    <t>CCCCCCCCCCCCCC[N+](C)(C)CCC[N+](C)(C)CCCCCCCCCCCCCC.[Cl-].[Cl-]</t>
  </si>
  <si>
    <t>InChI=1S/C35H76N2.2ClH/c1-7-9-11-13-15-17-19-21-23-25-27-29-32-36(3,4)34-31-35-37(5,6)33-30-28-26-24-22-20-18-16-14-12-10-8-2;;/h7-35H2,1-6H3;2*1H/q+2;;/p-2</t>
  </si>
  <si>
    <t>KBRQLROGJYPNPG-UHFFFAOYSA-L</t>
  </si>
  <si>
    <t>CCCCCCCCCCCCCC[N+](C)(C)CCN(C)CC[N+](C)(C)CCCCCCCCCCCCCC.[Br-].[Br-]</t>
  </si>
  <si>
    <t>N,N'-bis(tetradecyldimethyl)-3-N-methyl-1,5-pentanediammoniumdibromide</t>
  </si>
  <si>
    <t>InChI=1S/C37H81N3.2BrH/c1-8-10-12-14-16-18-20-22-24-26-28-30-34-39(4,5)36-32-38(3)33-37-40(6,7)35-31-29-27-25-23-21-19-17-15-13-11-9-2;;/h8-37H2,1-7H3;2*1H/q+2;;/p-2</t>
  </si>
  <si>
    <t>VGEOIKYTDSQBMI-UHFFFAOYSA-L</t>
  </si>
  <si>
    <t>CCCCCCCCCCCCCC[N+](C)(C)CCN(CCC(=O)NCCN(CCC(=O)OC)CCC(=O)OC)CCC(=O)NCCN(CCC(=O)OC)CCC(=O)OC.[Br-]</t>
  </si>
  <si>
    <t>InChI=1S/C44H84N6O10.BrH/c1-8-9-10-11-12-13-14-15-16-17-18-19-37-50(2,3)38-36-49(28-20-39(51)45-26-34-47(30-22-41(53)57-4)31-23-42(54)58-5)29-21-40(52)46-27-35-48(32-24-43(55)59-6)33-25-44(56)60-7;/h8-38H2,1-7H3,(H-,45,46,51,52);1H</t>
  </si>
  <si>
    <t>KNKPCOKRKWKKDG-UHFFFAOYSA-N</t>
  </si>
  <si>
    <t>CCCCCCCCCCCCCC[N+](C)(C)CCN(CCC(=O)OC)CCC(=O)OC.[Br-]</t>
  </si>
  <si>
    <t>InChI=1S/C26H53N2O4.BrH/c1-6-7-8-9-10-11-12-13-14-15-16-17-23-28(2,3)24-22-27(20-18-25(29)31-4)21-19-26(30)32-5;/h6-24H2,1-5H3;1H/q+1;/p-1</t>
  </si>
  <si>
    <t>BLWBOGISUNRIAP-UHFFFAOYSA-M</t>
  </si>
  <si>
    <t>CCCCCCCCCCCCCC[N+](C)(C)CCN(CC[N+](C)(C)CCCCCCCCCCCCCC)CC[N+](C)(C)CCCCCCCCCCCCCC.[Br-].[Br-].[Br-]</t>
  </si>
  <si>
    <t>10.1021/la301220y</t>
  </si>
  <si>
    <t>Tris(N-tetradecyl-N,N-dimethyl-2-ammoniumethyl)-amineBromide</t>
  </si>
  <si>
    <t>InChI=1S/C54H117N4.3BrH/c1-10-13-16-19-22-25-28-31-34-37-40-43-49-56(4,5)52-46-55(47-53-57(6,7)50-44-41-38-35-32-29-26-23-20-17-14-11-2)48-54-58(8,9)51-45-42-39-36-33-30-27-24-21-18-15-12-3;;;/h10-54H2,1-9H3;3*1H/q+3;;;/p-3</t>
  </si>
  <si>
    <t>WWODYXCKZWNASS-UHFFFAOYSA-K</t>
  </si>
  <si>
    <t>CCCCCCCCCCCCCC[N+](C)(C)CCOC(=O)CCC(=O)OCC[N+](C)(C)CCCCCCCCCCCCCC.[Cl-].[Cl-]</t>
  </si>
  <si>
    <t>InChI=1S/C40H82N2O4.2ClH/c1-7-9-11-13-15-17-19-21-23-25-27-29-33-41(3,4)35-37-45-39(43)31-32-40(44)46-38-36-42(5,6)34-30-28-26-24-22-20-18-16-14-12-10-8-2;;/h7-38H2,1-6H3;2*1H/q+2;;/p-2</t>
  </si>
  <si>
    <t>RSUCNTSJXWYDEX-UHFFFAOYSA-L</t>
  </si>
  <si>
    <t>CCCCCCCCCCCCCC[N+](C)(C)CCOC(=O)CCCCCCC(=O)OCC[N+](C)(C)CCCCCCCCCCCCCC.[Cl-].[Cl-]</t>
  </si>
  <si>
    <t>InChI=1S/C44H90N2O4.2ClH/c1-7-9-11-13-15-17-19-21-23-25-29-33-37-45(3,4)39-41-49-43(47)35-31-27-28-32-36-44(48)50-42-40-46(5,6)38-34-30-26-24-22-20-18-16-14-12-10-8-2;;/h7-42H2,1-6H3;2*1H/q+2;;/p-2</t>
  </si>
  <si>
    <t>KKYVZMPPSAXWFB-UHFFFAOYSA-L</t>
  </si>
  <si>
    <t>CCCCCCCCCCCCCC[N+](C)(C)CCOCC[N+](C)(C)CCCCCCCCCCCCCC.[Br-].[Br-]</t>
  </si>
  <si>
    <t>ether-Î±,Ï‰-bis-(isopropylldodecdecylammoniumbromide)</t>
  </si>
  <si>
    <t>InChI=1S/C36H78N2O.2BrH/c1-7-9-11-13-15-17-19-21-23-25-27-29-31-37(3,4)33-35-39-36-34-38(5,6)32-30-28-26-24-22-20-18-16-14-12-10-8-2;;/h7-36H2,1-6H3;2*1H/q+2;;/p-2</t>
  </si>
  <si>
    <t>DHPXYXFNNOZXHD-UHFFFAOYSA-L</t>
  </si>
  <si>
    <t>CCCCCCCCCCCCCC[N+](C)(C)CCOP(=O)([O-])OCCCCCCCC</t>
  </si>
  <si>
    <t>InChI=1S/C26H56NO4P/c1-5-7-9-11-13-14-15-16-17-18-19-21-23-27(3,4)24-26-31-32(28,29)30-25-22-20-12-10-8-6-2/h5-26H2,1-4H3</t>
  </si>
  <si>
    <t>ZODHGAHLIJGXBY-UHFFFAOYSA-N</t>
  </si>
  <si>
    <t>CCCCCCCCCCCCCC[N+](C)(C)CCOP(=O)([O-])OCCCCCCCCCC</t>
  </si>
  <si>
    <t>InChI=1S/C28H60NO4P/c1-5-7-9-11-13-15-16-17-18-19-21-23-25-29(3,4)26-28-33-34(30,31)32-27-24-22-20-14-12-10-8-6-2/h5-28H2,1-4H3</t>
  </si>
  <si>
    <t>KKOYGJJJXRNAHQ-UHFFFAOYSA-N</t>
  </si>
  <si>
    <t>CCCCCCCCCCCCCC[N+](C)(C)CCOP(=O)([O-])OCCCCCCCCCCCC</t>
  </si>
  <si>
    <t>InChI=1S/C30H64NO4P/c1-5-7-9-11-13-15-17-18-19-21-23-25-27-31(3,4)28-30-35-36(32,33)34-29-26-24-22-20-16-14-12-10-8-6-2/h5-30H2,1-4H3</t>
  </si>
  <si>
    <t>ZJYZKCZJYFIMLZ-UHFFFAOYSA-N</t>
  </si>
  <si>
    <t>CCCCCCCCCCCCCC[N+](C)(C)CCOc1ccc(C=NNC(=O)C(=O)NN=Cc2ccc(OCC[N+](C)(C)CCCCCCCCCCCCCC)cc2)cc1.[Cl-].[Cl-]</t>
  </si>
  <si>
    <t>InChI=1S/C52H88N6O4.2ClH/c1-7-9-11-13-15-17-19-21-23-25-27-29-39-57(3,4)41-43-61-49-35-31-47(32-36-49)45-53-55-51(59)52(60)56-54-46-48-33-37-50(38-34-48)62-44-42-58(5,6)40-30-28-26-24-22-20-18-16-14-12-10-8-2;;/h31-38,45-46H,7-30,39-44H2,1-6H3;2*1H</t>
  </si>
  <si>
    <t>LZCJRPXMJSZWAN-UHFFFAOYSA-N</t>
  </si>
  <si>
    <t>CCCCCCCCCCCCCC[N+](C)(C)CCSCC[N+](C)(C)CCCCCCCCCCCCCC.[Br-].[Br-]</t>
  </si>
  <si>
    <t>N,N'-bis(tetradecyldimethyl)-3-S-1,5-pentanediammoniumdibromide</t>
  </si>
  <si>
    <t>InChI=1S/C36H78N2S.2BrH/c1-7-9-11-13-15-17-19-21-23-25-27-29-31-37(3,4)33-35-39-36-34-38(5,6)32-30-28-26-24-22-20-18-16-14-12-10-8-2;;/h7-36H2,1-6H3;2*1H/q+2;;/p-2</t>
  </si>
  <si>
    <t>SQJMPOLMSKFXMN-UHFFFAOYSA-L</t>
  </si>
  <si>
    <t>CCCCCCCCCCCCCC[N+](C)(C)CC[N+](C)(C)CCCCCCCCCCCCCC.[Br-].[Br-]</t>
  </si>
  <si>
    <t>Butanediyl-1,4-bis(N,N-dimethyl-N-tetradecyl-ammonium)dibromide</t>
  </si>
  <si>
    <t>InChI=1S/C34H74N2.2BrH/c1-7-9-11-13-15-17-19-21-23-25-27-29-31-35(3,4)33-34-36(5,6)32-30-28-26-24-22-20-18-16-14-12-10-8-2;;/h7-34H2,1-6H3;2*1H/q+2;;/p-2</t>
  </si>
  <si>
    <t>AOURWVGHPQTCON-UHFFFAOYSA-L</t>
  </si>
  <si>
    <t>CCCCCCCCCCCCCC[N+](C)(C)Cc1cccc(OC)c1.[Cl-]</t>
  </si>
  <si>
    <t>N,N-dimethyl-N-tetradecyl-N-(m-methoxybenzyl)ammoniumchloride</t>
  </si>
  <si>
    <t>InChI=1S/C24H44NO.ClH/c1-5-6-7-8-9-10-11-12-13-14-15-16-20-25(2,3)22-23-18-17-19-24(21-23)26-4;/h17-19,21H,5-16,20,22H2,1-4H3;1H/q+1;/p-1</t>
  </si>
  <si>
    <t>OFNAEFNYYUEBPS-UHFFFAOYSA-M</t>
  </si>
  <si>
    <t>CCCCCCCCCCCCCC[N+](C)(C)Cc1ccccc1.[Cl-]</t>
  </si>
  <si>
    <t>N,N-dimethyl-N-tetradecyl-Nbenzylammoniumchloride</t>
  </si>
  <si>
    <t>InChI=1S/C23H42N.ClH/c1-4-5-6-7-8-9-10-11-12-13-14-18-21-24(2,3)22-23-19-16-15-17-20-23;/h15-17,19-20H,4-14,18,21-22H2,1-3H3;1H/q+1;/p-1</t>
  </si>
  <si>
    <t>OCBHHZMJRVXXQK-UHFFFAOYSA-M</t>
  </si>
  <si>
    <t>CCCCCCCCCCCCCC[N+](C)(C)Cc1ccccc1CO.[Cl-]</t>
  </si>
  <si>
    <t>N-tetradecylâ€“N,N-dimethyl-N-(o-hydroxymethyl)benzylammoniumchloride</t>
  </si>
  <si>
    <t>InChI=1S/C24H44NO.ClH/c1-4-5-6-7-8-9-10-11-12-13-14-17-20-25(2,3)21-23-18-15-16-19-24(23)22-26;/h15-16,18-19,26H,4-14,17,20-22H2,1-3H3;1H/q+1;/p-1</t>
  </si>
  <si>
    <t>FBFLSQJHUGIIDS-UHFFFAOYSA-M</t>
  </si>
  <si>
    <t>CCCCCCCCCCCCCC[N+](C)(C)NC(=O)CCC(=O)N1CCCCC1.[I-]</t>
  </si>
  <si>
    <t>Nâ€™â€‘TetradecylNâ€™,Nâ€™dimethylâ€‘4â€‘piperidinoâ€‘4â€‘oxobutanoylhydraziniumiodide</t>
  </si>
  <si>
    <t>InChI=1S/C25H49N3O2.HI/c1-4-5-6-7-8-9-10-11-12-13-14-18-23-28(2,3)26-24(29)19-20-25(30)27-21-16-15-17-22-27;/h4-23H2,1-3H3;1H</t>
  </si>
  <si>
    <t>HQNOFYKCHYTLSJ-UHFFFAOYSA-N</t>
  </si>
  <si>
    <t>CCCCCCCCCCCCCC[N+](C)(C)NC(=O)CCC(=O)N1CCOCC1.[I-]</t>
  </si>
  <si>
    <t>Nâ€™â€‘TetradecylNâ€™,Nâ€™dimethylâ€‘4â€‘morpholinoâ€‘4â€‘oxobutanoylhydraziniumiodide</t>
  </si>
  <si>
    <t>InChI=1S/C24H47N3O3.HI/c1-4-5-6-7-8-9-10-11-12-13-14-15-20-27(2,3)25-23(28)16-17-24(29)26-18-21-30-22-19-26;/h4-22H2,1-3H3;1H</t>
  </si>
  <si>
    <t>FOIRAVRAXZEUGC-UHFFFAOYSA-N</t>
  </si>
  <si>
    <t>CCCCCCCCCCCCCC[N+](C)(CCO)CCCNC(=O)C(O)C(O)C(O)C(O)CO.[Br-]</t>
  </si>
  <si>
    <t>10.1016/j.colsurfa.2014.05.042</t>
  </si>
  <si>
    <t>N,N-Dimethyl-N[3-(gluconamide)-propyl]-N-dodecylammoniumbromide</t>
  </si>
  <si>
    <t>InChI=1S/C26H54N2O7.BrH/c1-3-4-5-6-7-8-9-10-11-12-13-14-17-28(2,19-20-29)18-15-16-27-26(35)25(34)24(33)23(32)22(31)21-30;/h22-25,29-34H,3-21H2,1-2H3;1H</t>
  </si>
  <si>
    <t>KGBMMZZSUSRCMQ-UHFFFAOYSA-N</t>
  </si>
  <si>
    <t>CCCCCCCCCCCCCC[N+](C)(CCO)CCO.[Br-]</t>
  </si>
  <si>
    <t>10.1016/j.molliq.2018.10.100</t>
  </si>
  <si>
    <t>methyldiethanolamine-tetradecyl</t>
  </si>
  <si>
    <t>InChI=1S/C19H42NO2.BrH/c1-3-4-5-6-7-8-9-10-11-12-13-14-15-20(2,16-18-21)17-19-22;/h21-22H,3-19H2,1-2H3;1H/q+1;/p-1</t>
  </si>
  <si>
    <t>BKZGOXOAOUFWEN-UHFFFAOYSA-M</t>
  </si>
  <si>
    <t>CCCCCCCCCCCCCC[NH+](CCO)C.[Br-]</t>
  </si>
  <si>
    <t>methylethanolamine-tetradecyl</t>
  </si>
  <si>
    <t>InChI=1S/C17H37NO.BrH/c1-3-4-5-6-7-8-9-10-11-12-13-14-15-18(2)16-17-19;/h19H,3-17H2,1-2H3;1H/q+1;/p-1</t>
  </si>
  <si>
    <t>OJWCEHNUGWJKCC-UHFFFAOYSA-M</t>
  </si>
  <si>
    <t>CCCCCCCCCCCCCC[N+](CC(C)O)(CC(C)O)CC(C)O.[Br-]</t>
  </si>
  <si>
    <t>ethanoldiisopropanolamine-tetradecyl</t>
  </si>
  <si>
    <t>InChI=1S/C23H50NO3.BrH/c1-5-6-7-8-9-10-11-12-13-14-15-16-17-24(18-21(2)25,19-22(3)26)20-23(4)27;/h21-23,25-27H,5-20H2,1-4H3;1H/q+1;/p-1</t>
  </si>
  <si>
    <t>PBLQAAUZJDXWJL-UHFFFAOYSA-M</t>
  </si>
  <si>
    <t>CCCCCCCCCCCCCC[N+](CC)(CC)CC(=O)NCCNC(=O)C[N+](CC)(CC)CCCCCCCCCCCCCC.[Cl-].[Cl-]</t>
  </si>
  <si>
    <t>10.1021/la3011212</t>
  </si>
  <si>
    <t>N,Nâ€²-((Ethane-1,2-diylbis(azanediyl))bis(2-oxoethane-2,1-diyl))-bis(N,N-diethyltetr-adecan-1-aminium)Dichloride</t>
  </si>
  <si>
    <t>InChI=1S/C42H86N4O2.2ClH/c1-7-13-15-17-19-21-23-25-27-29-31-33-37-45(9-3,10-4)39-41(47)43-35-36-44-42(48)40-46(11-5,12-6)38-34-32-30-28-26-24-22-20-18-16-14-8-2;;/h7-40H2,1-6H3;2*1H</t>
  </si>
  <si>
    <t>IGLAGXREFONZSG-UHFFFAOYSA-N</t>
  </si>
  <si>
    <t>CCCCCCCCCCCCCC[N+](CC)(CC)CC.[Br-]</t>
  </si>
  <si>
    <t>triethyl(tetradecyl)azanium-bromide</t>
  </si>
  <si>
    <t>InChI=1S/C20H44N.BrH/c1-5-9-10-11-12-13-14-15-16-17-18-19-20-21(6-2,7-3)8-4;/h5-20H2,1-4H3;1H/q+1;/p-1</t>
  </si>
  <si>
    <t>KMMBACZABOAUFF-UHFFFAOYSA-M</t>
  </si>
  <si>
    <t>CCCCCCCCCCCCCC[N+](CC)(CC)CCO.[Br-]</t>
  </si>
  <si>
    <t>10.1016/j.colsurfa.2014.03.037</t>
  </si>
  <si>
    <t>InChI=1S/C20H44NO.BrH/c1-4-7-8-9-10-11-12-13-14-15-16-17-18-21(5-2,6-3)19-20-22;/h22H,4-20H2,1-3H3;1H/q+1;/p-1</t>
  </si>
  <si>
    <t>UHSFJOQUGVYQGU-UHFFFAOYSA-M</t>
  </si>
  <si>
    <t>CCCCCCCCCCCCCC[N+](CCC)(CCC)CCC.[Br-]</t>
  </si>
  <si>
    <t>tripropyl(tetradecyl)azanium-bromide</t>
  </si>
  <si>
    <t>InChI=1S/C23H50N.BrH/c1-5-9-10-11-12-13-14-15-16-17-18-19-23-24(20-6-2,21-7-3)22-8-4;/h5-23H2,1-4H3;1H/q+1;/p-1</t>
  </si>
  <si>
    <t>DGJZWJHHIUUCAG-UHFFFAOYSA-M</t>
  </si>
  <si>
    <t>CCCCCCCCCCCCCC[N+](CCC)(CCC)CCCC[N+](CCC)(CCC)CCCCCCCCCCCCCC.[Br-].[Br-]</t>
  </si>
  <si>
    <t>InChI=1S/C44H94N2.2BrH/c1-7-13-15-17-19-21-23-25-27-29-31-33-41-45(37-9-3,38-10-4)43-35-36-44-46(39-11-5,40-12-6)42-34-32-30-28-26-24-22-20-18-16-14-8-2;;/h7-44H2,1-6H3;2*1H/q+2;;/p-2</t>
  </si>
  <si>
    <t>LUSPICWEZQSOQG-UHFFFAOYSA-L</t>
  </si>
  <si>
    <t>CCCCCCCCCCCCCC[N+](CCCC)(CCCC)CCCC.[Br-]</t>
  </si>
  <si>
    <t>tributyl(tetradecyl)azanium-bromide</t>
  </si>
  <si>
    <t>InChI=1S/C26H56N.BrH/c1-5-9-13-14-15-16-17-18-19-20-21-22-26-27(23-10-6-2,24-11-7-3)25-12-8-4;/h5-26H2,1-4H3;1H/q+1;/p-1</t>
  </si>
  <si>
    <t>DHZCPIHVJHYUOP-UHFFFAOYSA-M</t>
  </si>
  <si>
    <t>CCCCCCCCCCCCCC[N+](CCCCCC[N+](CCCCCCCCCCCCCC)(CC(C)O)CC(C)O)(CC(C)O)CC(C)O.[Br-].[Br-]</t>
  </si>
  <si>
    <t>10.1002/jsde.12506</t>
  </si>
  <si>
    <t>hexanediyl-1,6-bis[(diisopropylol)tetradecylammonium]dibromide</t>
  </si>
  <si>
    <t>InChI=1S/C46H98N2O4.2BrH/c1-7-9-11-13-15-17-19-21-23-25-27-31-35-47(39-43(3)49,40-44(4)50)37-33-29-30-34-38-48(41-45(5)51,42-46(6)52)36-32-28-26-24-22-20-18-16-14-12-10-8-2;;/h43-46,49-52H,7-42H2,1-6H3;2*1H/q+2;;/p-2</t>
  </si>
  <si>
    <t>FXLHQLLECVQZMC-UHFFFAOYSA-L</t>
  </si>
  <si>
    <t>CCCCCCCCCCCCCC[NH+](CC(O)C)CCCCCC[NH+](CC(O)C)CCCCCCCCCCCCCC.[Br-].[Br-]</t>
  </si>
  <si>
    <t>hexanediyl-1,6-bis[(isopropylol)tetradecylammonium]dibromide</t>
  </si>
  <si>
    <t>InChI=1S/C40H84N2O2.2BrH/c1-5-7-9-11-13-15-17-19-21-23-25-29-33-41(37-39(3)43)35-31-27-28-32-36-42(38-40(4)44)34-30-26-24-22-20-18-16-14-12-10-8-6-2;;/h39-40,43-44H,5-38H2,1-4H3;2*1H/q+2;;/p-2</t>
  </si>
  <si>
    <t>IHZXNASYKDAGEJ-UHFFFAOYSA-L</t>
  </si>
  <si>
    <t>CCCCCCCCCCCCCC[N+](CCO)(CC(C)O)CC(C)O.[Br-]</t>
  </si>
  <si>
    <t>InChI=1S/C22H48NO3.BrH/c1-4-5-6-7-8-9-10-11-12-13-14-15-16-23(17-18-24,19-21(2)25)20-22(3)26;/h21-22,24-26H,4-20H2,1-3H3;1H/q+1;/p-1</t>
  </si>
  <si>
    <t>QEHGVRMBDQXHPD-UHFFFAOYSA-M</t>
  </si>
  <si>
    <t>CCCCCCCCCCCCCC[N+](CCO)(CCO)CC(C)O.[Br-]</t>
  </si>
  <si>
    <t>diethanolisopropanolamine-tetradecyl</t>
  </si>
  <si>
    <t>InChI=1S/C21H46NO3.BrH/c1-3-4-5-6-7-8-9-10-11-12-13-14-15-22(16-18-23,17-19-24)20-21(2)25;/h21,23-25H,3-20H2,1-2H3;1H/q+1;/p-1</t>
  </si>
  <si>
    <t>OXWVDZKJSQVQGL-UHFFFAOYSA-M</t>
  </si>
  <si>
    <t>CCCCCCCCCCCCCC[N+](CCO)(CCO)CCO.[Br-]</t>
  </si>
  <si>
    <t>triethanolamine-tetradecyl</t>
  </si>
  <si>
    <t>InChI=1S/C20H44NO3.BrH/c1-2-3-4-5-6-7-8-9-10-11-12-13-14-21(15-18-22,16-19-23)17-20-24;/h22-24H,2-20H2,1H3;1H/q+1;/p-1</t>
  </si>
  <si>
    <t>ARUGXJNUBGALLC-UHFFFAOYSA-M</t>
  </si>
  <si>
    <t>CCCCCCCCCCCCCC[NH+](CCO)CCO.[Br-]</t>
  </si>
  <si>
    <t>diethanolamine-tetradecyl</t>
  </si>
  <si>
    <t>InChI=1S/C18H39NO2.BrH/c1-2-3-4-5-6-7-8-9-10-11-12-13-14-19(15-17-20)16-18-21;/h20-21H,2-18H2,1H3;1H/q+1;/p-1</t>
  </si>
  <si>
    <t>HGQFPNDVKVPOJG-UHFFFAOYSA-M</t>
  </si>
  <si>
    <t>CCCCCCCCCCCCCC[N+]1(C)CC[N+](C)(CCCCCCCCCCCCCC)CC1.[Br-].[Br-]</t>
  </si>
  <si>
    <t>1,4-ditetradecyl-1,4-dimethylpiperazine-1,4-diiumbromide</t>
  </si>
  <si>
    <t>InChI=1S/C34H72N2.2BrH/c1-5-7-9-11-13-15-17-19-21-23-25-27-29-35(3)31-33-36(4,34-32-35)30-28-26-24-22-20-18-16-14-12-10-8-6-2;;/h5-34H2,1-4H3;2*1H/q+2;;/p-2</t>
  </si>
  <si>
    <t>HNLSBOHXIXBIPX-UHFFFAOYSA-L</t>
  </si>
  <si>
    <t>CCCCCCCCCCCCCC[N+]1(CC#CC[N+]2(CCCCCCCCCCCCCC)CCCC2)CCCC1.[Br-].[Br-]</t>
  </si>
  <si>
    <t>InChI=1S/C40H78N2.2BrH/c1-3-5-7-9-11-13-15-17-19-21-23-25-33-41(35-27-28-36-41)39-31-32-40-42(37-29-30-38-42)34-26-24-22-20-18-16-14-12-10-8-6-4-2;;/h3-30,33-40H2,1-2H3;2*1H/q+2;;/p-2</t>
  </si>
  <si>
    <t>DKKXFJYBEAUMRQ-UHFFFAOYSA-L</t>
  </si>
  <si>
    <t>CCCCCCCCCCCCCC[N+]1(CC#CC[N+]2(CCCCCCCCCCCCCC)CCCCC2)CCCCC1.[Br-].[Br-]</t>
  </si>
  <si>
    <t>InChI=1S/C42H82N2.2BrH/c1-3-5-7-9-11-13-15-17-19-21-23-27-35-43(37-29-25-30-38-43)41-33-34-42-44(39-31-26-32-40-44)36-28-24-22-20-18-16-14-12-10-8-6-4-2;;/h3-32,35-42H2,1-2H3;2*1H/q+2;;/p-2</t>
  </si>
  <si>
    <t>SFPGWWUPJLLLCM-UHFFFAOYSA-L</t>
  </si>
  <si>
    <t>CCCCCCCCCCCCCC[N+]1(CCCC[N+]2(CCCCCCCCCCCCCC)CCCC2)CCCC1.[Br-].[Br-]</t>
  </si>
  <si>
    <t>InChI=1S/C40H82N2.2BrH/c1-3-5-7-9-11-13-15-17-19-21-23-25-33-41(35-27-28-36-41)39-31-32-40-42(37-29-30-38-42)34-26-24-22-20-18-16-14-12-10-8-6-4-2;;/h3-40H2,1-2H3;2*1H/q+2;;/p-2</t>
  </si>
  <si>
    <t>WZDKJHSQPCGAFK-UHFFFAOYSA-L</t>
  </si>
  <si>
    <t>CCCCCCCCCCCCCC[N+]1(Cc2ccc(C[N+]3(CCCCCCCCCCCCCC)CCOCC3)cc2)CCOCC1.[Cl-].[Cl-]</t>
  </si>
  <si>
    <t>morpholinium-bistetradecyl-phenylene</t>
  </si>
  <si>
    <t>InChI=1S/C44H82N2O2.2ClH/c1-3-5-7-9-11-13-15-17-19-21-23-25-31-45(33-37-47-38-34-45)41-43-27-29-44(30-28-43)42-46(35-39-48-40-36-46)32-26-24-22-20-18-16-14-12-10-8-6-4-2;;/h27-30H,3-26,31-42H2,1-2H3;2*1H/q+2;;/p-2</t>
  </si>
  <si>
    <t>GJIKVAREYXSHFS-UHFFFAOYSA-L</t>
  </si>
  <si>
    <t>CCCCCCCCCCCCCC[N+](C)(C)CC(COCC(COCC(C[N+](C)(C)CCCCCCCCCCCCCC)O)(COCC(C[N+](C)(C)CCCCCCCCCCCCCC)O)C)O.[Cl-].[Cl-].[Cl-]</t>
  </si>
  <si>
    <t>1,1,1-Tris[2-hydroxy-3-(dodecyldimethylammonio)-propoxymethyl]ethaneTrichloride</t>
  </si>
  <si>
    <t>InChI=1S/C56H114N3O6.3ClH/c1-5-8-11-14-17-20-23-26-29-32-35-38-41-57-44-53(60)47-63-50-56(4,51-64-48-54(61)45-58-42-39-36-33-30-27-24-21-18-15-12-9-6-2)52-65-49-55(62)46-59-43-40-37-34-31-28-25-22-19-16-13-10-7-3;;;/h53-55,60-62H,5-52H2,1-4H3;3*1H/q+3;;;/p-3</t>
  </si>
  <si>
    <t>UZAFNQHLMUFFMI-UHFFFAOYSA-K</t>
  </si>
  <si>
    <t>CCCCCCCCCCCCCC[NH2+]CCO.[Br-]</t>
  </si>
  <si>
    <t>Monoethanolamine-tetradecyl</t>
  </si>
  <si>
    <t>InChI=1S/C16H34NO.BrH/c1-2-3-4-5-6-7-8-9-10-11-12-13-14-17-15-16-18;/h18H,2-16H2,1H3;1H/q+1;/p-1</t>
  </si>
  <si>
    <t>BJDUIYBVCAQQNA-UHFFFAOYSA-M</t>
  </si>
  <si>
    <t>CCCCCCCCCCCCCC[P+](c1ccccc1)(c2ccccc2)c3ccccc3.[Br-]</t>
  </si>
  <si>
    <t>triphenyl(tetradecyl)phosphanium</t>
  </si>
  <si>
    <t>InChI=1S/C32H44P/c1-2-3-4-5-6-7-8-9-10-11-12-22-29-33(30-23-16-13-17-24-30,31-25-18-14-19-26-31)32-27-20-15-21-28-32/h13-21,23-28H,2-12,22,29H2,1H3/q+1</t>
  </si>
  <si>
    <t>HXWNEEZPMZTSBJ-UHFFFAOYSA-N</t>
  </si>
  <si>
    <t>CCCCCCCCCCCCCC[n+]1ccc(C(=O)NCCCCCCNC(=O)c2cc[n+](CCCCCCCCCCCCCC)cc2)cc1.[Br-].[Br-]</t>
  </si>
  <si>
    <t>10.1016/j.cclet.2011.01.030</t>
  </si>
  <si>
    <t>N,N-hexamethylenebis(1-tetradecyl-4-carbamoylpyridiniumbromide</t>
  </si>
  <si>
    <t>InChI=1S/C46H78N4O2.2BrH/c1-3-5-7-9-11-13-15-17-19-21-25-29-37-49-39-31-43(32-40-49)45(51)47-35-27-23-24-28-36-48-46(52)44-33-41-50(42-34-44)38-30-26-22-20-18-16-14-12-10-8-6-4-2;;/h31-34,39-42H,3-30,35-38H2,1-2H3;2*1H</t>
  </si>
  <si>
    <t>VPEAKSFYWKCOLE-UHFFFAOYSA-N</t>
  </si>
  <si>
    <t>CCCCCCCCCCCCCC[n+]1cccc(NC(=O)Nc2ccc[n+](CCCCCCCCCCCCCC)c2)c1.[Br-].[Br-]</t>
  </si>
  <si>
    <t>10.1007/s11743-016-1850-7</t>
  </si>
  <si>
    <t>InChI=1S/C39H67N4O.2BrH/c1-3-5-7-9-11-13-15-17-19-21-23-25-31-42-33-27-29-37(35-42)40-39(44)41-38-30-28-34-43(36-38)32-26-24-22-20-18-16-14-12-10-8-6-4-2;;/h27-30,33-36H,3-26,31-32H2,1-2H3,(H-,40,41,44);2*1H/q+1;;/p-1</t>
  </si>
  <si>
    <t>KVZKXVRSZZSPKU-UHFFFAOYSA-M</t>
  </si>
  <si>
    <t>CCCCCCCCCCCCCC[n+]1ccccc1.[Br-]</t>
  </si>
  <si>
    <t>1-tetradecylpyridin-1-ium-bromide</t>
  </si>
  <si>
    <t>InChI=1S/C19H34N.BrH/c1-2-3-4-5-6-7-8-9-10-11-12-14-17-20-18-15-13-16-19-20;/h13,15-16,18-19H,2-12,14,17H2,1H3;1H/q+1;/p-1</t>
  </si>
  <si>
    <t>HJNAJKBRYDFICV-UHFFFAOYSA-M</t>
  </si>
  <si>
    <t>CCCCCCCCCCCCCC[n+]1ccccc1.[Cl-]</t>
  </si>
  <si>
    <t>1-tetradecylpyridin-1-ium-chloride</t>
  </si>
  <si>
    <t>InChI=1S/C19H34N.ClH/c1-2-3-4-5-6-7-8-9-10-11-12-14-17-20-18-15-13-16-19-20;/h13,15-16,18-19H,2-12,14,17H2,1H3;1H/q+1;/p-1</t>
  </si>
  <si>
    <t>YFVBASFBIJFBAI-UHFFFAOYSA-M</t>
  </si>
  <si>
    <t>CCCCCCCCCCCCCC[n+]1ccn(CCOC(=O)NCCCC)c1.[Br-]</t>
  </si>
  <si>
    <t>InChI=1S/C24H45N3O2.BrH/c1-3-5-7-8-9-10-11-12-13-14-15-16-18-26-19-20-27(23-26)21-22-29-24(28)25-17-6-4-2;/h19-20,23H,3-18,21-22H2,1-2H3;1H</t>
  </si>
  <si>
    <t>SAXWXVITRSJCQU-UHFFFAOYSA-N</t>
  </si>
  <si>
    <t>4-tetradecylpyridin-1-ium-bromide</t>
  </si>
  <si>
    <t>InChI=1S/C19H33N.BrH/c1-2-3-4-5-6-7-8-9-10-11-12-13-14-19-15-17-20-18-16-19;/h15-18H,2-14H2,1H3;1H</t>
  </si>
  <si>
    <t>MDSXAVBHMVKEST-UHFFFAOYSA-N</t>
  </si>
  <si>
    <t>InChI=1S/C19H33N.ClH/c1-2-3-4-5-6-7-8-9-10-11-12-13-14-19-15-17-20-18-16-19;/h15-18H,2-14H2,1H3;1H</t>
  </si>
  <si>
    <t>PNYVHHBFJYAIBH-UHFFFAOYSA-N</t>
  </si>
  <si>
    <t>CCCCCCCCCCCCCCc1ccc(C[C@H](Nc2ccc(S(=O)(=O)[O-])cc2)C(=O)O)cc1.[Na+]</t>
  </si>
  <si>
    <t>InChI=1S/C29H43NO5S.Na/c1-2-3-4-5-6-7-8-9-10-11-12-13-14-24-15-17-25(18-16-24)23-28(29(31)32)30-26-19-21-27(22-20-26)36(33,34)35;/h15-22,28,30H,2-14,23H2,1H3,(H,31,32)(H,33,34,35);/q;+1/p-1/t28-;/m0./s1</t>
  </si>
  <si>
    <t>QXGZYPWUYXORMB-JCOPYZAKSA-M</t>
  </si>
  <si>
    <t>CCCCCCCCCCCCCCn1cc[n+](C)c1.[Br-]</t>
  </si>
  <si>
    <t>InChI=1S/C18H35N2.BrH/c1-3-4-5-6-7-8-9-10-11-12-13-14-15-20-17-16-19(2)18-20;/h16-18H,3-15H2,1-2H3;1H/q+1;/p-1</t>
  </si>
  <si>
    <t>ZKPSZHWFVLHSJM-UHFFFAOYSA-M</t>
  </si>
  <si>
    <t>CCCCCCCCCCCCCCn1cc[n+](C)c1.[Cl-]</t>
  </si>
  <si>
    <t>InChI=1S/C18H35N2.ClH/c1-3-4-5-6-7-8-9-10-11-12-13-14-15-20-17-16-19(2)18-20;/h16-18H,3-15H2,1-2H3;1H/q+1;/p-1</t>
  </si>
  <si>
    <t>SDXDXENAFAXVMX-UHFFFAOYSA-M</t>
  </si>
  <si>
    <t>CCCCCCCCCCCCCCn1cc[n+](CC(O)C[n+]2ccn(CCCCCCCCCCCCCC)c2)c1.[Cl-].[Cl-]</t>
  </si>
  <si>
    <t>InChI=1S/C37H70N4O.2ClH/c1-3-5-7-9-11-13-15-17-19-21-23-25-27-38-29-31-40(35-38)33-37(42)34-41-32-30-39(36-41)28-26-24-22-20-18-16-14-12-10-8-6-4-2;;/h29-32,35-37,42H,3-28,33-34H2,1-2H3;2*1H/q+2;;/p-2</t>
  </si>
  <si>
    <t>ZJXZUINWNBEOEA-UHFFFAOYSA-L</t>
  </si>
  <si>
    <t>CCCCCCCCCCCCCCn1cc[n+](CCCC[n+]2ccn(CCCCCCCCCCCCCC)c2)c1.[Br-].[Br-]</t>
  </si>
  <si>
    <t>1-tetradecyl-3-[4-(3-tetradecylimidazol-3-ium-1-yl)butyl]imidazol-1-ium,dibromide</t>
  </si>
  <si>
    <t>InChI=1S/C38H72N4.2BrH/c1-3-5-7-9-11-13-15-17-19-21-23-25-29-39-33-35-41(37-39)31-27-28-32-42-36-34-40(38-42)30-26-24-22-20-18-16-14-12-10-8-6-4-2;;/h33-38H,3-32H2,1-2H3;2*1H/q+2;;/p-2</t>
  </si>
  <si>
    <t>QYDWEEFGNUYLCJ-UHFFFAOYSA-L</t>
  </si>
  <si>
    <t>CCCCCCCCCCCCCCn1cc[n+](COCCCCCCOC[n+]2ccn(CCCCCCCCCCCCCC)c2)c1.[Cl-].[Cl-]</t>
  </si>
  <si>
    <t>InChI=1S/C42H80N4O2.2ClH/c1-3-5-7-9-11-13-15-17-19-21-23-27-31-43-33-35-45(39-43)41-47-37-29-25-26-30-38-48-42-46-36-34-44(40-46)32-28-24-22-20-18-16-14-12-10-8-6-4-2;;/h33-36,39-40H,3-32,37-38,41-42H2,1-2H3;2*1H/q+2;;/p-2</t>
  </si>
  <si>
    <t>ZVIKDCHSERQGRZ-UHFFFAOYSA-L</t>
  </si>
  <si>
    <t>CCCCCCCCCCCCCCn1cc[n+](COCCCCCOC[n+]2ccn(CCCCCCCCCCCCCC)c2)c1.[Cl-].[Cl-]</t>
  </si>
  <si>
    <t>InChI=1S/C41H78N4O2.2ClH/c1-3-5-7-9-11-13-15-17-19-21-23-26-30-42-32-34-44(38-42)40-46-36-28-25-29-37-47-41-45-35-33-43(39-45)31-27-24-22-20-18-16-14-12-10-8-6-4-2;;/h32-35,38-39H,3-31,36-37,40-41H2,1-2H3;2*1H/q+2;;/p-2</t>
  </si>
  <si>
    <t>SINKLYQYHCBGHE-UHFFFAOYSA-L</t>
  </si>
  <si>
    <t>CCCCCCCCCCCCCCn1cc[n+](COCCCCOC[n+]2ccn(CCCCCCCCCCCCCC)c2)c1.[Cl-].[Cl-]</t>
  </si>
  <si>
    <t>InChI=1S/C40H76N4O2.2ClH/c1-3-5-7-9-11-13-15-17-19-21-23-25-29-41-31-33-43(37-41)39-45-35-27-28-36-46-40-44-34-32-42(38-44)30-26-24-22-20-18-16-14-12-10-8-6-4-2;;/h31-34,37-38H,3-30,35-36,39-40H2,1-2H3;2*1H/q+2;;/p-2</t>
  </si>
  <si>
    <t>RNRWOBGJSXVPAU-UHFFFAOYSA-L</t>
  </si>
  <si>
    <t>CCCCCCCCCCCCCCn1cc[n+](COCCCOC[n+]2ccn(CCCCCCCCCCCCCC)c2)c1.[Cl-].[Cl-]</t>
  </si>
  <si>
    <t>InChI=1S/C39H74N4O2.2ClH/c1-3-5-7-9-11-13-15-17-19-21-23-25-28-40-30-32-42(36-40)38-44-34-27-35-45-39-43-33-31-41(37-43)29-26-24-22-20-18-16-14-12-10-8-6-4-2;;/h30-33,36-37H,3-29,34-35,38-39H2,1-2H3;2*1H/q+2;;/p-2</t>
  </si>
  <si>
    <t>YMXUTOBXPYGLTN-UHFFFAOYSA-L</t>
  </si>
  <si>
    <t>CCCCCCCCCCCCCCn1cc[n+](COCCOC[n+]2ccn(CCCCCCCCCCCCCC)c2)c1.[Cl-].[Cl-]</t>
  </si>
  <si>
    <t>InChI=1S/C38H72N4O2.2ClH/c1-3-5-7-9-11-13-15-17-19-21-23-25-27-39-29-31-41(35-39)37-43-33-34-44-38-42-32-30-40(36-42)28-26-24-22-20-18-16-14-12-10-8-6-4-2;;/h29-32,35-36H,3-28,33-34,37-38H2,1-2H3;2*1H/q+2;;/p-2</t>
  </si>
  <si>
    <t>JRKIOENEYADAQC-UHFFFAOYSA-L</t>
  </si>
  <si>
    <t>CCCCCCCCCCCCCNCC(=O)OCCOCCOCCOCCO</t>
  </si>
  <si>
    <t>InChI=1S/C23H47NO6/c1-2-3-4-5-6-7-8-9-10-11-12-13-24-22-23(26)30-21-20-29-19-18-28-17-16-27-15-14-25/h24-25H,2-22H2,1H3</t>
  </si>
  <si>
    <t>GLKXDMNCLWTTJT-UHFFFAOYSA-N</t>
  </si>
  <si>
    <t>2-[2-[2-[2-(2-tridecoxyethoxy)ethoxy]ethoxy]ethoxy]ethanol</t>
  </si>
  <si>
    <t>InChI=1S/C23H48O6/c1-2-3-4-5-6-7-8-9-10-11-12-14-25-16-18-27-20-22-29-23-21-28-19-17-26-15-13-24/h24H,2-23H2,1H3</t>
  </si>
  <si>
    <t>FJJPDQOHCDOSQU-UHFFFAOYSA-N</t>
  </si>
  <si>
    <t>2-[2-[2-[2-[2-[2-[2-(2-tridecoxyethoxy)ethoxy]ethoxy]ethoxy]ethoxy]ethoxy]ethoxy]ethanol</t>
  </si>
  <si>
    <t>InChI=1S/C29H60O9/c1-2-3-4-5-6-7-8-9-10-11-12-14-31-16-18-33-20-22-35-24-26-37-28-29-38-27-25-36-23-21-34-19-17-32-15-13-30/h30H,2-29H2,1H3</t>
  </si>
  <si>
    <t>DFVNYTSHNSXEMH-UHFFFAOYSA-N</t>
  </si>
  <si>
    <t>CCCCCCCCCCCCCON(C)CCOCCOCCOCCO</t>
  </si>
  <si>
    <t>InChI=1S/C22H47NO5/c1-3-4-5-6-7-8-9-10-11-12-13-16-28-23(2)14-17-25-19-21-27-22-20-26-18-15-24/h24H,3-22H2,1-2H3</t>
  </si>
  <si>
    <t>MAKXAYLQWRHMDE-UHFFFAOYSA-N</t>
  </si>
  <si>
    <t>CCCCCCCCCCCCCON(C)CCOCCOCCOCCOCCOCCOCCO</t>
  </si>
  <si>
    <t>InChI=1S/C28H59NO8/c1-3-4-5-6-7-8-9-10-11-12-13-16-37-29(2)14-17-31-19-21-33-23-25-35-27-28-36-26-24-34-22-20-32-18-15-30/h30H,3-28H2,1-2H3</t>
  </si>
  <si>
    <t>PLIVHJGQSVXGBD-UHFFFAOYSA-N</t>
  </si>
  <si>
    <t>CCCCCCCCCCCCCON(C)CCOCCOCCOCCOCCOCCOCCOCCOCCOCCO</t>
  </si>
  <si>
    <t>InChI=1S/C34H71NO11/c1-3-4-5-6-7-8-9-10-11-12-13-16-46-35(2)14-17-37-19-21-39-23-25-41-27-29-43-31-33-45-34-32-44-30-28-42-26-24-40-22-20-38-18-15-36/h36H,3-34H2,1-2H3</t>
  </si>
  <si>
    <t>RIRBJHPYSOPSES-UHFFFAOYSA-N</t>
  </si>
  <si>
    <t>CCCCCCCCCCCCCONCCOCCOCCOCCO</t>
  </si>
  <si>
    <t>InChI=1S/C21H45NO5/c1-2-3-4-5-6-7-8-9-10-11-12-15-27-22-13-16-24-18-20-26-21-19-25-17-14-23/h22-23H,2-21H2,1H3</t>
  </si>
  <si>
    <t>VZUBNPJSHIITMH-UHFFFAOYSA-N</t>
  </si>
  <si>
    <t>CCCCCCCCCCCCCOOCCOCCOCCOCCOCCOCCOCCOCC</t>
  </si>
  <si>
    <t>InChI=1S/C29H60O9/c1-3-5-6-7-8-9-10-11-12-13-14-15-37-38-29-28-36-27-26-35-25-24-34-23-22-33-21-20-32-19-18-31-17-16-30-4-2/h3-29H2,1-2H3</t>
  </si>
  <si>
    <t>OWGJFHBUMLPRFK-UHFFFAOYSA-N</t>
  </si>
  <si>
    <t>CCCCCCCCCCCCCOS(=O)(=O)[O-].[Na+]</t>
  </si>
  <si>
    <t>sodium-tridecyl-sulfate</t>
  </si>
  <si>
    <t>InChI=1S/C13H28O4S.Na/c1-2-3-4-5-6-7-8-9-10-11-12-13-17-18(14,15)16;/h2-13H2,1H3,(H,14,15,16);/q;+1/p-1</t>
  </si>
  <si>
    <t>HQCFDOOSGDZRII-UHFFFAOYSA-M</t>
  </si>
  <si>
    <t>CCCCCCCCCCCCCS(=O)(=O)[O-].[Na+]</t>
  </si>
  <si>
    <t>sodium-tridecane-1-sulfonate</t>
  </si>
  <si>
    <t>InChI=1S/C13H28O3S.Na/c1-2-3-4-5-6-7-8-9-10-11-12-13-17(14,15)16;/h2-13H2,1H3,(H,14,15,16);/q;+1/p-1</t>
  </si>
  <si>
    <t>CACJZDMMUHMEBN-UHFFFAOYSA-M</t>
  </si>
  <si>
    <t>CCCCCCCCCCCCC[C@H](NCCOCCOCCOCCO)C(=O)O</t>
  </si>
  <si>
    <t>InChI=1S/C23H47NO6/c1-2-3-4-5-6-7-8-9-10-11-12-13-22(23(26)27)24-14-16-28-18-20-30-21-19-29-17-15-25/h22,24-25H,2-21H2,1H3,(H,26,27)/t22-/m0/s1</t>
  </si>
  <si>
    <t>RFOVSGVTAMNMCR-QFIPXVFZSA-N</t>
  </si>
  <si>
    <t>CCCCCCCCCCCCC[C@H](Nc1ccc(S(=O)(=O)[O-])cc1)C(=O)O.[Na+]</t>
  </si>
  <si>
    <t>InChI=1S/C21H35NO5S.Na/c1-2-3-4-5-6-7-8-9-10-11-12-13-20(21(23)24)22-18-14-16-19(17-15-18)28(25,26)27;/h14-17,20,22H,2-13H2,1H3,(H,23,24)(H,25,26,27);/q;+1/p-1/t20-;/m0./s1</t>
  </si>
  <si>
    <t>XJBVWTNDLOLJAW-BDQAORGHSA-M</t>
  </si>
  <si>
    <t>CCCCCCCCCCCCC[N+](C)(C)CCCCCC[N+](C)(C)CCCCCCCCCCC.[Br-].[Br-]</t>
  </si>
  <si>
    <t>InChI=1S/C34H74N2.2BrH/c1-7-9-11-13-15-17-18-20-22-24-28-32-36(5,6)34-30-26-25-29-33-35(3,4)31-27-23-21-19-16-14-12-10-8-2;;/h7-34H2,1-6H3;2*1H/q+2;;/p-2</t>
  </si>
  <si>
    <t>LYBGTZJKDDQFAN-UHFFFAOYSA-L</t>
  </si>
  <si>
    <t>CCCCCCCCCCCCC[N+](C)(C)CCCCC[N+](C)(C)CCCCCCCCCCCCC.[Br-].[Br-]</t>
  </si>
  <si>
    <t>N,N'-bis(tridecyldimethyl)-3-methyl-1,5-pentanediammoniumdibromide</t>
  </si>
  <si>
    <t>InChI=1S/C35H76N2.2BrH/c1-7-9-11-13-15-17-19-21-23-25-28-32-36(3,4)34-30-27-31-35-37(5,6)33-29-26-24-22-20-18-16-14-12-10-8-2;;/h7-35H2,1-6H3;2*1H/q+2;;/p-2</t>
  </si>
  <si>
    <t>KPLOAHOAUYCFBI-UHFFFAOYSA-L</t>
  </si>
  <si>
    <t>CCCCCCCCCCCCC[N+](C)(C)CCCCNC[N+](C)(C)CCCCCCCCCCCCC.[Br-].[Br-]</t>
  </si>
  <si>
    <t>InChI=1S/C35H77N3.2BrH/c1-7-9-11-13-15-17-19-21-23-25-28-32-37(3,4)33-30-27-31-36-35-38(5,6)34-29-26-24-22-20-18-16-14-12-10-8-2;;/h36H,7-35H2,1-6H3;2*1H/q+2;;/p-2</t>
  </si>
  <si>
    <t>GJCVSWDZRQPYBY-UHFFFAOYSA-L</t>
  </si>
  <si>
    <t>CCCCCCCCCCCCC[N+](C)(C)CCCCO[N+](C)(C)CCCCCCCCCCCCC.[Br-].[Br-]</t>
  </si>
  <si>
    <t>InChI=1S/C34H74N2O.2BrH/c1-7-9-11-13-15-17-19-21-23-25-27-31-35(3,4)32-29-30-34-37-36(5,6)33-28-26-24-22-20-18-16-14-12-10-8-2;;/h7-34H2,1-6H3;2*1H/q+2;;/p-2</t>
  </si>
  <si>
    <t>REFUCJQLTBWFBE-UHFFFAOYSA-L</t>
  </si>
  <si>
    <t>CCCCCCCCCCCCC[N+](C)(C)CCN(C)CC[N+](C)(C)CCCCCCCCCCCCC.[Br-].[Br-]</t>
  </si>
  <si>
    <t>N,N'-bis(tridecyldimethyl)-3-N-methyl-1,5-pentanediammoniumdibromide</t>
  </si>
  <si>
    <t>InChI=1S/C35H77N3.2BrH/c1-8-10-12-14-16-18-20-22-24-26-28-32-37(4,5)34-30-36(3)31-35-38(6,7)33-29-27-25-23-21-19-17-15-13-11-9-2;;/h8-35H2,1-7H3;2*1H/q+2;;/p-2</t>
  </si>
  <si>
    <t>FERGIBHPUWXPKH-UHFFFAOYSA-L</t>
  </si>
  <si>
    <t>CCCCCCCCCCCCC[N+](C)(C)CCOCC[N+](C)(C)CCCCCCCCCCCCC.[Br-].[Br-]</t>
  </si>
  <si>
    <t>N,N'-bis(tridecyldimethyl)-3-O-1,5-pentanediammoniumdibromide</t>
  </si>
  <si>
    <t>InChI=1S/C34H74N2O.2BrH/c1-7-9-11-13-15-17-19-21-23-25-27-29-35(3,4)31-33-37-34-32-36(5,6)30-28-26-24-22-20-18-16-14-12-10-8-2;;/h7-34H2,1-6H3;2*1H/q+2;;/p-2</t>
  </si>
  <si>
    <t>CNLUPBHYUWEYAS-UHFFFAOYSA-L</t>
  </si>
  <si>
    <t>CCCCCCCCCCCCC[N+]1(CCC#CCC[N+]2(CCCCCCCCCCCCC)CCCC2)CCCC1.[Br-].[Br-]</t>
  </si>
  <si>
    <t>InChI=1S/C40H78N2.2BrH/c1-3-5-7-9-11-13-15-17-19-21-25-33-41(37-29-30-38-41)35-27-23-24-28-36-42(39-31-32-40-42)34-26-22-20-18-16-14-12-10-8-6-4-2;;/h3-22,25-40H2,1-2H3;2*1H/q+2;;/p-2</t>
  </si>
  <si>
    <t>ONPVCWKJXCCFNH-UHFFFAOYSA-L</t>
  </si>
  <si>
    <t>CCCCCCCCCCCCC[N+]1(CCC#CCC[N+]2(CCCCCCCCCCCCC)CCCCC2)CCCCC1.[Br-].[Br-]</t>
  </si>
  <si>
    <t>InChI=1S/C42H82N2.2BrH/c1-3-5-7-9-11-13-15-17-19-21-27-35-43(39-31-25-32-40-43)37-29-23-24-30-38-44(41-33-26-34-42-44)36-28-22-20-18-16-14-12-10-8-6-4-2;;/h3-22,25-42H2,1-2H3;2*1H/q+2;;/p-2</t>
  </si>
  <si>
    <t>ANMIBWNIXJLHNX-UHFFFAOYSA-L</t>
  </si>
  <si>
    <t>CCCCCCCCCCCCC[n+]1ccccc1.[Br-]</t>
  </si>
  <si>
    <t>1-tridecylpyridin-1-ium-bromide</t>
  </si>
  <si>
    <t>InChI=1S/C18H32N.BrH/c1-2-3-4-5-6-7-8-9-10-11-13-16-19-17-14-12-15-18-19;/h12,14-15,17-18H,2-11,13,16H2,1H3;1H/q+1;/p-1</t>
  </si>
  <si>
    <t>DGNBZUZCZMKTSU-UHFFFAOYSA-M</t>
  </si>
  <si>
    <t>4-tridecylpyridin-1-ium-bromide</t>
  </si>
  <si>
    <t>InChI=1S/C18H31N.BrH/c1-2-3-4-5-6-7-8-9-10-11-12-13-18-14-16-19-17-15-18;/h14-17H,2-13H2,1H3;1H</t>
  </si>
  <si>
    <t>IVJBGDLKLFFHMJ-UHFFFAOYSA-N</t>
  </si>
  <si>
    <t>CCCCCCCCCCCCN(C)C(=O)C(O)C(O)C(O)C(O)CO</t>
  </si>
  <si>
    <t>InChI=1S/C19H39NO6/c1-3-4-5-6-7-8-9-10-11-12-13-20(2)19(26)18(25)17(24)16(23)15(22)14-21/h15-18,21-25H,3-14H2,1-2H3</t>
  </si>
  <si>
    <t>WRBSFINFCKCUDF-UHFFFAOYSA-N</t>
  </si>
  <si>
    <t>CCCCCCCCCCCCN(C(C(C(C(C(CO)O)O)O)O)=O)C</t>
  </si>
  <si>
    <t>InChI=1S/C18H37NO5/c1-3-4-5-6-7-8-9-10-11-12-13-19(2)18(21)14-22-16-24-17-23-15-20/h20H,3-17H2,1-2H3</t>
  </si>
  <si>
    <t>GJUGCJJEXNJEIE-UHFFFAOYSA-N</t>
  </si>
  <si>
    <t>CCCCCCCCCCCCN(C)C(=O)[C@H](O)[C@@H](O)[C@H](O)[C@H](O)CO</t>
  </si>
  <si>
    <t>N-dodecyl-N-methylgluconamide</t>
  </si>
  <si>
    <t>InChI=1S/C19H39NO6/c1-3-4-5-6-7-8-9-10-11-12-13-20(2)19(26)18(25)17(24)16(23)15(22)14-21/h15-18,21-25H,3-14H2,1-2H3/t15-,16-,17+,18-/m1/s1</t>
  </si>
  <si>
    <t>WRBSFINFCKCUDF-ZJPYXAASSA-N</t>
  </si>
  <si>
    <t>CCCCCCCCCCCCN(C([C@@H]([C@H]([C@@H]([C@@H](CO)O)O[C@@H]1O[C@@H]([C@H]([C@@H]([C@H]1O)O)O)CO)O)O)=O)C</t>
  </si>
  <si>
    <t>N-dodecyl-N-methyllactobionamide</t>
  </si>
  <si>
    <t>InChI=1S/C25H49NO10/c1-4-5-6-7-8-9-10-11-12-13-14-26(3)24(34)21(32)20(31)23(17(28)15-27)36-25-22(33)19(30)18(29)16(2)35-25/h16-23,25,27-33H,4-15H2,1-3H3/t16-,17-,18+,19+,20-,21-,22-,23-,25+/m1/s1</t>
  </si>
  <si>
    <t>LHLMQWHXSJLVAC-NXFMKOSNSA-N</t>
  </si>
  <si>
    <t>CCCCCCCCCCCCN(C)C.Cl</t>
  </si>
  <si>
    <t>10.1006/jcis.1994.1186</t>
  </si>
  <si>
    <t>InChI=1S/C14H31N.ClH/c1-4-5-6-7-8-9-10-11-12-13-14-15(2)3;/h4-14H2,1-3H3;1H</t>
  </si>
  <si>
    <t>PGQAXGHQYGXVDC-UHFFFAOYSA-N</t>
  </si>
  <si>
    <t>CCCCCCCCCCCCN(CCCNC(=O)C(O)C(O)C(O)C(O)C(O)CO)CCN(CCCCCCCCCCCC)CCCNC(=O)C(O)C(O)C(O)C(O)C(O)CO</t>
  </si>
  <si>
    <t>10.1016/j.jcis.2003.09.020</t>
  </si>
  <si>
    <t>N,N-bistetradecyl-N,N-bis[(3-gluconylamide)propyl]ethylenediamines</t>
  </si>
  <si>
    <t>InChI=1S/C46H94N4O14/c1-3-5-7-9-11-13-15-17-19-21-27-49(29-23-25-47-45(63)43(61)41(59)39(57)37(55)35(53)33-51)31-32-50(28-22-20-18-16-14-12-10-8-6-4-2)30-24-26-48-46(64)44(62)42(60)40(58)38(56)36(54)34-52/h35-44,51-62H,3-34H2,1-2H3,(H,47,63)(H,48,64)</t>
  </si>
  <si>
    <t>VGKHUDLBLARLRD-UHFFFAOYSA-N</t>
  </si>
  <si>
    <t>CCCCCCCCCCCCN(CCCNC(=O)C(O)C(O)C(O)C(O)CO)CCN(CCCCCCCCCCCC)CCCNC(=O)C(O)C(O)C(O)C(O)CO</t>
  </si>
  <si>
    <t>N,N-bisdodecyl-N,N-bis[(3-gluconylamide)propyl]ethylenediamines</t>
  </si>
  <si>
    <t>InChI=1S/C44H90N4O12/c1-3-5-7-9-11-13-15-17-19-21-27-47(29-23-25-45-43(59)41(57)39(55)37(53)35(51)33-49)31-32-48(28-22-20-18-16-14-12-10-8-6-4-2)30-24-26-46-44(60)42(58)40(56)38(54)36(52)34-50/h35-42,49-58H,3-34H2,1-2H3,(H,45,59)(H,46,60)</t>
  </si>
  <si>
    <t>NMJHEAHCBBAOTR-UHFFFAOYSA-N</t>
  </si>
  <si>
    <t>CCCCCCCCCCCCN(C(N(C)C)=[NH2+])CCC[N+](C)(CCCCCCCCCCCC)C.[Cl-].[Cl-]</t>
  </si>
  <si>
    <t>10.1016/j.colsurfa.2012.11.004</t>
  </si>
  <si>
    <t>InChI=1S/C32H68N4.2ClH/c1-7-9-11-13-15-17-19-21-23-25-28-35(32(33)34(3)4)29-27-31-36(5,6)30-26-24-22-20-18-16-14-12-10-8-2;;/h7-31H2,1-6H3;2*1H/q+2;;/p-2</t>
  </si>
  <si>
    <t>PGFDSTDTFYXIKP-UHFFFAOYSA-L</t>
  </si>
  <si>
    <t>CCCCCCCCCCCCN=Cc1ccc([N+](C)(CC)CC)cc1.[I-]</t>
  </si>
  <si>
    <t>4-diethylaminobenzaldehyde-1-dodecylamine</t>
  </si>
  <si>
    <t>InChI=1S/C24H43N2.HI/c1-5-8-9-10-11-12-13-14-15-16-21-25-22-23-17-19-24(20-18-23)26(4,6-2)7-3;/h17-20,22H,5-16,21H2,1-4H3;1H/q+1;/p-1</t>
  </si>
  <si>
    <t>RGVGTBCHEFTAJJ-UHFFFAOYSA-M</t>
  </si>
  <si>
    <t>CCCCCCCCCCCCNC(=O)C(O)C(O)C(OC1OC(CO)C(O)C(O)C1O)C(O)CO</t>
  </si>
  <si>
    <t>10.1006/jcis.1996.0054</t>
  </si>
  <si>
    <t>Dodecyl-D-maltonamide</t>
  </si>
  <si>
    <t>InChI=1S/C24H47NO11/c1-2-3-4-5-6-7-8-9-10-11-12-25-23(34)20(32)19(31)22(15(28)13-26)36-24-21(33)18(30)17(29)16(14-27)35-24/h15-22,24,26-33H,2-14H2,1H3,(H,25,34)</t>
  </si>
  <si>
    <t>LFNJILUYRQKLJY-UHFFFAOYSA-N</t>
  </si>
  <si>
    <t>CCCCCCCCCCCCNC(=O)CC[N+](C)(C)CCC(=O)NCCCCCCCCCCCC.[Br-]</t>
  </si>
  <si>
    <t>10.1016/j.colsurfa.2015.01.050</t>
  </si>
  <si>
    <t>N,N-dimethyl-N,N-bis[2-(N-dodecylcarbamoyl)ethyl]ammoniumbromides</t>
  </si>
  <si>
    <t>InChI=1S/C32H65N3O2.BrH/c1-5-7-9-11-13-15-17-19-21-23-27-33-31(36)25-29-35(3,4)30-26-32(37)34-28-24-22-20-18-16-14-12-10-8-6-2;/h5-30H2,1-4H3,(H-,33,34,36,37);1H</t>
  </si>
  <si>
    <t>FKPTWRIZZYQUSU-UHFFFAOYSA-N</t>
  </si>
  <si>
    <t>CCCCCCCCCCCCNC(=O)C[N+](C)(C)CCCCCCCCCCCC[N+](C)(C)CC(=O)NCCCCCCCCCCCC.[Cl-].[Cl-]</t>
  </si>
  <si>
    <t>InChI=1S/C44H90N4O2.2ClH/c1-7-9-11-13-15-17-21-25-29-33-37-45-43(49)41-47(3,4)39-35-31-27-23-19-20-24-28-32-36-40-48(5,6)42-44(50)46-38-34-30-26-22-18-16-14-12-10-8-2;;/h7-42H2,1-6H3;2*1H</t>
  </si>
  <si>
    <t>BHTUHJCYQPAVIF-UHFFFAOYSA-N</t>
  </si>
  <si>
    <t>CCCCCCCCCCCCNC(=O)C[N+](C)(C)CCCCCC[N+](C)(C)CC(=O)NCCCCCCCCCCCC.[Cl-].[Cl-]</t>
  </si>
  <si>
    <t>InChI=1S/C38H78N4O2.2ClH/c1-7-9-11-13-15-17-19-21-23-27-31-39-37(43)35-41(3,4)33-29-25-26-30-34-42(5,6)36-38(44)40-32-28-24-22-20-18-16-14-12-10-8-2;;/h7-36H2,1-6H3;2*1H</t>
  </si>
  <si>
    <t>HZALFXDEHYBAAM-UHFFFAOYSA-N</t>
  </si>
  <si>
    <t>CCCCCCCCCCCCNC(=O)C[N+](C)(C)CCNC(=O)COc1ccccc1.[Cl-]</t>
  </si>
  <si>
    <t>N-dodecylcaramoylmethyl-N-[2-(2-phenoxyacetamido)-ethyl]-N,Ndimethylammoniumchloride</t>
  </si>
  <si>
    <t>InChI=1S/C26H45N3O3.ClH/c1-4-5-6-7-8-9-10-11-12-16-19-27-25(30)22-29(2,3)21-20-28-26(31)23-32-24-17-14-13-15-18-24;/h13-15,17-18H,4-12,16,19-23H2,1-3H3,(H-,27,28,30,31);1H</t>
  </si>
  <si>
    <t>NMEYMSHQMANRKQ-UHFFFAOYSA-N</t>
  </si>
  <si>
    <t>CCCCCCCCCCCCNCC(=O)NCOCC(CO)OCC(O)COCCCCCCCCCCCCNCC(=O)NCOCC(CO)OCC(O)COCC</t>
  </si>
  <si>
    <t>InChI=1S/C44H90N4O12/c1-3-5-6-7-8-9-12-15-18-21-24-45-28-44(54)48-38-58-36-42(30-50)60-34-40(52)32-56-26-23-20-17-14-11-10-13-16-19-22-25-46-27-43(53)47-37-57-35-41(29-49)59-33-39(51)31-55-4-2/h39-42,45-46,49-52H,3-38H2,1-2H3,(H,47,53)(H,48,54)</t>
  </si>
  <si>
    <t>SDEGAENYKZNCDU-UHFFFAOYSA-N</t>
  </si>
  <si>
    <t>CCCCCCCCCCCCNCC(=O)NCOCC(O)C(O)C(O)COCCCCCCCCCCCCNCC(=O)NCOCC(O)C(O)C(O)COCC</t>
  </si>
  <si>
    <t>InChI=1S/C42H86N4O12/c1-3-5-6-7-8-9-12-15-18-21-24-43-28-40(52)46-34-58-32-38(50)42(54)36(48)30-56-26-23-20-17-14-11-10-13-16-19-22-25-44-27-39(51)45-33-57-31-37(49)41(53)35(47)29-55-4-2/h35-38,41-44,47-50,53-54H,3-34H2,1-2H3,(H,45,51)(H,46,52)</t>
  </si>
  <si>
    <t>IMYUFJQWRKCEQU-UHFFFAOYSA-N</t>
  </si>
  <si>
    <t>CCCCCCCCCCCCOC(=O)C(C)[N+](C)(C)CC[N+](C)(C)C(C)C(=O)OCCCCCCCCCCCC.[Br-].[Br-]</t>
  </si>
  <si>
    <t>10.1246/cl.2012.1096</t>
  </si>
  <si>
    <t>InChI=1S/C36H74N2O4.2BrH/c1-9-11-13-15-17-19-21-23-25-27-31-41-35(39)33(3)37(5,6)29-30-38(7,8)34(4)36(40)42-32-28-26-24-22-20-18-16-14-12-10-2;;/h33-34H,9-32H2,1-8H3;2*1H/q+2;;/p-2</t>
  </si>
  <si>
    <t>MDLUAVVCMGEWSL-UHFFFAOYSA-L</t>
  </si>
  <si>
    <t>CCCCCCCCCCCCOC(=O)CC[N+](C)(C)CCC(=O)OCCCCCCCCCCCC.[Br-]</t>
  </si>
  <si>
    <t>N,N-dimethyl-N,N-bis[2-dodecaneoxycarbonyl)ethyl]ammoniumbromides</t>
  </si>
  <si>
    <t>InChI=1S/C32H64NO4.BrH/c1-5-7-9-11-13-15-17-19-21-23-29-36-31(34)25-27-33(3,4)28-26-32(35)37-30-24-22-20-18-16-14-12-10-8-6-2;/h5-30H2,1-4H3;1H/q+1;/p-1</t>
  </si>
  <si>
    <t>QELHTFUGAFSQKM-UHFFFAOYSA-M</t>
  </si>
  <si>
    <t>CCCCCCCCCCCCOC(=O)C[N+](C)(C)C(=O)NCCCCCCNC(=O)[N+](C)(C)CC(=O)OCCCCCCCCCCCC.[Cl-].[Cl-]</t>
  </si>
  <si>
    <t>InChI=1S/C40H78N4O6.2ClH/c1-7-9-11-13-15-17-19-21-25-29-33-49-37(45)35-43(3,4)39(47)41-31-27-23-24-28-32-42-40(48)44(5,6)36-38(46)50-34-30-26-22-20-18-16-14-12-10-8-2;;/h7-36H2,1-6H3;2*1H</t>
  </si>
  <si>
    <t>ZSZWMCGKDDTRRT-UHFFFAOYSA-N</t>
  </si>
  <si>
    <t>CCCCCCCCCCCCOC(=O)C[N+](C)(C)CCCCCC[N+](C)(C)CC(=O)OCCCCCCCCCCCC.[Cl-].[Cl-]</t>
  </si>
  <si>
    <t>(2-dodecoxy-2-oxoethyl)-[6-[(2-dodecoxy-2-oxoethyl)-dimethylazaniumyl]hexyl]-dimethylazanium-dichloride</t>
  </si>
  <si>
    <t>InChI=1S/C38H78N2O4.2ClH/c1-7-9-11-13-15-17-19-21-25-29-33-43-37(41)35-39(3,4)31-27-23-24-28-32-40(5,6)36-38(42)44-34-30-26-22-20-18-16-14-12-10-8-2;;/h7-36H2,1-6H3;2*1H/q+2;;/p-2</t>
  </si>
  <si>
    <t>XINQFOMFQFGGCQ-UHFFFAOYSA-L</t>
  </si>
  <si>
    <t>CCCCCCCCCCCCOC(=O)C[N+](C)(C)CCOCCO.[Cl-]</t>
  </si>
  <si>
    <t>2-(dodecyloxy)-N-(2-(2-hydroxyethoxy)ethyl)-N,N-dimethyl-2-oxoethanaminiumchloride</t>
  </si>
  <si>
    <t>InChI=1S/C20H42NO4.ClH/c1-4-5-6-7-8-9-10-11-12-13-16-25-20(23)19-21(2,3)14-17-24-18-15-22;/h22H,4-19H2,1-3H3;1H/q+1;/p-1</t>
  </si>
  <si>
    <t>JSIXWFQZOZJWKM-UHFFFAOYSA-M</t>
  </si>
  <si>
    <t>CCCCCCCCCCCCOC(=O)C[N+](CC)(CC)c1ccc(C=NCCN=Cc2ccc([N+](CC)(CC)CC(=O)OCCCCCCCCCCCC)cc2)cc1.[Cl-].[Cl-]</t>
  </si>
  <si>
    <t>InChI=1S/C52H88N4O4.2ClH/c1-7-13-15-17-19-21-23-25-27-29-41-59-51(57)45-55(9-3,10-4)49-35-31-47(32-36-49)43-53-39-40-54-44-48-33-37-50(38-34-48)56(11-5,12-6)46-52(58)60-42-30-28-26-24-22-20-18-16-14-8-2;;/h31-38,43-44H,7-30,39-42,45-46H2,1-6H3;2*1H/q+2;;/p-2</t>
  </si>
  <si>
    <t>HPCFOLFPJREFNQ-UHFFFAOYSA-L</t>
  </si>
  <si>
    <t>CCCCCCCCCCCCOC(=O)C[n+]1c(N=Cc2ccc(OC)cc2)sc2ccccc21.[Br-]</t>
  </si>
  <si>
    <t>2-[(4-methoxybenzylidene)amino]-3-(2-oxo-2-dodecyloxyethyl)-1,3-benzothiazol-3-iumBromide</t>
  </si>
  <si>
    <t>InChI=1S/C29H39N2O3S.BrH/c1-3-4-5-6-7-8-9-10-11-14-21-34-28(32)23-31-26-15-12-13-16-27(26)35-29(31)30-22-24-17-19-25(33-2)20-18-24;/h12-13,15-20,22H,3-11,14,21,23H2,1-2H3;1H/q+1;/p-1</t>
  </si>
  <si>
    <t>NWOHQMPGMQFDOJ-UHFFFAOYSA-M</t>
  </si>
  <si>
    <t>CCCCCCCCCCCCOC(=O)C[n+]1c(N=Cc2ccccc2)sc2ccccc21.[Br-]</t>
  </si>
  <si>
    <t>2-(benzylideneamino)-3-(2-oxo-2-dodecyloxyethyl)-1,3-benzothiazol-3-iumbromide</t>
  </si>
  <si>
    <t>InChI=1S/C28H37N2O2S.BrH/c1-2-3-4-5-6-7-8-9-10-16-21-32-27(31)23-30-25-19-14-15-20-26(25)33-28(30)29-22-24-17-12-11-13-18-24;/h11-15,17-20,22H,2-10,16,21,23H2,1H3;1H/q+1;/p-1</t>
  </si>
  <si>
    <t>FLTCCTGKOHCNRM-UHFFFAOYSA-M</t>
  </si>
  <si>
    <t>CCCCCCCCCCCCOC(=O)C[n+]1ccc(CCCc2cc[n+](CC(=O)OCCCCCCCCCCCC)cc2)cc1.[Br-].[Br-]</t>
  </si>
  <si>
    <t>InChI=1S/C41H68N2O4.2BrH/c1-3-5-7-9-11-13-15-17-19-21-34-46-40(44)36-42-30-26-38(27-31-42)24-23-25-39-28-32-43(33-29-39)37-41(45)47-35-22-20-18-16-14-12-10-8-6-4-2;;/h26-33H,3-25,34-37H2,1-2H3;2*1H/q+2;;/p-2</t>
  </si>
  <si>
    <t>HNFZSLHYFFVGDD-UHFFFAOYSA-L</t>
  </si>
  <si>
    <t>CCCCCCCCCCCCOC(=O)C[n+]1cccc(N=Cc2ccc(O)c(OC)c2)c1.[Br-]</t>
  </si>
  <si>
    <t>InChI=1S/C27H38N2O4.BrH/c1-3-4-5-6-7-8-9-10-11-12-18-33-27(31)22-29-17-13-14-24(21-29)28-20-23-15-16-25(30)26(19-23)32-2;/h13-17,19-21H,3-12,18,22H2,1-2H3;1H</t>
  </si>
  <si>
    <t>YZCWCWDTLXBXBT-UHFFFAOYSA-N</t>
  </si>
  <si>
    <t>CCCCCCCCCCCCOC(=O)C[n+]1cccc2ccc(CN3CCCCC3)c(O)c21.[Br-]</t>
  </si>
  <si>
    <t>7-Pipridinomethyl-8-hydroxy-N-methylcarboxydodecyl-quinoliniumbromide</t>
  </si>
  <si>
    <t>InChI=1S/C29H44N2O3.BrH/c1-2-3-4-5-6-7-8-9-10-14-22-34-27(32)24-31-21-15-16-25-17-18-26(29(33)28(25)31)23-30-19-12-11-13-20-30;/h15-18,21H,2-14,19-20,22-24H2,1H3;1H</t>
  </si>
  <si>
    <t>HERYYJULRVDTOT-UHFFFAOYSA-N</t>
  </si>
  <si>
    <t>CCCCCCCCCCCCOC(=O)C[n+]1cccc2ccc(CN3CCOCC3)c(O)c21.[Br-]</t>
  </si>
  <si>
    <t>7-Morphilinomethyl-8-hydroxy-N-methylcarboxydodecyl-quinoliniumbromide</t>
  </si>
  <si>
    <t>InChI=1S/C28H42N2O4.BrH/c1-2-3-4-5-6-7-8-9-10-11-19-34-26(31)23-30-16-12-13-24-14-15-25(28(32)27(24)30)22-29-17-20-33-21-18-29;/h12-16H,2-11,17-23H2,1H3;1H</t>
  </si>
  <si>
    <t>LDFNFIQTACIRTB-UHFFFAOYSA-N</t>
  </si>
  <si>
    <t>CCCCCCCCCCCCOC(=O)C[n+]1oc(C)cc1N=Cc1ccccc1.[Br-]</t>
  </si>
  <si>
    <t>InChI=1S/C25H37N2O3.BrH/c1-3-4-5-6-7-8-9-10-11-15-18-29-25(28)21-27-24(19-22(2)30-27)26-20-23-16-13-12-14-17-23;/h12-14,16-17,19-20H,3-11,15,18,21H2,1-2H3;1H/q+1;/p-1</t>
  </si>
  <si>
    <t>DAVVMSPDAJQEDP-UHFFFAOYSA-M</t>
  </si>
  <si>
    <t>CCCCCCCCCCCCOC(=O)[N+](CC)(CC)CC.[I-]</t>
  </si>
  <si>
    <t>2-(dodecyloxy)-2-oxoethyl-N,N,N-triethylammoniumiodide</t>
  </si>
  <si>
    <t>InChI=1S/C19H40NO2.HI/c1-5-9-10-11-12-13-14-15-16-17-18-22-19(21)20(6-2,7-3)8-4;/h5-18H2,1-4H3;1H/q+1;/p-1</t>
  </si>
  <si>
    <t>AYHWNLZKZMDDDQ-UHFFFAOYSA-M</t>
  </si>
  <si>
    <t>CCCCCCCCCCCCOC(O)C(O)C(O)C(O)C(O)C(O)C(O)C(O)C(O)CO</t>
  </si>
  <si>
    <t>InChI=1S/C22H46O11/c1-2-3-4-5-6-7-8-9-10-11-12-33-22(32)21(31)20(30)19(29)18(28)17(27)16(26)15(25)14(24)13-23/h14-32H,2-13H2,1H3</t>
  </si>
  <si>
    <t>SZXLZFJUNMVGGN-UHFFFAOYSA-N</t>
  </si>
  <si>
    <t>CCCCCCCCCCCCOC1C(O)C(C(C(O1)CO)OC2OC(C(C(C2O)O)O)CO)O</t>
  </si>
  <si>
    <t>10.1021/la980519x</t>
  </si>
  <si>
    <t>Dodecyl-Î²-D-maltoside</t>
  </si>
  <si>
    <t>InChI=1S/C24H46O10/c1-2-3-4-5-6-7-8-9-10-11-12-31-19-13-16(27)23(18(15-26)32-19)34-24-22(30)21(29)20(28)17(14-25)33-24/h16-30H,2-15H2,1H3</t>
  </si>
  <si>
    <t>PIRCZUWXWQNLIP-UHFFFAOYSA-N</t>
  </si>
  <si>
    <t>CCCCCCCCCCCCOC1OC(CO)C(O)C(O)C1O</t>
  </si>
  <si>
    <t>(2R,3R,4S,5S,6R)-2-dodecoxy-6-(hydroxymethyl)oxane-3,4,5-triol</t>
  </si>
  <si>
    <t>InChI=1S/C18H36O6/c1-2-3-4-5-6-7-8-9-10-11-12-23-18-17(22)16(21)15(20)14(13-19)24-18/h14-22H,2-13H2,1H3</t>
  </si>
  <si>
    <t>PYIDGJJWBIBVIA-UHFFFAOYSA-N</t>
  </si>
  <si>
    <t>CCCCCCCCCCCCOCC(C)OCC(C)OCC(C)OCC(C)OCC(C)OCC(C)OCC(=O)[O-].[Na+]</t>
  </si>
  <si>
    <t>10.1007/s11743-005-346-2</t>
  </si>
  <si>
    <t>InChI=1S/C32H64O9.Na/c1-8-9-10-11-12-13-14-15-16-17-18-35-19-26(2)36-20-27(3)37-21-28(4)38-22-29(5)39-23-30(6)40-24-31(7)41-25-32(33)34;/h26-31H,8-25H2,1-7H3,(H,33,34);/q;+1/p-1</t>
  </si>
  <si>
    <t>QGDCYTYERVUOKD-UHFFFAOYSA-M</t>
  </si>
  <si>
    <t>CCCCCCCCCCCCOCC(C)OCC(C)OCC(C)OCC(C)OCC(C)OCC(C)OCC(C)OCC(C)OCC(C)OCC(C)OCC(=O)[O-].[Na+]</t>
  </si>
  <si>
    <t>InChI=1S/C44H88O13.Na/c1-12-13-14-15-16-17-18-19-20-21-22-47-23-34(2)48-24-35(3)49-25-36(4)50-26-37(5)51-27-38(6)52-28-39(7)53-29-40(8)54-30-41(9)55-31-42(10)56-32-43(11)57-33-44(45)46;/h34-43H,12-33H2,1-11H3,(H,45,46);/q;+1/p-1</t>
  </si>
  <si>
    <t>NVIBQDWJJZTEQB-UHFFFAOYSA-M</t>
  </si>
  <si>
    <t>CCCCCCCCCCCCOCC(C)OCC(C)OCC(C)OCC(C)OCC(C)OCC(C)OCC(C)OCC(C)OCC(C)OCC(C)OCC(C)OCC(C)OCC(C)OCC(C)OCC(=O)[O-].[Na+]</t>
  </si>
  <si>
    <t>InChI=1S/C56H112O17.Na/c1-16-17-18-19-20-21-22-23-24-25-26-59-27-42(2)60-28-43(3)61-29-44(4)62-30-45(5)63-31-46(6)64-32-47(7)65-33-48(8)66-34-49(9)67-35-50(10)68-36-51(11)69-37-52(12)70-38-53(13)71-39-54(14)72-40-55(15)73-41-56(57)58;/h42-55H,16-41H2,1-15H3,(H,57,58);/q;+1/p-1</t>
  </si>
  <si>
    <t>HKCPDBATYVRQKA-UHFFFAOYSA-M</t>
  </si>
  <si>
    <t>CCCCCCCCCCCCOCC(C)OCC(C)OCC(C)OCC(C)OCC(C)OCC(C)OCC(C)OCC(C)OCC(C)OCC(C)OCC(C)OCC(C)OCC(C)OCC(C)OS(=O)(=O)[O-].[Na+]</t>
  </si>
  <si>
    <t>InChI=1S/C54H110O18S.Na/c1-16-17-18-19-20-21-22-23-24-25-26-58-27-41(2)59-28-42(3)60-29-43(4)61-30-44(5)62-31-45(6)63-32-46(7)64-33-47(8)65-34-48(9)66-35-49(10)67-36-50(11)68-37-51(12)69-38-52(13)70-39-53(14)71-40-54(15)72-73(55,56)57;/h41-54H,16-40H2,1-15H3,(H,55,56,57);/q;+1/p-1</t>
  </si>
  <si>
    <t>FATCPAPIJZSIMK-UHFFFAOYSA-M</t>
  </si>
  <si>
    <t>CCCCCCCCCCCCOCC(C)OCC(C)OCC(C)OCC(C)OCC(C)OCC(C)OCC(C)OCC(C)OCC(C)OCC(C)OS(=O)(=O)[O-].[Na+]</t>
  </si>
  <si>
    <t>InChI=1S/C42H86O14S.Na/c1-12-13-14-15-16-17-18-19-20-21-22-46-23-33(2)47-24-34(3)48-25-35(4)49-26-36(5)50-27-37(6)51-28-38(7)52-29-39(8)53-30-40(9)54-31-41(10)55-32-42(11)56-57(43,44)45;/h33-42H,12-32H2,1-11H3,(H,43,44,45);/q;+1/p-1</t>
  </si>
  <si>
    <t>LPSQFJLBYYNGBV-UHFFFAOYSA-M</t>
  </si>
  <si>
    <t>CCCCCCCCCCCCOCC(C)OCC(C)OCC(C)OCC(C)OCC(C)OCC(C)OCCOCCOCC(=O)[O-].[Na+]</t>
  </si>
  <si>
    <t>InChI=1S/C36H72O11.Na/c1-8-9-10-11-12-13-14-15-16-17-18-40-23-30(2)43-25-32(4)45-27-34(6)47-28-35(7)46-26-33(5)44-24-31(3)42-22-21-39-19-20-41-29-36(37)38;/h30-35H,8-29H2,1-7H3,(H,37,38);/q;+1/p-1</t>
  </si>
  <si>
    <t>JHCNYQUEKUHHEA-UHFFFAOYSA-M</t>
  </si>
  <si>
    <t>CCCCCCCCCCCCOCC(C)OCC(C)OCC(C)OCC(C)OCC(C)OCC(C)OCCOCCOS(=O)(=O)[O-].[Na+]</t>
  </si>
  <si>
    <t>InChI=1S/C34H70O12S.Na/c1-8-9-10-11-12-13-14-15-16-17-18-39-23-29(2)41-25-31(4)43-27-33(6)45-28-34(7)44-26-32(5)42-24-30(3)40-21-19-38-20-22-46-47(35,36)37;/h29-34H,8-28H2,1-7H3,(H,35,36,37);/q;+1/p-1</t>
  </si>
  <si>
    <t>BDQJRLDWIDZFGP-UHFFFAOYSA-M</t>
  </si>
  <si>
    <t>CCCCCCCCCCCCOCC(C)OCC(C)OCC(C)OCC(C)OCC(C)OCC(C)OS(=O)(=O)[O-].[Na+]</t>
  </si>
  <si>
    <t>InChI=1S/C30H62O10S.Na/c1-8-9-10-11-12-13-14-15-16-17-18-34-19-25(2)35-20-26(3)36-21-27(4)37-22-28(5)38-23-29(6)39-24-30(7)40-41(31,32)33;/h25-30H,8-24H2,1-7H3,(H,31,32,33);/q;+1/p-1</t>
  </si>
  <si>
    <t>HHNCKDOVEMGLEB-UHFFFAOYSA-M</t>
  </si>
  <si>
    <t>CCCCCCCCCCCCOCC(CCC[N+](C)(C)C)(CCC[N+](C)(C)C)COCCCCCCCCCCCC.[I-].[I-]</t>
  </si>
  <si>
    <t>4,4-bis(dodecyloxymethyl)-N,N,N,N',N0',N'-hexamethyl-1,7-heptanediammoniumdiiodide</t>
  </si>
  <si>
    <t>InChI=1S/C39H84N2O2.2HI/c1-9-11-13-15-17-19-21-23-25-27-35-42-37-39(31-29-33-40(3,4)5,32-30-34-41(6,7)8)38-43-36-28-26-24-22-20-18-16-14-12-10-2;;/h9-38H2,1-8H3;2*1H/q+2;;/p-2</t>
  </si>
  <si>
    <t>ZQUFXRLOCIOWOB-UHFFFAOYSA-L</t>
  </si>
  <si>
    <t>CCCCCCCCCCCCOCC(CC[N+](C)(C)C)(CC[N+](C)(C)C)COCCCCCCCCCCCC.[I-].[I-]</t>
  </si>
  <si>
    <t>3,3-bis(dodecyloxymethyl)-N,N,N,N',N',N'-hexamethyl-1,5-pentanediammoniumdiiodide</t>
  </si>
  <si>
    <t>InChI=1S/C37H80N2O2.2HI/c1-9-11-13-15-17-19-21-23-25-27-33-40-35-37(29-31-38(3,4)5,30-32-39(6,7)8)36-41-34-28-26-24-22-20-18-16-14-12-10-2;;/h9-36H2,1-8H3;2*1H/q+2;;/p-2</t>
  </si>
  <si>
    <t>GWONPBPJZZFXLG-UHFFFAOYSA-L</t>
  </si>
  <si>
    <t>CCCCCCCCCCCCOCC(COCCCCCCCCCCCC)(COCCC[N+](C)(C)C)COCCC[N+](C)(C)C.[I-].[I-]</t>
  </si>
  <si>
    <t>6,6-bis(dodecyloxymethyl)-N,N,N,N',N',N'-hexamethyl-4,8-dioxa-1,11-undecanediammoniumdiiodide</t>
  </si>
  <si>
    <t>InChI=1S/C41H88N2O4.2HI/c1-9-11-13-15-17-19-21-23-25-27-33-44-37-41(39-46-35-29-31-42(3,4)5,40-47-36-30-32-43(6,7)8)38-45-34-28-26-24-22-20-18-16-14-12-10-2;;/h9-40H2,1-8H3;2*1H/q+2;;/p-2</t>
  </si>
  <si>
    <t>JROLZDSJTLMNDA-UHFFFAOYSA-L</t>
  </si>
  <si>
    <t>CCCCCCCCCCCCOCC(COCCCCCCCCCCCC)(COCC[N+](C)(C)C)COCC[N+](C)(C)C.[I-].[I-]</t>
  </si>
  <si>
    <t>5,5-bis(dodecyloxymethyl)-N,N,N,N',N',N'-hexamethyl-3,7-dioxa-1,9-nonanediammoniumdiiodide</t>
  </si>
  <si>
    <t>InChI=1S/C39H84N2O4.2HI/c1-9-11-13-15-17-19-21-23-25-27-31-42-35-39(37-44-33-29-40(3,4)5,38-45-34-30-41(6,7)8)36-43-32-28-26-24-22-20-18-16-14-12-10-2;;/h9-38H2,1-8H3;2*1H/q+2;;/p-2</t>
  </si>
  <si>
    <t>ZLMDTGIORFCKRP-UHFFFAOYSA-L</t>
  </si>
  <si>
    <t>CCCCCCCCCCCCOCC(COCCCCCCCCCCCC)(C[N+](C)(C)C)C[N+](C)(C)C.[I-].[I-]</t>
  </si>
  <si>
    <t>2,2-bis(dodecyloxymethyl)-N,N,N,N',N',N'-hexamethyl-1,3-propanediammoniumdiiodide</t>
  </si>
  <si>
    <t>InChI=1S/C35H76N2O2.2HI/c1-9-11-13-15-17-19-21-23-25-27-29-38-33-35(31-36(3,4)5,32-37(6,7)8)34-39-30-28-26-24-22-20-18-16-14-12-10-2;;/h9-34H2,1-8H3;2*1H/q+2;;/p-2</t>
  </si>
  <si>
    <t>ODNCOUGKNOBJRB-UHFFFAOYSA-L</t>
  </si>
  <si>
    <t>CCCCCCCCCCCCOCC(C[N+](C)(C)CC(COCCCCCCCCCCCC)OCCO)OCCO.COS(=O)(=O)[O-]</t>
  </si>
  <si>
    <t>10.1016/j.jiec.2014.06.027</t>
  </si>
  <si>
    <t>N,N-bis-(3-n-dodecyloxy-2-hydroxypropyl)methylammoniumdiethoxylatemethylsulfate</t>
  </si>
  <si>
    <t>InChI=1S/C36H76NO6.CH4O4S/c1-5-7-9-11-13-15-17-19-21-23-27-40-33-35(42-29-25-38)31-37(3,4)32-36(43-30-26-39)34-41-28-24-22-20-18-16-14-12-10-8-6-2;1-5-6(2,3)4/h35-36,38-39H,5-34H2,1-4H3;1H3,(H,2,3,4)/q+1;/p-1</t>
  </si>
  <si>
    <t>VXFGVKALPCBLEC-UHFFFAOYSA-M</t>
  </si>
  <si>
    <t>CCCCCCCCCCCCOCC(C[N+](C)(C)CC(COCCCCCCCCCCCC)OCCOCCOCCO)OCCOCCO.COS(=O)(=O)[O-]</t>
  </si>
  <si>
    <t>N,N-bis-(3-n-dodecyloxy-2-hydroxypropyl)methylammoniumpentaethoxylatemethylsulfate</t>
  </si>
  <si>
    <t>InChI=1S/C42H88NO9.CH4O4S/c1-5-7-9-11-13-15-17-19-21-23-27-49-39-41(51-35-33-47-30-26-45)37-43(3,4)38-42(52-36-34-48-32-31-46-29-25-44)40-50-28-24-22-20-18-16-14-12-10-8-6-2;1-5-6(2,3)4/h41-42,44-45H,5-40H2,1-4H3;1H3,(H,2,3,4)/q+1;/p-1</t>
  </si>
  <si>
    <t>RZXZEMKAMQHAMU-UHFFFAOYSA-M</t>
  </si>
  <si>
    <t>CCCCCCCCCCCCOCC(O)C[N+](C)(C)CC(O)COCCCCCCCCCCCC.COS(=O)(=O)[O-]</t>
  </si>
  <si>
    <t>10.1016/j.jiec.2012.01.040</t>
  </si>
  <si>
    <t>bis-(3-n-dodecyloxy-2-hydroxypropyl)dimethylammoniummethylsulfate</t>
  </si>
  <si>
    <t>InChI=1S/C32H68NO4.CH4O4S/c1-5-7-9-11-13-15-17-19-21-23-25-36-29-31(34)27-33(3,4)28-32(35)30-37-26-24-22-20-18-16-14-12-10-8-6-2;1-5-6(2,3)4/h31-32,34-35H,5-30H2,1-4H3;1H3,(H,2,3,4)/q+1;/p-1</t>
  </si>
  <si>
    <t>WZTQONLEBQTPLV-UHFFFAOYSA-M</t>
  </si>
  <si>
    <t>CCCCCCCCCCCCOCC(O)C[N+](C)(C)CC(O)C[N+](C)(C)CC(O)COCCCCCCCCCCCC.[Cl-].[Cl-]</t>
  </si>
  <si>
    <t>N,N0-bis-(3-n-dodecyloxy-2-hydroxypropylN,N,N0,N0-tetramethylpropane-1,3-diammoniumdichloride</t>
  </si>
  <si>
    <t>InChI=1S/C37H80N2O5.2ClH/c1-7-9-11-13-15-17-19-21-23-25-27-43-33-36(41)31-38(3,4)29-35(40)30-39(5,6)32-37(42)34-44-28-26-24-22-20-18-16-14-12-10-8-2;;/h35-37,40-42H,7-34H2,1-6H3;2*1H/q+2;;/p-2</t>
  </si>
  <si>
    <t>AITQGGSVEKYRDV-UHFFFAOYSA-L</t>
  </si>
  <si>
    <t>CCCCCCCCCCCCOCC(O)C[N+](C)(C)CC(O)C[N+](C)(C)CC(O)C[N+](C)(C)CC(O)COCCCCCCCCCCCC.COS(=O)(=O)[O-].[Cl-].[Cl-]</t>
  </si>
  <si>
    <t>N,N-bis-(3-(3-n-dodecyloxy-2-hydroxypropylN0,N0-dimethylammonium)-2-hydroxypropyl)dimethylammoniumdichloridemethylsulfate</t>
  </si>
  <si>
    <t>InChI=1S/C42H92N3O6.CH4O4S.2ClH/c1-9-11-13-15-17-19-21-23-25-27-29-50-37-41(48)35-44(5,6)33-39(46)31-43(3,4)32-40(47)34-45(7,8)36-42(49)38-51-30-28-26-24-22-20-18-16-14-12-10-2;1-5-6(2,3)4;;/h39-42,46-49H,9-38H2,1-8H3;1H3,(H,2,3,4);2*1H/q+3;;;/p-3</t>
  </si>
  <si>
    <t>FXDSLZMMYTULOH-UHFFFAOYSA-K</t>
  </si>
  <si>
    <t>CCCCCCCCCCCCOCC(O)C[N+](C)(C)CCCC[N+](C)(C)CC(O)COCCCCCCCCCCCC.[Br-].[Br-]</t>
  </si>
  <si>
    <t>Butanediyl-bis[N-(3-dodecoxyl-2-hydroxy)propyl-N,NdimethylammoniumBromide]</t>
  </si>
  <si>
    <t>InChI=1S/C38H82N2O4.2BrH/c1-7-9-11-13-15-17-19-21-23-27-31-43-35-37(41)33-39(3,4)29-25-26-30-40(5,6)34-38(42)36-44-32-28-24-22-20-18-16-14-12-10-8-2;;/h37-38,41-42H,7-36H2,1-6H3;2*1H/q+2;;/p-2</t>
  </si>
  <si>
    <t>YXZFDSFJAQOWEZ-UHFFFAOYSA-L</t>
  </si>
  <si>
    <t>CCCCCCCCCCCCOCC(O)C[n+]1ccn(C)c1.[Br-]</t>
  </si>
  <si>
    <t>3-(2-hydroxyl-3(tetradecyloxy)propyl-1-methyl-1H-imidazol3-iumbromide</t>
  </si>
  <si>
    <t>InChI=1S/C19H37N2O2.BrH/c1-3-4-5-6-7-8-9-10-11-12-15-23-17-19(22)16-21-14-13-20(2)18-21;/h13-14,18-19,22H,3-12,15-17H2,1-2H3;1H/q+1;/p-1</t>
  </si>
  <si>
    <t>IIJONJVQEUNJEF-UHFFFAOYSA-M</t>
  </si>
  <si>
    <t>CCCCCCCCCCCCOCC(O)C[n+]1ccn(C)c1.[Cl-]</t>
  </si>
  <si>
    <t>3-(3-(dodecyloxy)-2-hydroxypropyl)-1-methyl-1H-imidazol3-iumchloride</t>
  </si>
  <si>
    <t>InChI=1S/C19H37N2O2.ClH/c1-3-4-5-6-7-8-9-10-11-12-15-23-17-19(22)16-21-14-13-20(2)18-21;/h13-14,18-19,22H,3-12,15-17H2,1-2H3;1H/q+1;/p-1</t>
  </si>
  <si>
    <t>NIVRWDBMNCWJGY-UHFFFAOYSA-M</t>
  </si>
  <si>
    <t>CCCCCCCCCCCCOCC(O)Cn1cc[n+](CCC)c1.[Br-]</t>
  </si>
  <si>
    <t>1-(3-(Dodecyloxy)-2-hydroxypropyl)-3-propyl-1H-imidazol-3-iumbromide</t>
  </si>
  <si>
    <t>InChI=1S/C21H41N2O2.BrH/c1-3-5-6-7-8-9-10-11-12-13-17-25-19-21(24)18-23-16-15-22(20-23)14-4-2;/h15-16,20-21,24H,3-14,17-19H2,1-2H3;1H/q+1;/p-1</t>
  </si>
  <si>
    <t>IEMRVDDBHKQEOW-UHFFFAOYSA-M</t>
  </si>
  <si>
    <t>CCCCCCCCCCCCOCC(O)Cn1cc[n+](CCC)c1.[Cl-]</t>
  </si>
  <si>
    <t>1-(3-(Dodecyloxy)-2-hydroxypropyl)-3-propyl-1H-imidazol-3-iumchloride</t>
  </si>
  <si>
    <t>InChI=1S/C21H41N2O2.ClH/c1-3-5-6-7-8-9-10-11-12-13-17-25-19-21(24)18-23-16-15-22(20-23)14-4-2;/h15-16,20-21,24H,3-14,17-19H2,1-2H3;1H/q+1;/p-1</t>
  </si>
  <si>
    <t>NUZSMCIUEHURRR-UHFFFAOYSA-M</t>
  </si>
  <si>
    <t>CCCCCCCCCCCCOCC(O)Cn1cc[n+](CCC[n+]2ccn(CC(O)COCCCCCCCCCCCC)c2)c1.[Br-].[Br-]</t>
  </si>
  <si>
    <t>InChI=1S/C39H74N4O4.2BrH/c1-3-5-7-9-11-13-15-17-19-21-30-46-34-38(44)32-42-28-26-40(36-42)24-23-25-41-27-29-43(37-41)33-39(45)35-47-31-22-20-18-16-14-12-10-8-6-4-2;;/h26-29,36-39,44-45H,3-25,30-35H2,1-2H3;2*1H/q+2;;/p-2</t>
  </si>
  <si>
    <t>ZKSJUEVDYFPZHH-UHFFFAOYSA-L</t>
  </si>
  <si>
    <t>CCCCCCCCCCCCOCC(O)Cn1cc[n+](CC[n+]2ccn(CC(O)COCCCCCCCCCCCC)c2)c1.[Br-].[Br-]</t>
  </si>
  <si>
    <t>InChI=1S/C38H72N4O4.2BrH/c1-3-5-7-9-11-13-15-17-19-21-29-45-33-37(43)31-41-27-25-39(35-41)23-24-40-26-28-42(36-40)32-38(44)34-46-30-22-20-18-16-14-12-10-8-6-4-2;;/h25-28,35-38,43-44H,3-24,29-34H2,1-2H3;2*1H/q+2;;/p-2</t>
  </si>
  <si>
    <t>KGNBYITWHHYSPE-UHFFFAOYSA-L</t>
  </si>
  <si>
    <t>CCCCCCCCCCCC(OCC1OC(C(C(C1O)O)O)OC2C(OC(C(C2O)O)O)CO)=O</t>
  </si>
  <si>
    <t>10.1021/la001309z</t>
  </si>
  <si>
    <t>6â€²-O-dodecanoylmaltose</t>
  </si>
  <si>
    <t>InChI=1S/C24H46O11/c1-2-3-4-5-6-7-8-9-10-11-12-32-14-16-17(26)18(27)21(30)24(34-16)35-22-15(13-25)33-23(31)20(29)19(22)28/h15-31H,2-14H2,1H3</t>
  </si>
  <si>
    <t>IJSDEXPWHIBBHX-UHFFFAOYSA-N</t>
  </si>
  <si>
    <t>CCCCCCCCCCCCOCCOCCOCCO</t>
  </si>
  <si>
    <t>2-[2-(2-dodecoxyethoxy)ethoxy]ethanol</t>
  </si>
  <si>
    <t>InChI=1S/C18H38O4/c1-2-3-4-5-6-7-8-9-10-11-13-20-15-17-22-18-16-21-14-12-19/h19H,2-18H2,1H3</t>
  </si>
  <si>
    <t>FKMHSNTVILORFA-UHFFFAOYSA-N</t>
  </si>
  <si>
    <t>CCCCCCCCCCCCOCCOCCOCCOCCO</t>
  </si>
  <si>
    <t>['10.1007/s11743-001-0184-2', '10.1021/acs.jpcb.1c05264', '10.1021/acs.jpcb.1c05264']</t>
  </si>
  <si>
    <t>POE(4) lauryl ether</t>
  </si>
  <si>
    <t>InChI=1S/C20H42O5/c1-2-3-4-5-6-7-8-9-10-11-13-22-15-17-24-19-20-25-18-16-23-14-12-21/h21H,2-20H2,1H3</t>
  </si>
  <si>
    <t>WPMWEFXCIYCJSA-UHFFFAOYSA-N</t>
  </si>
  <si>
    <t>CCCCCCCCCCCCOCCOCCOCCOCCOCCO</t>
  </si>
  <si>
    <t>2-[2-[2-[2-(2-dodecoxyethoxy)ethoxy]ethoxy]ethoxy]ethanol</t>
  </si>
  <si>
    <t>InChI=1S/C22H46O6/c1-2-3-4-5-6-7-8-9-10-11-13-24-15-17-26-19-21-28-22-20-27-18-16-25-14-12-23/h23H,2-22H2,1H3</t>
  </si>
  <si>
    <t>LAPRIVJANDLWOK-UHFFFAOYSA-N</t>
  </si>
  <si>
    <t>2-[2-[2-[2-[2-(2-dodecoxyethoxy)ethoxy]ethoxy]ethoxy]ethoxy]ethanol</t>
  </si>
  <si>
    <t>InChI=1S/C24H50O7/c1-2-3-4-5-6-7-8-9-10-11-13-26-15-17-28-19-21-30-23-24-31-22-20-29-18-16-27-14-12-25/h25H,2-24H2,1H3</t>
  </si>
  <si>
    <t>OJCFEGKCRWEVSN-UHFFFAOYSA-N</t>
  </si>
  <si>
    <t>CCCCCCCCCCCCOCCOCCOCCOCCOCCOCCOCCO</t>
  </si>
  <si>
    <t>2-[2-[2-[2-[2-[2-(2-dodecoxyethoxy)ethoxy]ethoxy]ethoxy]ethoxy]ethoxy]ethanol</t>
  </si>
  <si>
    <t>InChI=1S/C26H54O8/c1-2-3-4-5-6-7-8-9-10-11-13-28-15-17-30-19-21-32-23-25-34-26-24-33-22-20-31-18-16-29-14-12-27/h27H,2-26H2,1H3</t>
  </si>
  <si>
    <t>DWHIUNMOTRUVPG-UHFFFAOYSA-N</t>
  </si>
  <si>
    <t>CCCCCCCCCCCCOCCOCCOCCOCCOCCOCCOCCOCCO</t>
  </si>
  <si>
    <t>2-[2-[2-[2-[2-[2-[2-(2-dodecoxyethoxy)ethoxy]ethoxy]ethoxy]ethoxy]ethoxy]ethoxy]ethanol</t>
  </si>
  <si>
    <t>InChI=1S/C28H58O9/c1-2-3-4-5-6-7-8-9-10-11-13-30-15-17-32-19-21-34-23-25-36-27-28-37-26-24-35-22-20-33-18-16-31-14-12-29/h29H,2-28H2,1H3</t>
  </si>
  <si>
    <t>YYELLDKEOUKVIQ-UHFFFAOYSA-N</t>
  </si>
  <si>
    <t>CCCCCCCCCCCCOCCOCCOCCOCCOCCOCCOCCOCCOCCO</t>
  </si>
  <si>
    <t>InChI=1S/C30H62O10/c1-2-3-4-5-6-7-8-9-10-11-13-32-15-17-34-19-21-36-23-25-38-27-29-40-30-28-39-26-24-37-22-20-35-18-16-33-14-12-31/h31H,2-30H2,1H3</t>
  </si>
  <si>
    <t>ONJQDTZCDSESIW-UHFFFAOYSA-N</t>
  </si>
  <si>
    <t>InChI=1S/C36H74O13/c1-2-3-4-5-6-7-8-9-10-11-13-38-15-17-40-19-21-42-23-25-44-27-29-46-31-33-48-35-36-49-34-32-47-30-28-45-26-24-43-22-20-41-18-16-39-14-12-37/h37H,2-36H2,1H3</t>
  </si>
  <si>
    <t>WMPGRAUYWYBJKX-UHFFFAOYSA-N</t>
  </si>
  <si>
    <t>CCCCCCCCCCCCOCCOCCOCCOCCOCCOCCOCCOCCOCCOCCOCCOCCOCCOCCOCCOCCOCCOCCOCCOCCOCCOCCOCCO</t>
  </si>
  <si>
    <t>POE(23) lauryl ether</t>
  </si>
  <si>
    <t>InChI=1S/C58H118O24/c1-2-3-4-5-6-7-8-9-10-11-13-60-15-17-62-19-21-64-23-25-66-27-29-68-31-33-70-35-37-72-39-41-74-43-45-76-47-49-78-51-53-80-55-57-82-58-56-81-54-52-79-50-48-77-46-44-75-42-40-73-38-36-71-34-32-69-30-28-67-26-24-65-22-20-63-18-16-61-14-12-59/h59H,2-58H2,1H3</t>
  </si>
  <si>
    <t>IEQAICDLOKRSRL-UHFFFAOYSA-N</t>
  </si>
  <si>
    <t>CCCCCCCCCCCCOCCOCCOCCOCCOCCOS(=O)(=O)[O-].[Na+]</t>
  </si>
  <si>
    <t>InChI=1S/C22H46O9S.Na/c1-2-3-4-5-6-7-8-9-10-11-12-26-13-14-27-15-16-28-17-18-29-19-20-30-21-22-31-32(23,24)25;/h2-22H2,1H3,(H,23,24,25);/q;+1/p-1</t>
  </si>
  <si>
    <t>YEUIGVFKDKRDSA-UHFFFAOYSA-M</t>
  </si>
  <si>
    <t>CCCCCCCCCCCCOCCOCCOCCOS(=O)(=O)[O-].[Na+]</t>
  </si>
  <si>
    <t>InChI=1S/C18H38O7S.Na/c1-2-3-4-5-6-7-8-9-10-11-12-22-13-14-23-15-16-24-17-18-25-26(19,20)21;/h2-18H2,1H3,(H,19,20,21);/q;+1/p-1</t>
  </si>
  <si>
    <t>SXHLENDCVBIJFO-UHFFFAOYSA-M</t>
  </si>
  <si>
    <t>CCCCCCCCCCCCOCCOCCOCC[N+](C)(C)C.[Br-]</t>
  </si>
  <si>
    <t>InChI=1S/C21H46NO3.BrH/c1-5-6-7-8-9-10-11-12-13-14-16-23-18-20-25-21-19-24-17-15-22(2,3)4;/h5-21H2,1-4H3;1H/q+1;/p-1</t>
  </si>
  <si>
    <t>VUHHHIKZKOGQDU-UHFFFAOYSA-M</t>
  </si>
  <si>
    <t>CCCCCCCCCCCCOCCOCCOS(=O)(=O)[O-].[Na+]</t>
  </si>
  <si>
    <t>['10.1016/0021-9797(76)90178-8', '10.1021/acs.jpcb.1c05264', '10.1021/acs.jpcb.1c05264']</t>
  </si>
  <si>
    <t>sodium-2-(2-dodecoxyethoxy)ethylsulfate</t>
  </si>
  <si>
    <t>InChI=1S/C16H34O6S.Na/c1-2-3-4-5-6-7-8-9-10-11-12-20-13-14-21-15-16-22-23(17,18)19;/h2-16H2,1H3,(H,17,18,19);/q;+1/p-1</t>
  </si>
  <si>
    <t>GUQPDKHHVFLXHS-UHFFFAOYSA-M</t>
  </si>
  <si>
    <t>CCCCCCCCCCCCOCCOCC[N+](C)(C)C.[Br-]</t>
  </si>
  <si>
    <t>InChI=1S/C19H42NO2.BrH/c1-5-6-7-8-9-10-11-12-13-14-16-21-18-19-22-17-15-20(2,3)4;/h5-19H2,1-4H3;1H/q+1;/p-1</t>
  </si>
  <si>
    <t>PSTVLZMFTCVKAK-UHFFFAOYSA-M</t>
  </si>
  <si>
    <t>CCCCCCCCCCCCOCCOCC[N+](C)(C)C.[Cl-]</t>
  </si>
  <si>
    <t>InChI=1S/C19H42NO2.ClH/c1-5-6-7-8-9-10-11-12-13-14-16-21-18-19-22-17-15-20(2,3)4;/h5-19H2,1-4H3;1H/q+1;/p-1</t>
  </si>
  <si>
    <t>UMOIINYYOQMZTH-UHFFFAOYSA-M</t>
  </si>
  <si>
    <t>CCCCCCCCCCCCOCCOCC[N+]1=CC=CC=C1.[Cl-]</t>
  </si>
  <si>
    <t>InChI=1S/C21H43NO2.ClH/c1-2-3-4-5-6-7-8-9-10-14-18-23-20-21-24-19-17-22-15-12-11-13-16-22;/h2-21H2,1H3;1H/q+1;/p-1</t>
  </si>
  <si>
    <t>NOCCYQRIWQSIHP-UHFFFAOYSA-M</t>
  </si>
  <si>
    <t>CCCCCCCCCCCCOCCOS(=O)(=O)[O-].[Na+]</t>
  </si>
  <si>
    <t>sodium-2-dodecoxyethylsulfate</t>
  </si>
  <si>
    <t>InChI=1S/C14H30O5S.Na/c1-2-3-4-5-6-7-8-9-10-11-12-18-13-14-19-20(15,16)17;/h2-14H2,1H3,(H,15,16,17);/q;+1/p-1</t>
  </si>
  <si>
    <t>ASEFUFIKYOCPIJ-UHFFFAOYSA-M</t>
  </si>
  <si>
    <t>CCCCCCCCCCCCOCC[N+](C)(C)C.[Br-]</t>
  </si>
  <si>
    <t>InChI=1S/C17H38NO.BrH/c1-5-6-7-8-9-10-11-12-13-14-16-19-17-15-18(2,3)4;/h5-17H2,1-4H3;1H/q+1;/p-1</t>
  </si>
  <si>
    <t>ZYIPISLGSLKSRG-UHFFFAOYSA-M</t>
  </si>
  <si>
    <t>CCCCCCCCCCCCOCC[N+](C)(C)C.[Cl-]</t>
  </si>
  <si>
    <t>InChI=1S/C17H38NO.ClH/c1-5-6-7-8-9-10-11-12-13-14-16-19-17-15-18(2,3)4;/h5-17H2,1-4H3;1H/q+1;/p-1</t>
  </si>
  <si>
    <t>UMNQHIWEUJDBGY-UHFFFAOYSA-M</t>
  </si>
  <si>
    <t>CCCCCCCCCCCCOCC[N+]1=CC=CC=C1.[Cl-]</t>
  </si>
  <si>
    <t>InChI=1S/C19H39NO.ClH/c1-2-3-4-5-6-7-8-9-10-14-18-21-19-17-20-15-12-11-13-16-20;/h2-19H2,1H3;1H/q+1;/p-1</t>
  </si>
  <si>
    <t>RWHMSRSPHHIFRY-UHFFFAOYSA-M</t>
  </si>
  <si>
    <t>CCCCCCCCCCCCOCOC[C@H]1OC(O)[C@H](O)[C@@H](O)[C@@H]1O</t>
  </si>
  <si>
    <t>InChI=1S/C19H38O7/c1-2-3-4-5-6-7-8-9-10-11-12-24-14-25-13-15-16(20)17(21)18(22)19(23)26-15/h15-23H,2-14H2,1H3/t15-,16-,17+,18-,19?/m1/s1</t>
  </si>
  <si>
    <t>PDGGZVHJKLXWJY-DQROZCCUSA-N</t>
  </si>
  <si>
    <t>CCCCCCCCCCCCOCOC[C@H]1O[C@@H](O[C@@H]([C@H](O)[C@@H](O)CO)[C@H](O)CO)[C@H](O)[C@@H](O)[C@H]1O</t>
  </si>
  <si>
    <t>InChI=1S/C25H50O12/c1-2-3-4-5-6-7-8-9-10-11-12-34-16-35-15-19-21(31)22(32)23(33)25(36-19)37-24(18(29)14-27)20(30)17(28)13-26/h17-33H,2-16H2,1H3/t17-,18+,19+,20+,21-,22-,23+,24+,25-/m0/s1</t>
  </si>
  <si>
    <t>OBLSAAXDWHBWEW-QDYYEOJNSA-N</t>
  </si>
  <si>
    <t>CCCCCCCCCCCCOCOC[C@H]1O[C@@H](O[C@H]2[C@H](O)[C@@H](O)[C@H](O)O[C@@H]2CO)[C@H](O)[C@@H](O)[C@H]1O</t>
  </si>
  <si>
    <t>InChI=1S/C25H48O12/c1-2-3-4-5-6-7-8-9-10-11-12-33-15-34-14-17-18(27)19(28)22(31)25(36-17)37-23-16(13-26)35-24(32)21(30)20(23)29/h16-32H,2-15H2,1H3/t16-,17-,18+,19+,20-,21-,22-,23-,24-,25+/m1/s1</t>
  </si>
  <si>
    <t>WODCIAQPVOPRSJ-PZYBZDCESA-N</t>
  </si>
  <si>
    <t>CCCCCCCCCCCCOCOOCCOCCOCCCCCC</t>
  </si>
  <si>
    <t>InChI=1S/C23H48O5/c1-3-5-7-9-10-11-12-13-14-16-18-26-23-28-27-22-21-25-20-19-24-17-15-8-6-4-2/h3-23H2,1-2H3</t>
  </si>
  <si>
    <t>AFKMZNZSNOXRPQ-UHFFFAOYSA-N</t>
  </si>
  <si>
    <t>CCCCCCCCCCCCOOC(O)(C(O)C(O)C(O)C(O)C(O)CC)C(O)C(O)C(O)C(O)C(O)CO</t>
  </si>
  <si>
    <t>InChI=1S/C26H54O14/c1-3-5-6-7-8-9-10-11-12-13-14-39-40-26(38,24(36)22(34)20(32)18(30)16(28)4-2)25(37)23(35)21(33)19(31)17(29)15-27/h16-25,27-38H,3-15H2,1-2H3</t>
  </si>
  <si>
    <t>IZOCGZVGLOEAKK-UHFFFAOYSA-N</t>
  </si>
  <si>
    <t>CCCCCCCCCCCCOOCC</t>
  </si>
  <si>
    <t>1-ethylperoxydodecane</t>
  </si>
  <si>
    <t>InChI=1S/C14H30O2/c1-3-5-6-7-8-9-10-11-12-13-14-16-15-4-2/h3-14H2,1-2H3</t>
  </si>
  <si>
    <t>SWSXLQWZZXOFTH-UHFFFAOYSA-N</t>
  </si>
  <si>
    <t>CCCCCCCCCCCCOOCCOCC</t>
  </si>
  <si>
    <t>InChI=1S/C16H34O3/c1-3-5-6-7-8-9-10-11-12-13-14-18-19-16-15-17-4-2/h3-16H2,1-2H3</t>
  </si>
  <si>
    <t>OZNMEPRHWTUSQC-UHFFFAOYSA-N</t>
  </si>
  <si>
    <t>CCCCCCCCCCCCOOCCOCCOCC</t>
  </si>
  <si>
    <t>InChI=1S/C18H38O4/c1-3-5-6-7-8-9-10-11-12-13-14-21-22-18-17-20-16-15-19-4-2/h3-18H2,1-2H3</t>
  </si>
  <si>
    <t>GILWMZZLBQLKQB-UHFFFAOYSA-N</t>
  </si>
  <si>
    <t>CCCCCCCCCCCCOOCCOCCOCCOCC</t>
  </si>
  <si>
    <t>InChI=1S/C20H42O5/c1-3-5-6-7-8-9-10-11-12-13-14-24-25-20-19-23-18-17-22-16-15-21-4-2/h3-20H2,1-2H3</t>
  </si>
  <si>
    <t>YKJWJVOPOCVHFN-UHFFFAOYSA-N</t>
  </si>
  <si>
    <t>CCCCCCCCCCCCOOCCOCCOCCOCCOCC</t>
  </si>
  <si>
    <t>InChI=1S/C22H46O6/c1-3-5-6-7-8-9-10-11-12-13-14-27-28-22-21-26-20-19-25-18-17-24-16-15-23-4-2/h3-22H2,1-2H3</t>
  </si>
  <si>
    <t>WWEWHCWUONTOPI-UHFFFAOYSA-N</t>
  </si>
  <si>
    <t>CCCCCCCCCCCCOOCCOCCOCCOCCOCCOCC</t>
  </si>
  <si>
    <t>InChI=1S/C24H50O7/c1-3-5-6-7-8-9-10-11-12-13-14-30-31-24-23-29-22-21-28-20-19-27-18-17-26-16-15-25-4-2/h3-24H2,1-2H3</t>
  </si>
  <si>
    <t>UGLROADYJOMZBK-UHFFFAOYSA-N</t>
  </si>
  <si>
    <t>CCCCCCCCCCCCOOCCOCCOCCOCCOCCOCCOCC</t>
  </si>
  <si>
    <t>InChI=1S/C26H54O8/c1-3-5-6-7-8-9-10-11-12-13-14-33-34-26-25-32-24-23-31-22-21-30-20-19-29-18-17-28-16-15-27-4-2/h3-26H2,1-2H3</t>
  </si>
  <si>
    <t>LUQJPQKWMDFSPD-UHFFFAOYSA-N</t>
  </si>
  <si>
    <t>CCCCCCCCCCCCOOCCOCCOCCOCCOCCOCCOCCOCC</t>
  </si>
  <si>
    <t>InChI=1S/C28H58O9/c1-3-5-6-7-8-9-10-11-12-13-14-36-37-28-27-35-26-25-34-24-23-33-22-21-32-20-19-31-18-17-30-16-15-29-4-2/h3-28H2,1-2H3</t>
  </si>
  <si>
    <t>DHVBFGDCVYSBLW-UHFFFAOYSA-N</t>
  </si>
  <si>
    <t>CCCCCCCCCCCCOOCCOCCOCCOCCOCCOCCOCCOCCOCC</t>
  </si>
  <si>
    <t>InChI=1S/C30H62O10/c1-3-5-6-7-8-9-10-11-12-13-14-39-40-30-29-38-28-27-37-26-25-36-24-23-35-22-21-34-20-19-33-18-17-32-16-15-31-4-2/h3-30H2,1-2H3</t>
  </si>
  <si>
    <t>ZWJMATNWKRUBHW-UHFFFAOYSA-N</t>
  </si>
  <si>
    <t>CCCCCCCCCCCCOOCCOCCOCCOCCOCCOCCOCCOCCOCCOCCOCCOCC</t>
  </si>
  <si>
    <t>InChI=1S/C36H74O13/c1-3-5-6-7-8-9-10-11-12-13-14-48-49-36-35-47-34-33-46-32-31-45-30-29-44-28-27-43-26-25-42-24-23-41-22-21-40-20-19-39-18-17-38-16-15-37-4-2/h3-36H2,1-2H3</t>
  </si>
  <si>
    <t>REKWAMOSVMGVTC-UHFFFAOYSA-N</t>
  </si>
  <si>
    <t>CCCCCCCCCCCCOOCCOCCOCCOCCOCCOCCOCCOCCOCCOCCOCCOCCOCCOCC</t>
  </si>
  <si>
    <t>InChI=1S/C40H82O15/c1-3-5-6-7-8-9-10-11-12-13-14-54-55-40-39-53-38-37-52-36-35-51-34-33-50-32-31-49-30-29-48-28-27-47-26-25-46-24-23-45-22-21-44-20-19-43-18-17-42-16-15-41-4-2/h3-40H2,1-2H3</t>
  </si>
  <si>
    <t>HPBOXCSNIBILRH-UHFFFAOYSA-N</t>
  </si>
  <si>
    <t>CCCCCCCCCCCCOP(=O)([O-])OCC[N+](C)(C)CCCCCCCC</t>
  </si>
  <si>
    <t>InChI=1S/C24H52NO4P/c1-5-7-9-11-13-14-15-16-18-20-23-28-30(26,27)29-24-22-25(3,4)21-19-17-12-10-8-6-2/h5-24H2,1-4H3</t>
  </si>
  <si>
    <t>FUAPGJUFMBEHEO-UHFFFAOYSA-N</t>
  </si>
  <si>
    <t>CCCCCCCCCCCCOP(=O)([O-])OCC[N+](C)(C)CCCCCCCCCCCC</t>
  </si>
  <si>
    <t>InChI=1S/C28H60NO4P/c1-5-7-9-11-13-15-17-19-21-23-25-29(3,4)26-28-33-34(30,31)32-27-24-22-20-18-16-14-12-10-8-6-2/h5-28H2,1-4H3</t>
  </si>
  <si>
    <t>YUQBZWMYOBTPKL-UHFFFAOYSA-N</t>
  </si>
  <si>
    <t>CCCCCCCCCCCCOS(=O)(=O)[O-].[Li+]</t>
  </si>
  <si>
    <t>lithium-dodecyl-sulfate</t>
  </si>
  <si>
    <t>InChI=1S/C12H26O4S.Li/c1-2-3-4-5-6-7-8-9-10-11-12-16-17(13,14)15;/h2-12H2,1H3,(H,13,14,15);/q;+1/p-1</t>
  </si>
  <si>
    <t>YFVGRULMIQXYNE-UHFFFAOYSA-M</t>
  </si>
  <si>
    <t>CCCCCCCCCCCCOS(=O)(=O)[O-].[Na+]</t>
  </si>
  <si>
    <t>['10.1016/0021-9797(76)90178-8', '10.1021/acs.jpcb.1c05264', '10.1021/ci600462d', '10.1021/acs.jpcb.1c05264', '10.1021/ci600462d']</t>
  </si>
  <si>
    <t>https://www.ajer.org/papers/Vol-9-issue-8/M0908118126.pdf</t>
  </si>
  <si>
    <t>['10.1002/9781118228920.ch5', 'https://www.ajer.org/papers/Vol-9-issue-8/M0908118126.pdf']</t>
  </si>
  <si>
    <t>sodium-dodecylsulfate</t>
  </si>
  <si>
    <t>InChI=1S/C12H26O4S.Na/c1-2-3-4-5-6-7-8-9-10-11-12-16-17(13,14)15;/h2-12H2,1H3,(H,13,14,15);/q;+1/p-1</t>
  </si>
  <si>
    <t>DBMJMQXJHONAFJ-UHFFFAOYSA-M</t>
  </si>
  <si>
    <t>CCCCCCCCCCCCO[C@@H]1O[C@H](CO)[C@H](O)[C@H](O)[C@H]1O</t>
  </si>
  <si>
    <t>10.1007/BF02541865</t>
  </si>
  <si>
    <t>Dodecyl-Î²-D-galactoside</t>
  </si>
  <si>
    <t>InChI=1S/C18H36O6/c1-2-3-4-5-6-7-8-9-10-11-12-23-18-17(22)16(21)15(20)14(13-19)24-18/h14-22H,2-13H2,1H3/t14-,15+,16+,17-,18-/m1/s1</t>
  </si>
  <si>
    <t>PYIDGJJWBIBVIA-DISONHOPSA-N</t>
  </si>
  <si>
    <t>CCCCCCCCCCCCO[C@H]1O[C@H](CO)[C@@H](O)[C@H](O)[C@@H]1O</t>
  </si>
  <si>
    <t>Dodecyl-Î±-D-mannoside</t>
  </si>
  <si>
    <t>InChI=1S/C18H36O6/c1-2-3-4-5-6-7-8-9-10-11-12-23-18-17(22)16(21)15(20)14(13-19)24-18/h14-22H,2-13H2,1H3/t14-,15-,16+,17+,18+/m1/s1</t>
  </si>
  <si>
    <t>PYIDGJJWBIBVIA-ZBRFXRBCSA-N</t>
  </si>
  <si>
    <t>CCCCCCCCCCCCOc1ccc(C[n+]2ccn(C)c2)cc1.[Br-]</t>
  </si>
  <si>
    <t>InChI=1S/C23H37N2O.BrH/c1-3-4-5-6-7-8-9-10-11-12-19-26-23-15-13-22(14-16-23)20-25-18-17-24(2)21-25;/h13-18,21H,3-12,19-20H2,1-2H3;1H/q+1;/p-1</t>
  </si>
  <si>
    <t>QUSSYFCQBKPQOS-UHFFFAOYSA-M</t>
  </si>
  <si>
    <t>CCCCCCCCCCCCOc1ccc(C[n+]2ccn(CCCCCCn3cc[n+](Cc4ccc(OCCCCCCCCCCCC)cc4)c3)c2)cc1.[Br-].[Br-]</t>
  </si>
  <si>
    <t>InChI=1S/C50H80N4O2.2BrH/c1-3-5-7-9-11-13-15-17-21-25-41-55-49-31-27-47(28-32-49)43-53-39-37-51(45-53)35-23-19-20-24-36-52-38-40-54(46-52)44-48-29-33-50(34-30-48)56-42-26-22-18-16-14-12-10-8-6-4-2;;/h27-34,37-40,45-46H,3-26,35-36,41-44H2,1-2H3;2*1H/q+2;;/p-2</t>
  </si>
  <si>
    <t>JFUDMCFTQCQUPG-UHFFFAOYSA-L</t>
  </si>
  <si>
    <t>CCCCCCCCCCCCOc1ccc(C[n+]2ccn(CCCn3cc[n+](Cc4ccc(OCCCCCCCCCCCC)cc4)c3)c2)cc1.[Br-].[Br-]</t>
  </si>
  <si>
    <t>InChI=1S/C47H74N4O2.2BrH/c1-3-5-7-9-11-13-15-17-19-21-38-52-46-28-24-44(25-29-46)40-50-36-34-48(42-50)32-23-33-49-35-37-51(43-49)41-45-26-30-47(31-27-45)53-39-22-20-18-16-14-12-10-8-6-4-2;;/h24-31,34-37,42-43H,3-23,32-33,38-41H2,1-2H3;2*1H/q+2;;/p-2</t>
  </si>
  <si>
    <t>WRSBRTMQHCNHTG-UHFFFAOYSA-L</t>
  </si>
  <si>
    <t>CCCCCCCCCCCCOc1ccc(NC(=O)C[N+](C)(C)CCCCCC[N+](C)(C)CC(=O)Nc2ccc(OCCCCCCCCCCCC)cc2)cc1.[Br-].[Br-]</t>
  </si>
  <si>
    <t>N,N,Nâ€²,Nâ€²-tetramethyldodecylenediaminewith2-bromo-N-(4-(hexyloxy)phenyl)acetamide</t>
  </si>
  <si>
    <t>InChI=1S/C50H86N4O4.2BrH/c1-7-9-11-13-15-17-19-21-25-29-41-57-47-35-31-45(32-36-47)51-49(55)43-53(3,4)39-27-23-24-28-40-54(5,6)44-50(56)52-46-33-37-48(38-34-46)58-42-30-26-22-20-18-16-14-12-10-8-2;;/h31-38H,7-30,39-44H2,1-6H3;2*1H</t>
  </si>
  <si>
    <t>YMDDJTQKSXLWTI-UHFFFAOYSA-N</t>
  </si>
  <si>
    <t>CCCCCCCCCCCCOc1ccc(NC(=O)C[N+](C)(C)CCCC[N+](C)(C)CC(=O)Nc2ccc(OCCCCCCCCCCCC)cc2)cc1.[Br-].[Br-]</t>
  </si>
  <si>
    <t>N,N,Nâ€²,Nâ€²-tetramethyldodecylenediaminewith2-bromo-N-(4-(butyloxy)phenyl)acetamide</t>
  </si>
  <si>
    <t>InChI=1S/C48H82N4O4.2BrH/c1-7-9-11-13-15-17-19-21-23-27-39-55-45-33-29-43(30-34-45)49-47(53)41-51(3,4)37-25-26-38-52(5,6)42-48(54)50-44-31-35-46(36-32-44)56-40-28-24-22-20-18-16-14-12-10-8-2;;/h29-36H,7-28,37-42H2,1-6H3;2*1H</t>
  </si>
  <si>
    <t>DYCFFTGSAVUMBZ-UHFFFAOYSA-N</t>
  </si>
  <si>
    <t>CCCCCCCCCCCCOc1ccc(NC(=O)C[N+](C)(C)CC[N+](C)(C)CC(=O)Nc2ccc(OCCCCCCCCCCCC)cc2)cc1.[Br-].[Br-]</t>
  </si>
  <si>
    <t>N,N,Nâ€²,Nâ€²-tetramethyldodecylenediaminewith2-bromo-N-(4-(ethyloxy)phenyl)acetamide</t>
  </si>
  <si>
    <t>InChI=1S/C46H78N4O4.2BrH/c1-7-9-11-13-15-17-19-21-23-25-37-53-43-31-27-41(28-32-43)47-45(51)39-49(3,4)35-36-50(5,6)40-46(52)48-42-29-33-44(34-30-42)54-38-26-24-22-20-18-16-14-12-10-8-2;;/h27-34H,7-26,35-40H2,1-6H3;2*1H</t>
  </si>
  <si>
    <t>PLBQBZJYCJZXLU-UHFFFAOYSA-N</t>
  </si>
  <si>
    <t>CCCCCCCCCCCCOc1c[n+](CC(C[n+]2cc(OCCCCCCCCCCCC)ccc2)O)ccc1.[Br-].[Br-]</t>
  </si>
  <si>
    <t>InChI=1S/C37H64N2O3/c1-3-5-7-9-11-13-15-17-19-21-29-41-36-25-23-27-38(33-36)31-35(40)32-39-28-24-26-37(34-39)42-30-22-20-18-16-14-12-10-8-6-4-2/h23-28,33-35,40H,3-22,29-32H2,1-2H3/q+2</t>
  </si>
  <si>
    <t>JJVUJQYIUJPLFD-UHFFFAOYSA-N</t>
  </si>
  <si>
    <t>CCCCCCCCCCCCOc1ccc[n+](CC(O)C[n+]2cccc(OCCCCCCCCCCCC)c2)c1.[Br-].[Br-]</t>
  </si>
  <si>
    <t>InChI=1S/C37H64N2O3.2BrH/c1-3-5-7-9-11-13-15-17-19-21-29-41-36-25-23-27-38(33-36)31-35(40)32-39-28-24-26-37(34-39)42-30-22-20-18-16-14-12-10-8-6-4-2;;/h23-28,33-35,40H,3-22,29-32H2,1-2H3;2*1H/q+2;;/p-2</t>
  </si>
  <si>
    <t>XEBLEMLOOYCMAZ-UHFFFAOYSA-L</t>
  </si>
  <si>
    <t>CCCCCCCCCCCCOc1ccc[n+](CCCCCC[n+]2cccc(OCCCCCCCCCCCC)c2)c1.[Br-].[Br-]</t>
  </si>
  <si>
    <t>1,1'-(hexane-1,6-diyl)bis(3-(dodecyloxy)pyridin-1-ium)</t>
  </si>
  <si>
    <t>InChI=1S/C40H70N2O2.2BrH/c1-3-5-7-9-11-13-15-17-21-25-35-43-39-29-27-33-41(37-39)31-23-19-20-24-32-42-34-28-30-40(38-42)44-36-26-22-18-16-14-12-10-8-6-4-2;;/h27-30,33-34,37-38H,3-26,31-32,35-36H2,1-2H3;2*1H/q+2;;/p-2</t>
  </si>
  <si>
    <t>ULMLESYNYYARBN-UHFFFAOYSA-L</t>
  </si>
  <si>
    <t>CCCCCCCCCCCCOc1ccc[n+](CCCCC[n+]2cccc(OCCCCCCCCCCCC)c2)c1.[Br-].[Br-]</t>
  </si>
  <si>
    <t>1,1'-(pentane-1,5-diyl)bis(3-(dodecyloxy)pyridin-1-ium)</t>
  </si>
  <si>
    <t>InChI=1S/C39H68N2O2.2BrH/c1-3-5-7-9-11-13-15-17-19-24-34-42-38-28-26-32-40(36-38)30-22-21-23-31-41-33-27-29-39(37-41)43-35-25-20-18-16-14-12-10-8-6-4-2;;/h26-29,32-33,36-37H,3-25,30-31,34-35H2,1-2H3;2*1H/q+2;;/p-2</t>
  </si>
  <si>
    <t>BFHQMTGIWWXRSE-UHFFFAOYSA-L</t>
  </si>
  <si>
    <t>CCCCCCCCCCCCOc1ccc[n+](CCCC[n+]2cccc(OCCCCCCCCCCCC)c2)c1.[Br-].[Br-]</t>
  </si>
  <si>
    <t>10.3390/molecules25184054</t>
  </si>
  <si>
    <t>1,1'-(butane-1,4-diyl)bis(3-(dodecyloxy)pyridin-1-ium)</t>
  </si>
  <si>
    <t>InChI=1S/C38H66N2O2.2BrH/c1-3-5-7-9-11-13-15-17-19-23-33-41-37-27-25-31-39(35-37)29-21-22-30-40-32-26-28-38(36-40)42-34-24-20-18-16-14-12-10-8-6-4-2;;/h25-28,31-32,35-36H,3-24,29-30,33-34H2,1-2H3;2*1H/q+2;;/p-2</t>
  </si>
  <si>
    <t>RFNIAHHGSCYYBJ-UHFFFAOYSA-L</t>
  </si>
  <si>
    <t>CCCCCCCCCCCCOc1ccc[n+](CCC[n+]2cccc(OCCCCCCCCCCCC)c2)c1.[Br-].[Br-]</t>
  </si>
  <si>
    <t>InChI=1S/C37H64N2O2.2BrH/c1-3-5-7-9-11-13-15-17-19-21-32-40-36-26-23-28-38(34-36)30-25-31-39-29-24-27-37(35-39)41-33-22-20-18-16-14-12-10-8-6-4-2;;/h23-24,26-29,34-35H,3-22,25,30-33H2,1-2H3;2*1H/q+2;;/p-2</t>
  </si>
  <si>
    <t>MVPSVOFERSTCLW-UHFFFAOYSA-L</t>
  </si>
  <si>
    <t>CCCCCCCCCCCCOc1ccc[n+](CC[n+]2cccc(OCCCCCCCCCCCC)c2)c1.[Br-].[Br-]</t>
  </si>
  <si>
    <t>InChI=1S/C36H62N2O2.2BrH/c1-3-5-7-9-11-13-15-17-19-21-31-39-35-25-23-27-37(33-35)29-30-38-28-24-26-36(34-38)40-32-22-20-18-16-14-12-10-8-6-4-2;;/h23-28,33-34H,3-22,29-32H2,1-2H3;2*1H/q+2;;/p-2</t>
  </si>
  <si>
    <t>LXHQJFBRZLRWNB-UHFFFAOYSA-L</t>
  </si>
  <si>
    <t>O=S(OCCCCCCCCCCCC)([O-])=O.CCC[N+](CCC)(CCC)CCC</t>
  </si>
  <si>
    <t>10.1016/0001-8686(67)80005-8</t>
  </si>
  <si>
    <t>InChI=1S/C12H28N.C12H26O3S/c1-5-9-13(10-6-2,11-7-3)12-8-4;1-2-3-4-5-6-7-8-9-10-11-12-16(13,14)15/h5-12H2,1-4H3;2-12H2,1H3,(H,13,14,15)/q+1;/p-1</t>
  </si>
  <si>
    <t>BTUAXUKBFYAJGR-UHFFFAOYSA-M</t>
  </si>
  <si>
    <t>O=S(OCCCCCCCCCCCC)([O-])=O.C[N+](C)(C)C</t>
  </si>
  <si>
    <t>dodecane-1-sulfonate,tetramethylazanium</t>
  </si>
  <si>
    <t>InChI=1S/C12H26O3S.C4H12N/c1-2-3-4-5-6-7-8-9-10-11-12-16(13,14)15;1-5(2,3)4/h2-12H2,1H3,(H,13,14,15);1-4H3/q;+1/p-1</t>
  </si>
  <si>
    <t>COYDDTAGUGHNFA-UHFFFAOYSA-M</t>
  </si>
  <si>
    <t>CCCCCCCCCCCCS(=O)(=O)[O-].[K+]</t>
  </si>
  <si>
    <t>potassium-dodecane-1-sulfonate</t>
  </si>
  <si>
    <t>InChI=1S/C12H26O3S.K/c1-2-3-4-5-6-7-8-9-10-11-12-16(13,14)15;/h2-12H2,1H3,(H,13,14,15);/q;+1/p-1</t>
  </si>
  <si>
    <t>LQAZPMXASFNKCD-UHFFFAOYSA-M</t>
  </si>
  <si>
    <t>CCCCCCCCCCCCS(=O)(=O)[O-].[Li+]</t>
  </si>
  <si>
    <t>lithium-dodecane-1-sulfonate</t>
  </si>
  <si>
    <t>InChI=1S/C12H26O3S.Li/c1-2-3-4-5-6-7-8-9-10-11-12-16(13,14)15;/h2-12H2,1H3,(H,13,14,15);/q;+1/p-1</t>
  </si>
  <si>
    <t>DNXKVOCRSQBZHO-UHFFFAOYSA-M</t>
  </si>
  <si>
    <t>CCCCCCCCCCCCS(=O)(=O)[O-].[NH4+]</t>
  </si>
  <si>
    <t>azanium-dodecane-1-sulfonate</t>
  </si>
  <si>
    <t>InChI=1S/C12H26O3S.H3N/c1-2-3-4-5-6-7-8-9-10-11-12-16(13,14)15;/h2-12H2,1H3,(H,13,14,15);1H3</t>
  </si>
  <si>
    <t>AERRGWRSYANDQB-UHFFFAOYSA-N</t>
  </si>
  <si>
    <t>CCCCCCCCCCCCS(=O)(=O)[O-].[Na+]</t>
  </si>
  <si>
    <t>['10.1021/acs.jpcb.1c05264', '10.1021/ci600462d']</t>
  </si>
  <si>
    <t>sodium-dodecane-1-sulfonate</t>
  </si>
  <si>
    <t>InChI=1S/C12H26O3S.Na/c1-2-3-4-5-6-7-8-9-10-11-12-16(13,14)15;/h2-12H2,1H3,(H,13,14,15);/q;+1/p-1</t>
  </si>
  <si>
    <t>DAJSVUQLFFJUSX-UHFFFAOYSA-M</t>
  </si>
  <si>
    <t>CCCCCCCCCCCC[N+](C)(C)C(=O)NCCCCCCCCCCCCNC(=O)[N+](C)(C)CCCCCCCCCCCC.[Cl-].[Cl-]</t>
  </si>
  <si>
    <t>InChI=1S/C42H86N4O2.2ClH/c1-7-9-11-13-15-17-23-27-31-35-39-45(3,4)41(47)43-37-33-29-25-21-19-20-22-26-30-34-38-44-42(48)46(5,6)40-36-32-28-24-18-16-14-12-10-8-2;;/h7-40H2,1-6H3;2*1H</t>
  </si>
  <si>
    <t>QECLPPLNLNMYLT-UHFFFAOYSA-N</t>
  </si>
  <si>
    <t>CCCCCCCCCCCC[N+](C)(C)C(=O)NCCNC(=O)[N+](C)(C)CCCCCCCCCCCC.[Cl-].[Cl-]</t>
  </si>
  <si>
    <t>InChI=1S/C32H66N4O2.2ClH/c1-7-9-11-13-15-17-19-21-23-25-29-35(3,4)31(37)33-27-28-34-32(38)36(5,6)30-26-24-22-20-18-16-14-12-10-8-2;;/h7-30H2,1-6H3;2*1H</t>
  </si>
  <si>
    <t>IHUBAHJIKYCNNE-UHFFFAOYSA-N</t>
  </si>
  <si>
    <t>CCCCCCCCCCCC[N+](C)(C)C(=O)OCCCCCCOC(=O)[N+](C)(C)CCCCCCCCCCCC.[Cl-].[Cl-]</t>
  </si>
  <si>
    <t>InChI=1S/C36H74N2O4.2ClH/c1-7-9-11-13-15-17-19-21-23-27-31-37(3,4)35(39)41-33-29-25-26-30-34-42-36(40)38(5,6)32-28-24-22-20-18-16-14-12-10-8-2;;/h7-34H2,1-6H3;2*1H/q+2;;/p-2</t>
  </si>
  <si>
    <t>JIWBGUOOEINVHS-UHFFFAOYSA-L</t>
  </si>
  <si>
    <t>CCCCCCCCCCCC[N+](C)(C)C(C)C(O)c1ccccc1.[Br-]</t>
  </si>
  <si>
    <t>10.1016/j.jcis.2005.05.054</t>
  </si>
  <si>
    <t>InChI=1S/C23H42NO.BrH/c1-5-6-7-8-9-10-11-12-13-17-20-24(3,4)21(2)23(25)22-18-15-14-16-19-22;/h14-16,18-19,21,23,25H,5-13,17,20H2,1-4H3;1H/q+1;/p-1</t>
  </si>
  <si>
    <t>GOIUTZPQFMGLAH-UHFFFAOYSA-M</t>
  </si>
  <si>
    <t>CCCCCCCCCCCC[N+](C)(C)C.COS(=O)(=O)[O-]</t>
  </si>
  <si>
    <t>InChI=1S/C15H34N.CH4O4S/c1-5-6-7-8-9-10-11-12-13-14-15-16(2,3)4;1-5-6(2,3)4/h5-15H2,1-4H3;1H3,(H,2,3,4)/q+1;/p-1</t>
  </si>
  <si>
    <t>ODGXMRVMAFAHQH-UHFFFAOYSA-M</t>
  </si>
  <si>
    <t>CCCCCCCCCCCC[N+](C)(C)C.[Br-]</t>
  </si>
  <si>
    <t>dodecyl(trimethyl)ammonium-bromide</t>
  </si>
  <si>
    <t>InChI=1S/C15H34N.BrH/c1-5-6-7-8-9-10-11-12-13-14-15-16(2,3)4;/h5-15H2,1-4H3;1H/q+1;/p-1</t>
  </si>
  <si>
    <t>XJWSAJYUBXQQDR-UHFFFAOYSA-M</t>
  </si>
  <si>
    <t>CCCCCCCCCCCC[N+](C)(C)C.[Cl-]</t>
  </si>
  <si>
    <t>['10.1016/0021-9797(76)90178-8', '10.1002/9781118228920.ch3', '10.1002/9781118228920.ch3']</t>
  </si>
  <si>
    <t>dodecyl(trimethyl)azanium-chloride</t>
  </si>
  <si>
    <t>InChI=1S/C15H34N.ClH/c1-5-6-7-8-9-10-11-12-13-14-15-16(2,3)4;/h5-15H2,1-4H3;1H/q+1;/p-1</t>
  </si>
  <si>
    <t>DDXLVDQZPFLQMZ-UHFFFAOYSA-M</t>
  </si>
  <si>
    <t>CCCCCCCCCCCC[N+](C)(C)CC(=O)NCCN(CCNC(=O)C[N+](C)(C)CCCCCCCCCCCC)C(=O)C[N+](C)(C)CCCCCCCCCCCC.[Cl-].[Cl-].[Cl-]</t>
  </si>
  <si>
    <t>10.1021/la9048067</t>
  </si>
  <si>
    <t>InChI=1S/C52H107N6O3.3ClH/c1-10-13-16-19-22-25-28-31-34-37-44-56(4,5)47-50(59)53-40-42-55(52(61)49-58(8,9)46-39-36-33-30-27-24-21-18-15-12-3)43-41-54-51(60)48-57(6,7)45-38-35-32-29-26-23-20-17-14-11-2;;;/h10-49H2,1-9H3;3*1H/q+1;;;/p-1</t>
  </si>
  <si>
    <t>BTBBLOIOPJMOPT-UHFFFAOYSA-M</t>
  </si>
  <si>
    <t>CCCCCCCCCCCC[N+](C)(C)CC(=O)NCCN(CCNC(=O)C[N+](C)(C)CCCCCCCCCCCC)CCNC(=O)C[N+](C)(C)CCCCCCCCCCCC.[Cl-].[Cl-].[Cl-]</t>
  </si>
  <si>
    <t>InChI=1S/C54H111N7O3.3ClH/c1-10-13-16-19-22-25-28-31-34-37-46-59(4,5)49-52(62)55-40-43-58(44-41-56-53(63)50-60(6,7)47-38-35-32-29-26-23-20-17-14-11-2)45-42-57-54(64)51-61(8,9)48-39-36-33-30-27-24-21-18-15-12-3;;;/h10-51H2,1-9H3;3*1H</t>
  </si>
  <si>
    <t>SXMCNDPBVBIBIZ-UHFFFAOYSA-N</t>
  </si>
  <si>
    <t>CCCCCCCCCCCC[N+](C)(C)CC(=O)NCCNC(=O)C[N+](C)(C)CCCCCCCCCCCC.[Cl-].[Cl-]</t>
  </si>
  <si>
    <t>Ethane-1,2-diylbis(N,N-dimethyl-N-dodecyl-ammoniumacetoamide)dichloride</t>
  </si>
  <si>
    <t>InChI=1S/C34H70N4O2.2ClH/c1-7-9-11-13-15-17-19-21-23-25-29-37(3,4)31-33(39)35-27-28-36-34(40)32-38(5,6)30-26-24-22-20-18-16-14-12-10-8-2;;/h7-32H2,1-6H3;2*1H</t>
  </si>
  <si>
    <t>RFHANDOPNCSKQB-UHFFFAOYSA-N</t>
  </si>
  <si>
    <t>CCCCCCCCCCCC[N+](C)(C)CC(=O)Nc1ccccc1.[Cl-]</t>
  </si>
  <si>
    <t>10.1002/jsde.12221</t>
  </si>
  <si>
    <t>N,N-dimethyl-N-dodecyl-phenylcar-bamoylmethylammoniumchloride</t>
  </si>
  <si>
    <t>InChI=1S/C22H38N2O.ClH/c1-4-5-6-7-8-9-10-11-12-16-19-24(2,3)20-22(25)23-21-17-14-13-15-18-21;/h13-15,17-18H,4-12,16,19-20H2,1-3H3;1H</t>
  </si>
  <si>
    <t>CAIJCHDQILXAGD-UHFFFAOYSA-N</t>
  </si>
  <si>
    <t>CCCCCCCCCCCC[N+](C)(C)CC(=O)Nc1nccs1.[Cl-]</t>
  </si>
  <si>
    <t>N,N-dimethyl-N-dodecyl-2-thiazolylcarbamoylmethylammo-niumchloride</t>
  </si>
  <si>
    <t>InChI=1S/C19H35N3OS.ClH/c1-4-5-6-7-8-9-10-11-12-13-15-22(2,3)17-18(23)21-19-20-14-16-24-19;/h14,16H,4-13,15,17H2,1-3H3;1H</t>
  </si>
  <si>
    <t>YTOUNBIFDRQFDT-UHFFFAOYSA-N</t>
  </si>
  <si>
    <t>CCCCCCCCCCCC[N+](C)(CC(NC1=CC=NC=N1)=O)C.[Cl-]</t>
  </si>
  <si>
    <t>N,N-dimethyl-N-dodecyl-2-thiazolylcarbamoylmethylammoniumchloride</t>
  </si>
  <si>
    <t>InChI=1S/C20H35N5O.ClH/c1-4-5-6-7-8-9-10-11-12-13-14-25(2,3)16-19(26)24-20-18(21)15-22-17-23-20;/h15,17H,4-14,16H2,1-3H3;1H</t>
  </si>
  <si>
    <t>AIKINKFSTSZYIO-UHFFFAOYSA-N</t>
  </si>
  <si>
    <t>CCCCCCCCCCCC[N+](C)(C)CC(=O)OCCCOC(=O)C[N+](C)(C)CCCCCCCCCCCC.[Cl-].[Cl-]</t>
  </si>
  <si>
    <t>N,N-Dimethyldodecylamine</t>
  </si>
  <si>
    <t>InChI=1S/C35H72N2O4.2ClH/c1-7-9-11-13-15-17-19-21-23-25-28-36(3,4)32-34(38)40-30-27-31-41-35(39)33-37(5,6)29-26-24-22-20-18-16-14-12-10-8-2;;/h7-33H2,1-6H3;2*1H/q+2;;/p-2</t>
  </si>
  <si>
    <t>SINMNZFWPMECCJ-UHFFFAOYSA-L</t>
  </si>
  <si>
    <t>CCCCCCCCCCCC[N+](C)(C)CC(=O)OCCN(CCOC(=O)C[N+](C)(C)CCCCCCCCCC)CCOC(=O)C[N+](C)(C)CCCCCCCCCC.[Br-].[Br-].[Br-]</t>
  </si>
  <si>
    <t>Triethanolaminetris(dimethyldodecylammonioacetate),tribromide</t>
  </si>
  <si>
    <t>InChI=1S/C50H103N4O6.3BrH/c1-10-13-16-19-22-25-26-29-32-35-41-54(8,9)47-50(57)60-44-38-51(36-42-58-48(55)45-52(4,5)39-33-30-27-23-20-17-14-11-2)37-43-59-49(56)46-53(6,7)40-34-31-28-24-21-18-15-12-3;;;/h10-47H2,1-9H3;3*1H/q+3;;;/p-3</t>
  </si>
  <si>
    <t>OBVOLYUOSUPKGR-UHFFFAOYSA-K</t>
  </si>
  <si>
    <t>CCCCCCCCCCCC[N+](C)(C)CC(=O)OCCOC(=O)C[N+](C)(C)CCCCCCCCCCCC.[Br-].[Br-]</t>
  </si>
  <si>
    <t>10.1007/s00396-014-3233-9</t>
  </si>
  <si>
    <t>InChI=1S/C34H70N2O4.2BrH/c1-7-9-11-13-15-17-19-21-23-25-27-35(3,4)31-33(37)39-29-30-40-34(38)32-36(5,6)28-26-24-22-20-18-16-14-12-10-8-2;;/h7-32H2,1-6H3;2*1H/q+2;;/p-2</t>
  </si>
  <si>
    <t>FJVVXIDGHSAVEX-UHFFFAOYSA-L</t>
  </si>
  <si>
    <t>CCCCCCCCCCCC[N+](C)(C)CC(=O)OCCOC(=O)C[N+](C)(C)CCCCCCCCCCCC.[Cl-].[Cl-]</t>
  </si>
  <si>
    <t>Ethane-1,2-diylbis(N,N-dimethyl-N-dodecyl-ammoniumacetoxy)dichloride</t>
  </si>
  <si>
    <t>InChI=1S/C34H70N2O4.2ClH/c1-7-9-11-13-15-17-19-21-23-25-27-35(3,4)31-33(37)39-29-30-40-34(38)32-36(5,6)28-26-24-22-20-18-16-14-12-10-8-2;;/h7-32H2,1-6H3;2*1H/q+2;;/p-2</t>
  </si>
  <si>
    <t>USQSWBZZAZJLPF-UHFFFAOYSA-L</t>
  </si>
  <si>
    <t>CCCCCCCCCCCC[N+](C)(C)CC(=O)OCCOCCOC(=O)C[N+](C)(C)CCCCCCCCCCCC.[Br-].[Br-]</t>
  </si>
  <si>
    <t>InChI=1S/C36H74N2O5.2BrH/c1-7-9-11-13-15-17-19-21-23-25-27-37(3,4)33-35(39)42-31-29-41-30-32-43-36(40)34-38(5,6)28-26-24-22-20-18-16-14-12-10-8-2;;/h7-34H2,1-6H3;2*1H/q+2;;/p-2</t>
  </si>
  <si>
    <t>LANDVNVHGBFEKY-UHFFFAOYSA-L</t>
  </si>
  <si>
    <t>CCCCCCCCCCCC[N+](C)(C)CC(=O)OCCOCCOCCOC(=O)C[N+](C)(C)CCCCCCCCCCCC.[Br-].[Br-]</t>
  </si>
  <si>
    <t>InChI=1S/C38H78N2O6.2BrH/c1-7-9-11-13-15-17-19-21-23-25-27-39(3,4)35-37(41)45-33-31-43-29-30-44-32-34-46-38(42)36-40(5,6)28-26-24-22-20-18-16-14-12-10-8-2;;/h7-36H2,1-6H3;2*1H/q+2;;/p-2</t>
  </si>
  <si>
    <t>YRMOOJJOLFWDNG-UHFFFAOYSA-L</t>
  </si>
  <si>
    <t>CCCCCCCCCCCC[N+](C)(C)CC(=O)OCc1ccc(COC(=O)C[N+](C)(C)CCCCCCCCCCCC)cc1.[Cl-].[Cl-]</t>
  </si>
  <si>
    <t>InChI=1S/C40H74N2O4.2ClH/c1-7-9-11-13-15-17-19-21-23-25-31-41(3,4)33-39(43)45-35-37-27-29-38(30-28-37)36-46-40(44)34-42(5,6)32-26-24-22-20-18-16-14-12-10-8-2;;/h27-30H,7-26,31-36H2,1-6H3;2*1H/q+2;;/p-2</t>
  </si>
  <si>
    <t>UOWRSABXUKITKD-UHFFFAOYSA-L</t>
  </si>
  <si>
    <t>CCCCCCCCCCCC[N+](C)(C)CC(=O)Oc1ccc(OC(=O)C[N+](C)(C)CCCCCCCCCCCC)cc1.[Cl-].[Cl-]</t>
  </si>
  <si>
    <t>InChI=1S/C38H70N2O4.2ClH/c1-7-9-11-13-15-17-19-21-23-25-31-39(3,4)33-37(41)43-35-27-29-36(30-28-35)44-38(42)34-40(5,6)32-26-24-22-20-18-16-14-12-10-8-2;;/h27-30H,7-26,31-34H2,1-6H3;2*1H/q+2;;/p-2</t>
  </si>
  <si>
    <t>ACTUYDKEZBLXCM-UHFFFAOYSA-L</t>
  </si>
  <si>
    <t>CCCCCCCCCCCC[N+](C)(C)CC(=O)[O-]</t>
  </si>
  <si>
    <t>2-[dodecyl(dimethyl)azaniumyl]acetate</t>
  </si>
  <si>
    <t>InChI=1S/C16H33NO2/c1-4-5-6-7-8-9-10-11-12-13-14-17(2,3)15-16(18)19/h4-15H2,1-3H3</t>
  </si>
  <si>
    <t>DVEKCXOJTLDBFE-UHFFFAOYSA-N</t>
  </si>
  <si>
    <t>CCCCCCCCCCCC[N+](C)(C)CC(O)C(O)C[N+](C)(C)CCCCCCCCCCCC.[Br-].[Br-]</t>
  </si>
  <si>
    <t>InChI=1S/C32H70N2O2.2BrH/c1-7-9-11-13-15-17-19-21-23-25-27-33(3,4)29-31(35)32(36)30-34(5,6)28-26-24-22-20-18-16-14-12-10-8-2;;/h31-32,35-36H,7-30H2,1-6H3;2*1H/q+2;;/p-2</t>
  </si>
  <si>
    <t>MKBFFSBRFWWHGY-UHFFFAOYSA-L</t>
  </si>
  <si>
    <t>CCCCCCCCCCCC[N+](C)(C)CC(O)CC(O)[N+](C)(C)CCCCCCCCCCCC.[Br-].[Br-]</t>
  </si>
  <si>
    <t>InChI=1S/C32H70N2O2.2BrH/c1-7-9-11-13-15-17-19-21-23-25-27-33(3,4)30-31(35)29-32(36)34(5,6)28-26-24-22-20-18-16-14-12-10-8-2;;/h31-32,35-36H,7-30H2,1-6H3;2*1H/q+2;;/p-2</t>
  </si>
  <si>
    <t>LLFFTSWYUVDYDS-UHFFFAOYSA-L</t>
  </si>
  <si>
    <t>CCCCCCCCCCCC[N+](C)(C)CC(O)CN(CC)CC(O)C[N+](C)(C)CCCCCCCCCCCC.[Cl-].[Cl-]</t>
  </si>
  <si>
    <t>10.1021/la702619a</t>
  </si>
  <si>
    <t>dodecyl-[3-[[3-[dodecyl(dimethyl)azaniumyl]-2-hydroxypropyl]-ethylamino]-2-hydroxypropyl]-dimethylazanium-dichloride</t>
  </si>
  <si>
    <t>InChI=1S/C36H79N3O2.2ClH/c1-8-11-13-15-17-19-21-23-25-27-29-38(4,5)33-35(40)31-37(10-3)32-36(41)34-39(6,7)30-28-26-24-22-20-18-16-14-12-9-2;;/h35-36,40-41H,8-34H2,1-7H3;2*1H/q+2;;/p-2</t>
  </si>
  <si>
    <t>VBESURDFLJSYSX-UHFFFAOYSA-L</t>
  </si>
  <si>
    <t>CCCCCCCCCCCC[N+](C)(C)CC(O)CN(CCC)CC(O)C[N+](C)(C)CCCCCCCCCCCC.[Cl-].[Cl-]</t>
  </si>
  <si>
    <t>dodecyl-[3-[[3-[dodecyl(dimethyl)azaniumyl]-2-hydroxypropyl]-propylamino]-2-hydroxypropyl]-dimethylazanium-dichloride</t>
  </si>
  <si>
    <t>InChI=1S/C37H81N3O2.2ClH/c1-8-11-13-15-17-19-21-23-25-27-30-39(4,5)34-36(41)32-38(29-10-3)33-37(42)35-40(6,7)31-28-26-24-22-20-18-16-14-12-9-2;;/h36-37,41-42H,8-35H2,1-7H3;2*1H/q+2;;/p-2</t>
  </si>
  <si>
    <t>ZTYFLXQPELDNJS-UHFFFAOYSA-L</t>
  </si>
  <si>
    <t>CCCCCCCCCCCC[N+](C)(C)CC(O)CN(CCCC)CC(O)C[N+](C)(C)CCCCCCCCCCCC.[Cl-].[Cl-]</t>
  </si>
  <si>
    <t>[3-[butyl-[3-[dodecyl(dimethyl)azaniumyl]-2-hydroxypropyl]amino]-2-hydroxypropyl]-dodecyl-dimethylazanium-dichloride</t>
  </si>
  <si>
    <t>InChI=1S/C38H83N3O2.2ClH/c1-8-11-14-16-18-20-22-24-26-28-31-40(4,5)35-37(42)33-39(30-13-10-3)34-38(43)36-41(6,7)32-29-27-25-23-21-19-17-15-12-9-2;;/h37-38,42-43H,8-36H2,1-7H3;2*1H/q+2;;/p-2</t>
  </si>
  <si>
    <t>SAKYLJCABIKWIM-UHFFFAOYSA-L</t>
  </si>
  <si>
    <t>CCCCCCCCCCCC[N+](C)(C)CC(O)CN(CCCCC)CC(O)C[N+](C)(C)CCCCCCCCCCCC.[Cl-].[Cl-]</t>
  </si>
  <si>
    <t>dodecyl-[3-[[3-[dodecyl(dimethyl)azaniumyl]-2-hydroxypropyl]-pentylamino]-2-hydroxypropyl]-dimethylazanium-dichloride</t>
  </si>
  <si>
    <t>InChI=1S/C39H85N3O2.2ClH/c1-8-11-14-16-18-20-22-24-26-29-32-41(4,5)36-38(43)34-40(31-28-13-10-3)35-39(44)37-42(6,7)33-30-27-25-23-21-19-17-15-12-9-2;;/h38-39,43-44H,8-37H2,1-7H3;2*1H/q+2;;/p-2</t>
  </si>
  <si>
    <t>JPSLNTOPPWDEBI-UHFFFAOYSA-L</t>
  </si>
  <si>
    <t>CCCCCCCCCCCC[N+](C)(C)CC(O)CN(CCCCCC)CC(O)C[N+](C)(C)CCCCCCCCCCCC.[Cl-].[Cl-]</t>
  </si>
  <si>
    <t>dodecyl-[3-[[3-[dodecyl(dimethyl)azaniumyl]-2-hydroxypropyl]-hexylamino]-2-hydroxypropyl]-dimethylazanium,dichloride</t>
  </si>
  <si>
    <t>InChI=1S/C40H87N3O2.2ClH/c1-8-11-14-17-19-21-23-25-27-30-33-42(4,5)37-39(44)35-41(32-29-16-13-10-3)36-40(45)38-43(6,7)34-31-28-26-24-22-20-18-15-12-9-2;;/h39-40,44-45H,8-38H2,1-7H3;2*1H/q+2;;/p-2</t>
  </si>
  <si>
    <t>UXVXVDRPKURNCL-UHFFFAOYSA-L</t>
  </si>
  <si>
    <t>CCCCCCCCCCCC[N+](C)(C)CC(O)CN(CCCCCCCC)CC(O)C[N+](C)(C)CCCCCCCCCCCC.[Cl-].[Cl-]</t>
  </si>
  <si>
    <t>dodecyl-[3-[[3-[dodecyl(dimethyl)azaniumyl]-2-hydroxypropyl]-octylamino]-2-hydroxypropyl]-dimethylazanium,dichloride</t>
  </si>
  <si>
    <t>InChI=1S/C42H91N3O2.2ClH/c1-8-11-14-17-20-22-24-26-29-32-35-44(4,5)39-41(46)37-43(34-31-28-19-16-13-10-3)38-42(47)40-45(6,7)36-33-30-27-25-23-21-18-15-12-9-2;;/h41-42,46-47H,8-40H2,1-7H3;2*1H/q+2;;/p-2</t>
  </si>
  <si>
    <t>CXZJIXDGSPUVAQ-UHFFFAOYSA-L</t>
  </si>
  <si>
    <t>CCCCCCCCCCCC[N+](C)(C)CC(O)CN1CCN(CC(O)C[N+](C)(C)CCCCCCCCCCCC)CC1.[Cl-].[Cl-]</t>
  </si>
  <si>
    <t>N-bis(dodecyltrimethylammonium)piperazine</t>
  </si>
  <si>
    <t>InChI=1S/C38H82N4O2.2ClH/c1-7-9-11-13-15-17-19-21-23-25-31-41(3,4)35-37(43)33-39-27-29-40(30-28-39)34-38(44)36-42(5,6)32-26-24-22-20-18-16-14-12-10-8-2;;/h37-38,43-44H,7-36H2,1-6H3;2*1H/q+2;;/p-2</t>
  </si>
  <si>
    <t>WUHISLWWSIVKND-UHFFFAOYSA-L</t>
  </si>
  <si>
    <t>CCCCCCCCCCCC[N+](C)(C)CC(O)COC(=O)CCCCC(=O)OCC(O)C[N+](C)(C)CCCCCCCCCCCC.[Cl-].[Cl-]</t>
  </si>
  <si>
    <t>10.4028/www.scientific.net/AMR.1004-1005.699</t>
  </si>
  <si>
    <t>InChI=1S/C40H82N2O6.2ClH/c1-7-9-11-13-15-17-19-21-23-27-31-41(3,4)33-37(43)35-47-39(45)29-25-26-30-40(46)48-36-38(44)34-42(5,6)32-28-24-22-20-18-16-14-12-10-8-2;;/h37-38,43-44H,7-36H2,1-6H3;2*1H/q+2;;/p-2</t>
  </si>
  <si>
    <t>SWZJVYFOCZFFOI-UHFFFAOYSA-L</t>
  </si>
  <si>
    <t>CCCCCCCCCCCC[N+](C)(C)CC(O)COCCOCC(O)C[N+](C)(C)CCCCCCCCCCCC.[Br-].[Br-]</t>
  </si>
  <si>
    <t>Î±,Ï‰-Bis(dodecyldimethylammoniomethyl)trioxyethyleneglycoldibromide</t>
  </si>
  <si>
    <t>InChI=1S/C36H78N2O4.2BrH/c1-7-9-11-13-15-17-19-21-23-25-27-37(3,4)31-35(39)33-41-29-30-42-34-36(40)32-38(5,6)28-26-24-22-20-18-16-14-12-10-8-2;;/h35-36,39-40H,7-34H2,1-6H3;2*1H/q+2;;/p-2</t>
  </si>
  <si>
    <t>FYZYGGQELVJZJV-UHFFFAOYSA-L</t>
  </si>
  <si>
    <t>CCCCCCCCCCCC[N+](C)(C)CC(O)COCCOCCOCC(O)C[N+](C)(C)CCCCCCCCCCCC.[Br-].[Br-]</t>
  </si>
  <si>
    <t>Î±,Ï‰-Bis(dodecyldimethylammoniomethyl)tetraoxyethyleneglycoldibromide</t>
  </si>
  <si>
    <t>InChI=1S/C38H82N2O5.2BrH/c1-7-9-11-13-15-17-19-21-23-25-27-39(3,4)33-37(41)35-44-31-29-43-30-32-45-36-38(42)34-40(5,6)28-26-24-22-20-18-16-14-12-10-8-2;;/h37-38,41-42H,7-36H2,1-6H3;2*1H/q+2;;/p-2</t>
  </si>
  <si>
    <t>ZNHBZUXWHBECBG-UHFFFAOYSA-L</t>
  </si>
  <si>
    <t>CCCCCCCCCCCC[N+](C)(C)CC(O)COCCOCCOCCOCC(O)C[N+](C)(C)CCCCCCCCCCCC.[Br-].[Br-]</t>
  </si>
  <si>
    <t>Î±,Ï‰-Bis(dodecyldimethylammoniomethyl)pentaoxyethyleneglycoldibromide</t>
  </si>
  <si>
    <t>InChI=1S/C40H86N2O6.2BrH/c1-7-9-11-13-15-17-19-21-23-25-27-41(3,4)35-39(43)37-47-33-31-45-29-30-46-32-34-48-38-40(44)36-42(5,6)28-26-24-22-20-18-16-14-12-10-8-2;;/h39-40,43-44H,7-38H2,1-6H3;2*1H/q+2;;/p-2</t>
  </si>
  <si>
    <t>WRFNXQLKCHVWST-UHFFFAOYSA-L</t>
  </si>
  <si>
    <t>CCCCCCCCCCCC[N+](C)(C)CC(O)COc1ccc(OCC(O)C[N+](C)(C)CCCCCCCCCCCC)cc1.[Cl-].[Cl-]</t>
  </si>
  <si>
    <t>InChI=1S/C40H78N2O4.2ClH/c1-7-9-11-13-15-17-19-21-23-25-31-41(3,4)33-37(43)35-45-39-27-29-40(30-28-39)46-36-38(44)34-42(5,6)32-26-24-22-20-18-16-14-12-10-8-2;;/h27-30,37-38,43-44H,7-26,31-36H2,1-6H3;2*1H/q+2;;/p-2</t>
  </si>
  <si>
    <t>BHPGQJUPCGOIPT-UHFFFAOYSA-L</t>
  </si>
  <si>
    <t>CCCCCCCCCCCC[N+](C)(C)CC(O)C[N+](C)(C)CCCCCCCCCCCC.[Cl-].[Cl-]</t>
  </si>
  <si>
    <t>bis-dodecyldimethylammoniumsalt</t>
  </si>
  <si>
    <t>InChI=1S/C31H68N2O.2ClH/c1-7-9-11-13-15-17-19-21-23-25-27-32(3,4)29-31(34)30-33(5,6)28-26-24-22-20-18-16-14-12-10-8-2;;/h31,34H,7-30H2,1-6H3;2*1H/q+2;;/p-2</t>
  </si>
  <si>
    <t>QBJONSOVMCQLOK-UHFFFAOYSA-L</t>
  </si>
  <si>
    <t>CCCCCCCCCCCC[N+](C)(C)CC(O)C[N+](CC)(CC)CC(O)C[N+](C)(C)CCCCCCCCCCCC.[Cl-].[Cl-].[Cl-]</t>
  </si>
  <si>
    <t>InChI=1S/C38H84N3O2.3ClH/c1-9-13-15-17-19-21-23-25-27-29-31-39(5,6)33-37(42)35-41(11-3,12-4)36-38(43)34-40(7,8)32-30-28-26-24-22-20-18-16-14-10-2;;;/h37-38,42-43H,9-36H2,1-8H3;3*1H/q+3;;;/p-3</t>
  </si>
  <si>
    <t>GYGQIDPDZNMVHZ-UHFFFAOYSA-K</t>
  </si>
  <si>
    <t>CCCCCCCCCCCC[N+](C)(C)CC(O)C[N+](CCCCCC)(CCCCCC)CC(O)C[N+](C)(C)CCCCCCCCCCCC.[Cl-].[Cl-].[Cl-]</t>
  </si>
  <si>
    <t>InChI=1S/C46H100N3O2.3ClH/c1-9-13-17-21-23-25-27-29-31-33-37-47(5,6)41-45(50)43-49(39-35-19-15-11-3,40-36-20-16-12-4)44-46(51)42-48(7,8)38-34-32-30-28-26-24-22-18-14-10-2;;;/h45-46,50-51H,9-44H2,1-8H3;3*1H/q+3;;;/p-3</t>
  </si>
  <si>
    <t>MRQMKAJEDUDDQO-UHFFFAOYSA-K</t>
  </si>
  <si>
    <t>CCCCCCCCCCCC[N+](C)(C)CC.[Br-]</t>
  </si>
  <si>
    <t>dodecyl-ethyl-dimethylazanium-bromide</t>
  </si>
  <si>
    <t>InChI=1S/C16H36N.BrH/c1-5-7-8-9-10-11-12-13-14-15-16-17(3,4)6-2;/h5-16H2,1-4H3;1H/q+1;/p-1</t>
  </si>
  <si>
    <t>FFGSPQDSOUPWGY-UHFFFAOYSA-M</t>
  </si>
  <si>
    <t>CCCCCCCCCCCC[N+](C)(C)CCC(O)C[N+](C)(C)CCCCCCCCCCCC.[Br-].[Br-]</t>
  </si>
  <si>
    <t>InChI=1S/C32H70N2O.2BrH/c1-7-9-11-13-15-17-19-21-23-25-28-33(3,4)30-27-32(35)31-34(5,6)29-26-24-22-20-18-16-14-12-10-8-2;;/h32,35H,7-31H2,1-6H3;2*1H/q+2;;/p-2</t>
  </si>
  <si>
    <t>VTZREECQBUVWAW-UHFFFAOYSA-L</t>
  </si>
  <si>
    <t>CCCCCCCCCCCC[N+](C)(C)CCC(O)C[N+](C)(C)CCCCCCCCCCCC.[Cl-].[Cl-]</t>
  </si>
  <si>
    <t>InChI=1S/C32H70N2O.2ClH/c1-7-9-11-13-15-17-19-21-23-25-28-33(3,4)30-27-32(35)31-34(5,6)29-26-24-22-20-18-16-14-12-10-8-2;;/h32,35H,7-31H2,1-6H3;2*1H/q+2;;/p-2</t>
  </si>
  <si>
    <t>ABUBSZCQTIOHNW-UHFFFAOYSA-L</t>
  </si>
  <si>
    <t>CCCCCCCCCCCC[N+](C)(C)CCC/N=C/c1ccc(OC)c(OC)c1.[Br-]</t>
  </si>
  <si>
    <t>InChI=1S/C26H47N2O2.BrH/c1-6-7-8-9-10-11-12-13-14-15-20-28(2,3)21-16-19-27-23-24-17-18-25(29-4)26(22-24)30-5;/h17-18,22-23H,6-16,19-21H2,1-5H3;1H/q+1;/p-1/b27-23+;</t>
  </si>
  <si>
    <t>OHUKOTBMRDBULT-VZXOMLSWSA-M</t>
  </si>
  <si>
    <t>CCCCCCCCCCCC[N+](C)(C)CCCC(=O)[O-]</t>
  </si>
  <si>
    <t>4-[dodecyl(dimethyl)azaniumyl]butanoate</t>
  </si>
  <si>
    <t>InChI=1S/C18H37NO2/c1-4-5-6-7-8-9-10-11-12-13-16-19(2,3)17-14-15-18(20)21/h4-17H2,1-3H3</t>
  </si>
  <si>
    <t>ZFVNBVQBIZJUEY-UHFFFAOYSA-N</t>
  </si>
  <si>
    <t>CCCCCCCCCCCC[N+](C)(C)CCCC.[Br-]</t>
  </si>
  <si>
    <t>butyl-dodecyl-dimethylazanium-bromide</t>
  </si>
  <si>
    <t>InChI=1S/C18H40N.BrH/c1-5-7-9-10-11-12-13-14-15-16-18-19(3,4)17-8-6-2;/h5-18H2,1-4H3;1H/q+1;/p-1</t>
  </si>
  <si>
    <t>CQIBGZQCUFHFOK-UHFFFAOYSA-M</t>
  </si>
  <si>
    <t>CCCCCCCCCCCC[N+](C)(C)CCCCCC(=O)[O-]</t>
  </si>
  <si>
    <t>6-[dodecyl(dimethyl)azaniumyl]hexanoate</t>
  </si>
  <si>
    <t>InChI=1S/C20H41NO2/c1-4-5-6-7-8-9-10-11-12-15-18-21(2,3)19-16-13-14-17-20(22)23/h4-19H2,1-3H3</t>
  </si>
  <si>
    <t>BUFVMHYCMFITOB-UHFFFAOYSA-N</t>
  </si>
  <si>
    <t>CCCCCCCCCCCC[N+](C)(C)CCCCCC.[Br-]</t>
  </si>
  <si>
    <t>dodecyl-hexyl-dimethylazanium-bromide</t>
  </si>
  <si>
    <t>InChI=1S/C20H44N.BrH/c1-5-7-9-11-12-13-14-15-16-18-20-21(3,4)19-17-10-8-6-2;/h5-20H2,1-4H3;1H/q+1;/p-1</t>
  </si>
  <si>
    <t>RCSPZVZNFMGVRJ-UHFFFAOYSA-M</t>
  </si>
  <si>
    <t>CCCCCCCCCCCC[N+](C)(C)CCCCCCCC.[Br-]</t>
  </si>
  <si>
    <t>dodecyl-dimethyl-octylazanium-bromide</t>
  </si>
  <si>
    <t>InChI=1S/C22H48N.BrH/c1-5-7-9-11-13-14-15-16-18-20-22-23(3,4)21-19-17-12-10-8-6-2;/h5-22H2,1-4H3;1H/q+1;/p-1</t>
  </si>
  <si>
    <t>GKWGLVAZUZYRCO-UHFFFAOYSA-M</t>
  </si>
  <si>
    <t>CCCCCCCCCCCC[N+](C)(C)CCCCCCCCCCCC.[Br-]</t>
  </si>
  <si>
    <t>['10.1021/acs.jpcb.1c05264', '10.1016/j.colsurfa.2010.02.004', '10.1021/acs.jpcb.1c05264', '10.1016/j.colsurfa.2010.02.004']</t>
  </si>
  <si>
    <t>10.1016/j.colsurfa.2010.02.004</t>
  </si>
  <si>
    <t>didodecyl(dimethyl)azanium-bromide</t>
  </si>
  <si>
    <t>InChI=1S/C26H56N.BrH/c1-5-7-9-11-13-15-17-19-21-23-25-27(3,4)26-24-22-20-18-16-14-12-10-8-6-2;/h5-26H2,1-4H3;1H/q+1;/p-1</t>
  </si>
  <si>
    <t>XRWMGCFJVKDVMD-UHFFFAOYSA-M</t>
  </si>
  <si>
    <t>CCCCCCCCCCCC[N+](C)(C)CCCCCCCCCCCCCCCC[N+](C)(C)CCCCCCCCCCCC.[Br-].[Br-]</t>
  </si>
  <si>
    <t>10.1021/la00030a006</t>
  </si>
  <si>
    <t>InChI=1S/C44H94N2.2BrH/c1-7-9-11-13-15-17-25-29-33-37-41-45(3,4)43-39-35-31-27-23-21-19-20-22-24-28-32-36-40-44-46(5,6)42-38-34-30-26-18-16-14-12-10-8-2;;/h7-44H2,1-6H3;2*1H/q+2;;/p-2</t>
  </si>
  <si>
    <t>XEWRKULHAGFNOG-UHFFFAOYSA-L</t>
  </si>
  <si>
    <t>CCCCCCCCCCCC[N+](C)(C)CCCCCCCCCCCCCC[N+](C)(C)CCCCCCCCCCCC.[Br-].[Br-]</t>
  </si>
  <si>
    <t>InChI=1S/C42H90N2.2BrH/c1-7-9-11-13-15-17-23-27-31-35-39-43(3,4)41-37-33-29-25-21-19-20-22-26-30-34-38-42-44(5,6)40-36-32-28-24-18-16-14-12-10-8-2;;/h7-42H2,1-6H3;2*1H/q+2;;/p-2</t>
  </si>
  <si>
    <t>KPENQRATROSINK-UHFFFAOYSA-L</t>
  </si>
  <si>
    <t>CCCCCCCCCCCC[N+](C)(C)CCCCCCCCCCCC[N+](C)(C)CCCCCCCCCCCC.[Br-].[Br-]</t>
  </si>
  <si>
    <t>InChI=1S/C40H86N2.2BrH/c1-7-9-11-13-15-17-21-25-29-33-37-41(3,4)39-35-31-27-23-19-20-24-28-32-36-40-42(5,6)38-34-30-26-22-18-16-14-12-10-8-2;;/h7-40H2,1-6H3;2*1H/q+2;;/p-2</t>
  </si>
  <si>
    <t>DZJHWWCAQRLCQS-UHFFFAOYSA-L</t>
  </si>
  <si>
    <t>CCCCCCCCCCCC[N+](C)(C)CCCCCCCCCC[N+](C)(C)CCCCCCCCCCCC.[Br-].[Br-]</t>
  </si>
  <si>
    <t>10.1016/0927-7757(95)03383-1</t>
  </si>
  <si>
    <t>InChI=1S/C38H82N2.2BrH/c1-7-9-11-13-15-17-19-23-27-31-35-39(3,4)37-33-29-25-21-22-26-30-34-38-40(5,6)36-32-28-24-20-18-16-14-12-10-8-2;;/h7-38H2,1-6H3;2*1H/q+2;;/p-2</t>
  </si>
  <si>
    <t>ULSFSAKGZUQDKY-UHFFFAOYSA-L</t>
  </si>
  <si>
    <t>CCCCCCCCCCCC[N+](C)(C)CCCCCCCC[N+](C)(C)CCCCCCCCCCCC.[Br-].[Br-]</t>
  </si>
  <si>
    <t>InChI=1S/C36H78N2.2BrH/c1-7-9-11-13-15-17-19-21-25-29-33-37(3,4)35-31-27-23-24-28-32-36-38(5,6)34-30-26-22-20-18-16-14-12-10-8-2;;/h7-36H2,1-6H3;2*1H/q+2;;/p-2</t>
  </si>
  <si>
    <t>DEUPTKRZUOPTSA-UHFFFAOYSA-L</t>
  </si>
  <si>
    <t>CCCCCCCCCCCC[N+](C)(C)CCCCCCC[N+](C)(C)CCCCCCCCCCCC.[Br-].[Br-]</t>
  </si>
  <si>
    <t>dodecyl-[7-[dodecyl(dimethyl)azaniumyl]heptyl]-dimethylazanium-dibromide</t>
  </si>
  <si>
    <t>InChI=1S/C35H76N2.2BrH/c1-7-9-11-13-15-17-19-21-24-28-32-36(3,4)34-30-26-23-27-31-35-37(5,6)33-29-25-22-20-18-16-14-12-10-8-2;;/h7-35H2,1-6H3;2*1H/q+2;;/p-2</t>
  </si>
  <si>
    <t>RRZYWYCODIGDBF-UHFFFAOYSA-L</t>
  </si>
  <si>
    <t>CCCCCCCCCCCC[N+](C)(C)CCCCCC[N+](C)(C)CCCCCC.[Br-].[Br-]</t>
  </si>
  <si>
    <t>InChI=1S/C28H62N2.2BrH/c1-7-9-11-13-14-15-16-17-18-22-26-30(5,6)28-24-20-19-23-27-29(3,4)25-21-12-10-8-2;;/h7-28H2,1-6H3;2*1H/q+2;;/p-2</t>
  </si>
  <si>
    <t>FZTGPSHBKCPNMX-UHFFFAOYSA-L</t>
  </si>
  <si>
    <t>CCCCCCCCCCCC[N+](C)(C)CCCCCC[N+](C)(C)CCCCCCCCCCCC.[Br-].[Br-]</t>
  </si>
  <si>
    <t>['10.1016/j.ces.2022.118208', '10.1007/s11743-011-1269-0']</t>
  </si>
  <si>
    <t>dodecyl-[6-[dodecyl(dimethyl)azaniumyl]hexyl]-dimethylazanium-dibromide</t>
  </si>
  <si>
    <t>InChI=1S/C34H74N2.2BrH/c1-7-9-11-13-15-17-19-21-23-27-31-35(3,4)33-29-25-26-30-34-36(5,6)32-28-24-22-20-18-16-14-12-10-8-2;;/h7-34H2,1-6H3;2*1H/q+2;;/p-2</t>
  </si>
  <si>
    <t>ZXVGCUMZUVQCMK-UHFFFAOYSA-L</t>
  </si>
  <si>
    <t>CCCCCCCCCCCC[N+](C)(C)CCCCC[N+](C)(C)CCCCCCCCCCCC.[Br-].[Br-]</t>
  </si>
  <si>
    <t>N,N'-bis(undecyldimethyl)-3-methyl-1,5-pentanediammoniumdibromide</t>
  </si>
  <si>
    <t>InChI=1S/C33H72N2.2BrH/c1-7-9-11-13-15-17-19-21-23-26-30-34(3,4)32-28-25-29-33-35(5,6)31-27-24-22-20-18-16-14-12-10-8-2;;/h7-33H2,1-6H3;2*1H/q+2;;/p-2</t>
  </si>
  <si>
    <t>WBKKEPDHDRCIOA-UHFFFAOYSA-L</t>
  </si>
  <si>
    <t>CCCCCCCCCCCC[N+](C)(C)CCCCNC[N+](C)(C)CCCCCCCCCCCC.[Br-].[Br-]</t>
  </si>
  <si>
    <t>InChI=1S/C33H73N3.2BrH/c1-7-9-11-13-15-17-19-21-23-26-30-35(3,4)31-28-25-29-34-33-36(5,6)32-27-24-22-20-18-16-14-12-10-8-2;;/h34H,7-33H2,1-6H3;2*1H/q+2;;/p-2</t>
  </si>
  <si>
    <t>IKNZGZZUBHFWLI-UHFFFAOYSA-L</t>
  </si>
  <si>
    <t>CCCCCCCCCCCC[N+](C)(C)CCCCO[N+](C)(C)CCCCCCCCCCCC.[Br-].[Br-]</t>
  </si>
  <si>
    <t>InChI=1S/C32H70N2O.2BrH/c1-7-9-11-13-15-17-19-21-23-25-29-33(3,4)30-27-28-32-35-34(5,6)31-26-24-22-20-18-16-14-12-10-8-2;;/h7-32H2,1-6H3;2*1H/q+2;;/p-2</t>
  </si>
  <si>
    <t>RTOGVGDTCIRCPT-UHFFFAOYSA-L</t>
  </si>
  <si>
    <t>CCCCCCCCCCCC[N+](C)(C)CCCC[N+](C)(C)CCCCCCCCCCCC.[Br-].[Br-]</t>
  </si>
  <si>
    <t>['10.1016/j.chemosphere.2011.05.031', '10.1016/j.colsurfa.2010.02.004', '10.1016/j.colsurfa.2010.02.004']</t>
  </si>
  <si>
    <t>['10.1016/j.ces.2022.118208', '10.1016/j.ces.2022.118208', '10.1007/s11743-011-1269-0']</t>
  </si>
  <si>
    <t>['10.1016/j.colsurfa.2010.02.004', '10.1007/s11743-011-1269-0']</t>
  </si>
  <si>
    <t>N,N,Nâ€™,Nâ€™-tetramethyl-N,Nâ€™-di(dodecyl)-butylenediammonium</t>
  </si>
  <si>
    <t>InChI=1S/C32H70N2.2BrH/c1-7-9-11-13-15-17-19-21-23-25-29-33(3,4)31-27-28-32-34(5,6)30-26-24-22-20-18-16-14-12-10-8-2;;/h7-32H2,1-6H3;2*1H/q+2;;/p-2</t>
  </si>
  <si>
    <t>DFMPBRQDOSPSOT-UHFFFAOYSA-L</t>
  </si>
  <si>
    <t>CCCCCCCCCCCC[N+](C)(C)CCCC[N+](C)(C)CCCCCCCCCCCC.[Cl-].[Cl-]</t>
  </si>
  <si>
    <t>InChI=1S/C32H70N2.2ClH/c1-7-9-11-13-15-17-19-21-23-25-29-33(3,4)31-27-28-32-34(5,6)30-26-24-22-20-18-16-14-12-10-8-2;;/h7-32H2,1-6H3;2*1H/q+2;;/p-2</t>
  </si>
  <si>
    <t>MXJMJLJLXLUWRV-UHFFFAOYSA-L</t>
  </si>
  <si>
    <t>CCCCCCCCCCCC[N+](C)(C)CCCN=Cc1ccccc1.[Br-]</t>
  </si>
  <si>
    <t>InChI=1S/C24H43N2.BrH/c1-4-5-6-7-8-9-10-11-12-16-21-26(2,3)22-17-20-25-23-24-18-14-13-15-19-24;/h13-15,18-19,23H,4-12,16-17,20-22H2,1-3H3;1H/q+1;/p-1</t>
  </si>
  <si>
    <t>SNCHJWLOXXBYPX-UHFFFAOYSA-M</t>
  </si>
  <si>
    <t>CCCCCCCCCCCC[N+](C)(C)CCCNC(=O)c1ccc(C(=O)NCCC[N+](C)(C)CCCCCCCCCCCC)cc1.[Br-].[Br-]</t>
  </si>
  <si>
    <t>InChI=1S/C42H78N4O2.2BrH/c1-7-9-11-13-15-17-19-21-23-25-35-45(3,4)37-27-33-43-41(47)39-29-31-40(32-30-39)42(48)44-34-28-38-46(5,6)36-26-24-22-20-18-16-14-12-10-8-2;;/h29-32H,7-28,33-38H2,1-6H3;2*1H</t>
  </si>
  <si>
    <t>TZEJJAVSUMEAEO-UHFFFAOYSA-N</t>
  </si>
  <si>
    <t>CCCCCCCCCCCC[N+](C)(CCCNC(N(C)C)=[NH2+])C.[Br-].[Br-]</t>
  </si>
  <si>
    <t>10.1007/s11743-012-1417-1</t>
  </si>
  <si>
    <t>InChI=1S/C20H44N4.2BrH/c1-6-7-8-9-10-11-12-13-14-15-18-24(4,5)19-16-17-22-20(21)23(2)3;;/h22H,6-19H2,1-5H3;2*1H/q+2;;/p-2</t>
  </si>
  <si>
    <t>IFMNAVMWNFQPOS-UHFFFAOYSA-L</t>
  </si>
  <si>
    <t>CCCCCCCCCCCC[N+](C)(C)CCCNCCC[N+](C)(C)CCCCCCCCCCCC.[Br-].[Br-]</t>
  </si>
  <si>
    <t>InChI=1S/C34H75N3.2BrH/c1-7-9-11-13-15-17-19-21-23-25-31-36(3,4)33-27-29-35-30-28-34-37(5,6)32-26-24-22-20-18-16-14-12-10-8-2;;/h35H,7-34H2,1-6H3;2*1H/q+2;;/p-2</t>
  </si>
  <si>
    <t>FJANUCDSUNDRBW-UHFFFAOYSA-L</t>
  </si>
  <si>
    <t>CCCCCCCCCCCC[N+](C)(C)CCCS(=O)(=O)[O-]</t>
  </si>
  <si>
    <t>3-[dodecyl(dimethyl)azaniumyl]propane-1-sulfonate</t>
  </si>
  <si>
    <t>InChI=1S/C17H37NO3S/c1-4-5-6-7-8-9-10-11-12-13-15-18(2,3)16-14-17-22(19,20)21/h4-17H2,1-3H3</t>
  </si>
  <si>
    <t>IZWSFJTYBVKZNK-UHFFFAOYSA-N</t>
  </si>
  <si>
    <t>CCCCCCCCCCCC[N+](C)(C)CCC[N+](C)(C)CCCCCCCCCCCC.[Br-].[Br-]</t>
  </si>
  <si>
    <t>N,N,Nâ€™,Nâ€™-tetramethyl-N,Nâ€™-di(dodecyl)-propylenediammonium</t>
  </si>
  <si>
    <t>InChI=1S/C31H68N2.2BrH/c1-7-9-11-13-15-17-19-21-23-25-28-32(3,4)30-27-31-33(5,6)29-26-24-22-20-18-16-14-12-10-8-2;;/h7-31H2,1-6H3;2*1H/q+2;;/p-2</t>
  </si>
  <si>
    <t>NIKXONOSPUGUBT-UHFFFAOYSA-L</t>
  </si>
  <si>
    <t>CCCCCCCCCCCC[N+](C)(C)CCN(CC[N+](C)(C)CCCCCCCCCCCC)CC[N+](C)(C)CCCCCCCCCCCC.[Br-].[Br-].[Br-]</t>
  </si>
  <si>
    <t>Tris(N-dodecyl-N,N-dimethyl-2-ammoniumethyl)-amineBromide</t>
  </si>
  <si>
    <t>InChI=1S/C48H105N4.3BrH/c1-10-13-16-19-22-25-28-31-34-37-43-50(4,5)46-40-49(41-47-51(6,7)44-38-35-32-29-26-23-20-17-14-11-2)42-48-52(8,9)45-39-36-33-30-27-24-21-18-15-12-3;;;/h10-48H2,1-9H3;3*1H/q+3;;;/p-3</t>
  </si>
  <si>
    <t>DGHGBRPWWZYGNY-UHFFFAOYSA-K</t>
  </si>
  <si>
    <t>CCCCCCCCCCCC[N+](C)(C)CCN=Cc1ccc(OC)c(OC)c1.[Br-]</t>
  </si>
  <si>
    <t>N-(2-((3,4-dimethoxybenzylidene)amino)ethyl)-N,N-dimethyldodectan-1-aminiumbromide</t>
  </si>
  <si>
    <t>InChI=1S/C25H45N2O2.BrH/c1-6-7-8-9-10-11-12-13-14-15-19-27(2,3)20-18-26-22-23-16-17-24(28-4)25(21-23)29-5;/h16-17,21-22H,6-15,18-20H2,1-5H3;1H/q+1;/p-1</t>
  </si>
  <si>
    <t>SELTWDLWLMMIHH-UHFFFAOYSA-M</t>
  </si>
  <si>
    <t>CCCCCCCCCCCC[N+](C)(C)CCNC(=O)CCN(CCC(=O)NCC[N+](C)(C)CCCCCCCCCCCC)CCN(CCC(=O)NCC[N+](C)(C)CCCCCCCCCCCC)CCC(=O)NCC[N+](C)(C)CCCCCCCCCCCC.[Br-].[Br-].[Br-].[Br-]</t>
  </si>
  <si>
    <t>10.1021/la903672r</t>
  </si>
  <si>
    <t>InChI=1S/C78H160N10O4.4BrH/c1-13-17-21-25-29-33-37-41-45-49-67-85(5,6)71-57-79-75(89)53-61-83(62-54-76(90)80-58-72-86(7,8)68-50-46-42-38-34-30-26-22-18-14-2)65-66-84(63-55-77(91)81-59-73-87(9,10)69-51-47-43-39-35-31-27-23-19-15-3)64-56-78(92)82-60-74-88(11,12)70-52-48-44-40-36-32-28-24-20-16-4;;;;/h13-74H2,1-12H3;4*1H</t>
  </si>
  <si>
    <t>BIUIIKZKKFNOIB-UHFFFAOYSA-N</t>
  </si>
  <si>
    <t>CCCCCCCCCCCC[N+](C)(C)CCO.[Br-]</t>
  </si>
  <si>
    <t>10.1016/j.colsurfa.2016.08.020</t>
  </si>
  <si>
    <t>InChI=1S/C16H36NO.BrH/c1-4-5-6-7-8-9-10-11-12-13-14-17(2,3)15-16-18;/h18H,4-16H2,1-3H3;1H/q+1;/p-1</t>
  </si>
  <si>
    <t>QBQLPWLODYZCLE-UHFFFAOYSA-M</t>
  </si>
  <si>
    <t>CCCCCCCCCCCC[N+](C)(C)CCOC(=O)C(=O)OCC[N+](C)(C)CCCCCCCCCCCC.[Br-].[Br-]</t>
  </si>
  <si>
    <t>10.1016/j.molliq.2015.06.051</t>
  </si>
  <si>
    <t>InChI=1S/C34H70N2O4.2BrH/c1-7-9-11-13-15-17-19-21-23-25-27-35(3,4)29-31-39-33(37)34(38)40-32-30-36(5,6)28-26-24-22-20-18-16-14-12-10-8-2;;/h7-32H2,1-6H3;2*1H/q+2;;/p-2</t>
  </si>
  <si>
    <t>KYZVOMSBHXMCGH-UHFFFAOYSA-L</t>
  </si>
  <si>
    <t>CCCCCCCCCCCC[N+](C)(C)CCOC(=O)CCC(=O)OCC[N+](C)(C)CCCCCCCCCCCC.[Br-].[Br-]</t>
  </si>
  <si>
    <t>10.1016/j.jcis.2012.04.052</t>
  </si>
  <si>
    <t>1-dodecanaminium,N,N0-[(1,4-dioxo-1,4-butanediyl)bis(oxy-2,1-ethanediyl)]bis[N,N-dimethyl-,bromide]</t>
  </si>
  <si>
    <t>InChI=1S/C36H74N2O4.2BrH/c1-7-9-11-13-15-17-19-21-23-25-29-37(3,4)31-33-41-35(39)27-28-36(40)42-34-32-38(5,6)30-26-24-22-20-18-16-14-12-10-8-2;;/h7-34H2,1-6H3;2*1H/q+2;;/p-2</t>
  </si>
  <si>
    <t>FFMACZJYFKYIGP-UHFFFAOYSA-L</t>
  </si>
  <si>
    <t>CCCCCCCCCCCC[N+](C)(C)CCOC(=O)CCC(=O)OCC[N+](C)(C)CCCCCCCCCCCC.[Cl-].[Cl-]</t>
  </si>
  <si>
    <t>InChI=1S/C36H74N2O4.2ClH/c1-7-9-11-13-15-17-19-21-23-25-29-37(3,4)31-33-41-35(39)27-28-36(40)42-34-32-38(5,6)30-26-24-22-20-18-16-14-12-10-8-2;;/h7-34H2,1-6H3;2*1H/q+2;;/p-2</t>
  </si>
  <si>
    <t>SFPALNIOUKXDHT-UHFFFAOYSA-L</t>
  </si>
  <si>
    <t>CCCCCCCCCCCC[N+](C)(C)CCOC(=O)CCCCCCC(=O)OCC[N+](C)(C)CCCCCCCCCCCC.[Cl-].[Cl-]</t>
  </si>
  <si>
    <t>InChI=1S/C40H82N2O4.2ClH/c1-7-9-11-13-15-17-19-21-25-29-33-41(3,4)35-37-45-39(43)31-27-23-24-28-32-40(44)46-38-36-42(5,6)34-30-26-22-20-18-16-14-12-10-8-2;;/h7-38H2,1-6H3;2*1H/q+2;;/p-2</t>
  </si>
  <si>
    <t>VTCIBORSOWVJNB-UHFFFAOYSA-L</t>
  </si>
  <si>
    <t>CCCCCCCCCCCC[N+](C)(C)CCOC(=O)C[N+](C)(C)CCCCCCCCCCCC.[Br-].[Br-]</t>
  </si>
  <si>
    <t>InChI=1S/C32H68N2O2.2BrH/c1-7-9-11-13-15-17-19-21-23-25-27-33(3,4)29-30-36-32(35)31-34(5,6)28-26-24-22-20-18-16-14-12-10-8-2;;/h7-31H2,1-6H3;2*1H/q+2;;/p-2</t>
  </si>
  <si>
    <t>DFDHBGDKZHGXTJ-UHFFFAOYSA-L</t>
  </si>
  <si>
    <t>CCCCCCCCCCCC[N+](C)(C)CCOC(C)=O.[Br-]</t>
  </si>
  <si>
    <t>1-dodecanaminium,N-[2-(acetyloxy)ethyl]-N,Ndimethyl-,bromide</t>
  </si>
  <si>
    <t>InChI=1S/C18H38NO2.BrH/c1-5-6-7-8-9-10-11-12-13-14-15-19(3,4)16-17-21-18(2)20;/h5-17H2,1-4H3;1H/q+1;/p-1</t>
  </si>
  <si>
    <t>SZBFSSRGLABQDL-UHFFFAOYSA-M</t>
  </si>
  <si>
    <t>CCCCCCCCCCCC[N+](C)(C)CCOC1OC(CO)C(O)C(O)C1O.[Br-]</t>
  </si>
  <si>
    <t>2-octyldimethylamine-(2,3,4,6-tetra-O-hydroxy)-Î²-D--glucopyranosidebromide</t>
  </si>
  <si>
    <t>InChI=1S/C22H46NO6.BrH/c1-4-5-6-7-8-9-10-11-12-13-14-23(2,3)15-16-28-22-21(27)20(26)19(25)18(17-24)29-22;/h18-22,24-27H,4-17H2,1-3H3;1H/q+1;/p-1</t>
  </si>
  <si>
    <t>HCVNRVJCRLZQJX-UHFFFAOYSA-M</t>
  </si>
  <si>
    <t>CCCCCCCCCCCC[N+](C)(C)CCOC1OC(COC)C(OC)C(OC)C1OC.[Br-]</t>
  </si>
  <si>
    <t>2-octyldimethylamine-(2,3,4,6-tetra-O-acetyl)-Î²-D--glucopyranosidebromide</t>
  </si>
  <si>
    <t>InChI=1S/C26H54NO6.BrH/c1-8-9-10-11-12-13-14-15-16-17-18-27(2,3)19-20-32-26-25(31-7)24(30-6)23(29-5)22(33-26)21-28-4;/h22-26H,8-21H2,1-7H3;1H/q+1;/p-1</t>
  </si>
  <si>
    <t>ASYHJZVXXJLPRW-UHFFFAOYSA-M</t>
  </si>
  <si>
    <t>CCCCCCCCCCCC[N+](C)(C)CCOCCO.[Br-]</t>
  </si>
  <si>
    <t>N-(2-(2-hydroxyethoxy)ethyl)-N,N-dimethyloctan-1-aminiumbromide</t>
  </si>
  <si>
    <t>InChI=1S/C18H40NO2.BrH/c1-4-5-6-7-8-9-10-11-12-13-14-19(2,3)15-17-21-18-16-20;/h20H,4-18H2,1-3H3;1H/q+1;/p-1</t>
  </si>
  <si>
    <t>RPXXVDHQEDNVCG-UHFFFAOYSA-M</t>
  </si>
  <si>
    <t>CCCCCCCCCCCC[N+](C)(C)CCOCCOCCOCCOCCOCC[N+](C)(C)CCCCCCCCCCCC.[Br-].[Br-]</t>
  </si>
  <si>
    <t>InChI=1S/C40H86N2O5.2BrH/c1-7-9-11-13-15-17-19-21-23-25-27-41(3,4)29-31-43-33-35-45-37-39-47-40-38-46-36-34-44-32-30-42(5,6)28-26-24-22-20-18-16-14-12-10-8-2;;/h7-40H2,1-6H3;2*1H/q+2;;/p-2</t>
  </si>
  <si>
    <t>BXYICWTXAMXQST-UHFFFAOYSA-L</t>
  </si>
  <si>
    <t>CCCCCCCCCCCC[N+](C)(C)CCOCCOCCOCCOCC[N+](C)(C)CCCCCCCCCCCC.[Br-].[Br-]</t>
  </si>
  <si>
    <t>InChI=1S/C38H82N2O4.2BrH/c1-7-9-11-13-15-17-19-21-23-25-27-39(3,4)29-31-41-33-35-43-37-38-44-36-34-42-32-30-40(5,6)28-26-24-22-20-18-16-14-12-10-8-2;;/h7-38H2,1-6H3;2*1H/q+2;;/p-2</t>
  </si>
  <si>
    <t>BKNZEDAJACYOSP-UHFFFAOYSA-L</t>
  </si>
  <si>
    <t>CCCCCCCCCCCC[N+](C)(C)CCOCCOCCOCC[N+](C)(C)CCCCCCCCCCCC.[Br-].[Br-]</t>
  </si>
  <si>
    <t>InChI=1S/C36H78N2O3.2BrH/c1-7-9-11-13-15-17-19-21-23-25-27-37(3,4)29-31-39-33-35-41-36-34-40-32-30-38(5,6)28-26-24-22-20-18-16-14-12-10-8-2;;/h7-36H2,1-6H3;2*1H/q+2;;/p-2</t>
  </si>
  <si>
    <t>PLEPUCIAYUNNDO-UHFFFAOYSA-L</t>
  </si>
  <si>
    <t>CCCCCCCCCCCC[N+](C)(C)CCOCCOCC[N+](C)(C)CCCCCCCCCCCC.[Br-].[Br-]</t>
  </si>
  <si>
    <t>InChI=1S/C34H74N2O2.2BrH/c1-7-9-11-13-15-17-19-21-23-25-27-35(3,4)29-31-37-33-34-38-32-30-36(5,6)28-26-24-22-20-18-16-14-12-10-8-2;;/h7-34H2,1-6H3;2*1H/q+2;;/p-2</t>
  </si>
  <si>
    <t>RQPWQGOPYTWRNF-UHFFFAOYSA-L</t>
  </si>
  <si>
    <t>CCCCCCCCCCCC[N+](C)(C)CCOCC[N+](C)(C)CCCCCCCCCCCC.[Br-].[Br-]</t>
  </si>
  <si>
    <t>ether-Î±,Ï‰-bis-(dimethyldodecylammoniumbromide)</t>
  </si>
  <si>
    <t>InChI=1S/C32H70N2O.2BrH/c1-7-9-11-13-15-17-19-21-23-25-27-33(3,4)29-31-35-32-30-34(5,6)28-26-24-22-20-18-16-14-12-10-8-2;;/h7-32H2,1-6H3;2*1H/q+2;;/p-2</t>
  </si>
  <si>
    <t>QDIFWFLBBKJFOX-UHFFFAOYSA-L</t>
  </si>
  <si>
    <t>CCCCCCCCCCCC[N+](C)(C)CCOP(=O)([O-])OCCCCCCCC</t>
  </si>
  <si>
    <t>InChI=1S/C24H52NO4P/c1-5-7-9-11-13-14-15-16-17-19-21-25(3,4)22-24-29-30(26,27)28-23-20-18-12-10-8-6-2/h5-24H2,1-4H3</t>
  </si>
  <si>
    <t>NMZLDCGBPWVFMK-UHFFFAOYSA-N</t>
  </si>
  <si>
    <t>CCCCCCCCCCCC[N+](C)(C)CCOP(=O)([O-])OCCCCCCCCCC</t>
  </si>
  <si>
    <t>InChI=1S/C26H56NO4P/c1-5-7-9-11-13-15-16-17-19-21-23-27(3,4)24-26-31-32(28,29)30-25-22-20-18-14-12-10-8-6-2/h5-26H2,1-4H3</t>
  </si>
  <si>
    <t>JBNULOMOBPSFJM-UHFFFAOYSA-N</t>
  </si>
  <si>
    <t>CCCCCCCCCCCC[N+](C)(C)CCOc1ccc(C=NNC(=O)C(=O)NN=Cc2ccc(OCC[N+](C)(C)CCCCCCCCCCCC)cc2)cc1.[Cl-].[Cl-]</t>
  </si>
  <si>
    <t>InChI=1S/C48H80N6O4.2ClH/c1-7-9-11-13-15-17-19-21-23-25-35-53(3,4)37-39-57-45-31-27-43(28-32-45)41-49-51-47(55)48(56)52-50-42-44-29-33-46(34-30-44)58-40-38-54(5,6)36-26-24-22-20-18-16-14-12-10-8-2;;/h27-34,41-42H,7-26,35-40H2,1-6H3;2*1H</t>
  </si>
  <si>
    <t>HYHCGAZONCVSOQ-UHFFFAOYSA-N</t>
  </si>
  <si>
    <t>CCCCCCCCCCCC[N+](C)(C)CCSCC[N+](C)(C)CCCCCCCCCCCC.[Br-].[Br-]</t>
  </si>
  <si>
    <t>N,N'-bis(dodecyldimethyl)-3-S-1,5-pentanediammoniumdibromide</t>
  </si>
  <si>
    <t>InChI=1S/C32H70N2S.2BrH/c1-7-9-11-13-15-17-19-21-23-25-27-33(3,4)29-31-35-32-30-34(5,6)28-26-24-22-20-18-16-14-12-10-8-2;;/h7-32H2,1-6H3;2*1H/q+2;;/p-2</t>
  </si>
  <si>
    <t>XXXDULVGXYMMCE-UHFFFAOYSA-L</t>
  </si>
  <si>
    <t>CCCCCCCCCCCC[N+](C)(C)CC[N+](C)(C)CCCCCCCCCCCC.[Br-].[Br-]</t>
  </si>
  <si>
    <t>['10.1016/j.chemosphere.2011.05.031', '10.1016/j.jcis.2003.12.021', '10.1016/j.colsurfa.2011.01.007', '10.1016/j.jcis.2003.12.021', '10.1016/j.colsurfa.2011.01.007']</t>
  </si>
  <si>
    <t>10.1016/j.jcis.2003.12.021</t>
  </si>
  <si>
    <t>['10.1016/j.jcis.2003.12.021', '10.1016/j.colsurfa.2011.01.007']</t>
  </si>
  <si>
    <t>1,2-bis(dodecyldimethylammonio)ethanedibromide</t>
  </si>
  <si>
    <t>InChI=1S/C30H66N2.2BrH/c1-7-9-11-13-15-17-19-21-23-25-27-31(3,4)29-30-32(5,6)28-26-24-22-20-18-16-14-12-10-8-2;;/h7-30H2,1-6H3;2*1H/q+2;;/p-2</t>
  </si>
  <si>
    <t>XJTQVDIWFDTGMO-UHFFFAOYSA-L</t>
  </si>
  <si>
    <t>CCCCCCCCCCCC[N+](C)(C)CC[N+](C)(CCCCCCCCCCCC)CC[N+](C)(C)CCCCCCCCCCCC.[Br-].[Br-].[Br-]</t>
  </si>
  <si>
    <t>1,2,3-tris(dodecyldimethylammonio)ethanetribromide</t>
  </si>
  <si>
    <t>InChI=1S/C45H98N3.3BrH/c1-9-12-15-18-21-24-27-30-33-36-39-46(4,5)42-44-48(8,41-38-35-32-29-26-23-20-17-14-11-3)45-43-47(6,7)40-37-34-31-28-25-22-19-16-13-10-2;;;/h9-45H2,1-8H3;3*1H/q+3;;;/p-3</t>
  </si>
  <si>
    <t>AVYJEXUVCMVQKI-UHFFFAOYSA-K</t>
  </si>
  <si>
    <t>CCCCCCCCCCCC[N+](C)(C)Cc1cccc(OC)c1.[Cl-]</t>
  </si>
  <si>
    <t>N,N-dimethyl-N-dodecyl-N-(m-methoxybenzyl)ammoniumchloride</t>
  </si>
  <si>
    <t>InChI=1S/C22H40NO.ClH/c1-5-6-7-8-9-10-11-12-13-14-18-23(2,3)20-21-16-15-17-22(19-21)24-4;/h15-17,19H,5-14,18,20H2,1-4H3;1H/q+1;/p-1</t>
  </si>
  <si>
    <t>KWNNSUDYIQSHPX-UHFFFAOYSA-M</t>
  </si>
  <si>
    <t>CCCCCCCCCCCC[N+](C)(C)Cc1ccccc1.[Cl-]</t>
  </si>
  <si>
    <t>['10.1039/C4RA07363K', '10.1021/acs.jpcb.1c05264', '10.1039/C4RA07363K']</t>
  </si>
  <si>
    <t>N,N-dimethyl-N-dodecyl-Nbenzylammoniumchloride</t>
  </si>
  <si>
    <t>InChI=1S/C21H38N.ClH/c1-4-5-6-7-8-9-10-11-12-16-19-22(2,3)20-21-17-14-13-15-18-21;/h13-15,17-18H,4-12,16,19-20H2,1-3H3;1H/q+1;/p-1</t>
  </si>
  <si>
    <t>JBIROUFYLSSYDX-UHFFFAOYSA-M</t>
  </si>
  <si>
    <t>CCCCCCCCCCCC[N+](C)(C)Cc1ccccc1CO.[Cl-]</t>
  </si>
  <si>
    <t>N-dodecylâ€“N,N-dimethyl-N-(o-hydroxymethyl)benzylammoniumchloride</t>
  </si>
  <si>
    <t>InChI=1S/C22H40NO.ClH/c1-4-5-6-7-8-9-10-11-12-15-18-23(2,3)19-21-16-13-14-17-22(21)20-24;/h13-14,16-17,24H,4-12,15,18-20H2,1-3H3;1H/q+1;/p-1</t>
  </si>
  <si>
    <t>AUGWTLNJLHJJCE-UHFFFAOYSA-M</t>
  </si>
  <si>
    <t>CCCCCCCCCCCC[N+](C)(C)NC(=O)CCC(=O)N1CCCCC1.[I-]</t>
  </si>
  <si>
    <t>Nâ€™â€‘DodecylNâ€™,Nâ€™dimethylâ€‘4â€‘piperidinoâ€‘4â€‘oxobutanoylhydraziniumiodide</t>
  </si>
  <si>
    <t>InChI=1S/C23H45N3O2.HI/c1-4-5-6-7-8-9-10-11-12-16-21-26(2,3)24-22(27)17-18-23(28)25-19-14-13-15-20-25;/h4-21H2,1-3H3;1H</t>
  </si>
  <si>
    <t>LNGINHYJBALKHQ-UHFFFAOYSA-N</t>
  </si>
  <si>
    <t>CCCCCCCCCCCC[N+](C)(C)NC(=O)CCC(=O)N1CCOCC1.[I-]</t>
  </si>
  <si>
    <t>Nâ€™â€‘DodecylNâ€™,Nâ€™dimethylâ€‘4â€‘morpholinoâ€‘4â€‘oxobutanoylhydraziniumiodide</t>
  </si>
  <si>
    <t>InChI=1S/C22H43N3O3.HI/c1-4-5-6-7-8-9-10-11-12-13-18-25(2,3)23-21(26)14-15-22(27)24-16-19-28-20-17-24;/h4-20H2,1-3H3;1H</t>
  </si>
  <si>
    <t>IQOYDWMZHLJUFP-UHFFFAOYSA-N</t>
  </si>
  <si>
    <t>CCCCCCCCCCCC[N+](C)(C)[O-]</t>
  </si>
  <si>
    <t>N,N-dimethyldodecan-1-aminoxide</t>
  </si>
  <si>
    <t>InChI=1S/C14H31NO/c1-4-5-6-7-8-9-10-11-12-13-14-15(2,3)16/h4-14H2,1-3H3</t>
  </si>
  <si>
    <t>SYELZBGXAIXKHU-UHFFFAOYSA-N</t>
  </si>
  <si>
    <t>CCCCCCCCCCCC[N+](C)(C)c1ccc(C=Nc2c(C)n(C)n(-c3ccccc3)c2=O)cc1.[Br-]</t>
  </si>
  <si>
    <t>(E)-4-(((1,5-dimethyl-3-oxo-2-phenyl-2,3-dihydro-1H-pyrazol-4-yl)imino)methyl)-N-dodecyl-N,N-dimethylbenzenaminiumbromide</t>
  </si>
  <si>
    <t>InChI=1S/C32H47N4O.BrH/c1-6-7-8-9-10-11-12-13-14-18-25-36(4,5)30-23-21-28(22-24-30)26-33-31-27(2)34(3)35(32(31)37)29-19-16-15-17-20-29;/h15-17,19-24,26H,6-14,18,25H2,1-5H3;1H/q+1;/p-1</t>
  </si>
  <si>
    <t>JBBVVDLTLIJZOU-UHFFFAOYSA-M</t>
  </si>
  <si>
    <t>CCCCCCCCCCCC[N+](C)(CCO)CCCNC(=O)C(O)C(O)C(O)C(O)CO.[Br-]</t>
  </si>
  <si>
    <t>N[3-(gluconamide)-propyl]-N-dodecylammoniumbromide</t>
  </si>
  <si>
    <t>InChI=1S/C24H50N2O7.BrH/c1-3-4-5-6-7-8-9-10-11-12-15-26(2,17-18-27)16-13-14-25-24(33)23(32)22(31)21(30)20(29)19-28;/h20-23,27-32H,3-19H2,1-2H3;1H</t>
  </si>
  <si>
    <t>KYDDXSTZBMTTPQ-UHFFFAOYSA-N</t>
  </si>
  <si>
    <t>CCCCCCCCCCCC[NH+](C)CC(O)C.[I-]</t>
  </si>
  <si>
    <t>10.1007/s11743-015-1762-y</t>
  </si>
  <si>
    <t>Dodecylmethylisopropylolammoniumiodide</t>
  </si>
  <si>
    <t>InChI=1S/C16H35NO.HI/c1-4-5-6-7-8-9-10-11-12-13-14-17(3)15-16(2)18;/h16,18H,4-15H2,1-3H3;1H/q+1;/p-1</t>
  </si>
  <si>
    <t>YHAHBOHDFULFHA-UHFFFAOYSA-M</t>
  </si>
  <si>
    <t>CCCCCCCCCCCC[N+](CC)(CC)CC(=O)NCCNC(=O)C[N+](CC)(CC)CCCCCCCCCCCC.[Cl-].[Cl-]</t>
  </si>
  <si>
    <t>N,Nâ€²-((Ethane-1,2-diylbis(azanediyl))bis(2-oxoethane-2,1-diyl))-bis(N,N-diethyldod-ecan-1-aminium)Dichloride</t>
  </si>
  <si>
    <t>InChI=1S/C38H78N4O2.2ClH/c1-7-13-15-17-19-21-23-25-27-29-33-41(9-3,10-4)35-37(43)39-31-32-40-38(44)36-42(11-5,12-6)34-30-28-26-24-22-20-18-16-14-8-2;;/h7-36H2,1-6H3;2*1H</t>
  </si>
  <si>
    <t>DNQBJQSULQOISU-UHFFFAOYSA-N</t>
  </si>
  <si>
    <t>CCCCCCCCCCCC[N+](CC)(CC)CC(=O)OCCOC(=O)C[N+](CC)(CC)CCCCCCCCCCCC.[Br-].[Br-]</t>
  </si>
  <si>
    <t>10.1039/C5CP02115D</t>
  </si>
  <si>
    <t>2,2'-[ethane1,2-diylbis(oxy)]bis(N-dodecyl-N,N-diethyl-2-oxoethanaminium)-dibromide</t>
  </si>
  <si>
    <t>InChI=1S/C38H78N2O4.2BrH/c1-7-13-15-17-19-21-23-25-27-29-31-39(9-3,10-4)35-37(41)43-33-34-44-38(42)36-40(11-5,12-6)32-30-28-26-24-22-20-18-16-14-8-2;;/h7-36H2,1-6H3;2*1H/q+2;;/p-2</t>
  </si>
  <si>
    <t>HYWVDVCUGKAHLD-UHFFFAOYSA-L</t>
  </si>
  <si>
    <t>CCCCCCCCCCCC[N+](CC)(CC)CC.[Br-]</t>
  </si>
  <si>
    <t>N-(n-dodecyl)-N,N,N-triethylammoniumbromide</t>
  </si>
  <si>
    <t>InChI=1S/C18H40N.BrH/c1-5-9-10-11-12-13-14-15-16-17-18-19(6-2,7-3)8-4;/h5-18H2,1-4H3;1H/q+1;/p-1</t>
  </si>
  <si>
    <t>VVNBOKHXEBSBQJ-UHFFFAOYSA-M</t>
  </si>
  <si>
    <t>CCCCCCCCCCCC[NH+](CC(C)O)CC.[Br-]</t>
  </si>
  <si>
    <t>Dodecylethylisopropylolammoniumbromide</t>
  </si>
  <si>
    <t>InChI=1S/C17H37NO.BrH/c1-4-6-7-8-9-10-11-12-13-14-15-18(5-2)16-17(3)19;/h17,19H,4-16H2,1-3H3;1H/q+1;/p-1</t>
  </si>
  <si>
    <t>PFLYBIDBPVAIIG-UHFFFAOYSA-M</t>
  </si>
  <si>
    <t>CCCCCCCCCCCC[N+](CCC)(CCC)CCC.[Br-]</t>
  </si>
  <si>
    <t>N-(n-dodecyl)-N,N,N-tripropylammoniumbromide</t>
  </si>
  <si>
    <t>InChI=1S/C21H46N.BrH/c1-5-9-10-11-12-13-14-15-16-17-21-22(18-6-2,19-7-3)20-8-4;/h5-21H2,1-4H3;1H/q+1;/p-1</t>
  </si>
  <si>
    <t>JLLNGBZMJOSJQD-UHFFFAOYSA-M</t>
  </si>
  <si>
    <t>CCCCCCCCCCCC[N+](CCC)(CCC)CCCC[N+](CCC)(CCC)CCCCCCCCCCCC.[Br-].[Br-]</t>
  </si>
  <si>
    <t>InChI=1S/C40H86N2.2BrH/c1-7-13-15-17-19-21-23-25-27-29-37-41(33-9-3,34-10-4)39-31-32-40-42(35-11-5,36-12-6)38-30-28-26-24-22-20-18-16-14-8-2;;/h7-40H2,1-6H3;2*1H/q+2;;/p-2</t>
  </si>
  <si>
    <t>XNUDZNMTBRWQLK-UHFFFAOYSA-L</t>
  </si>
  <si>
    <t>CCCCCCCCCCCC[NH+](CCC)CC(O)C.[Br-]</t>
  </si>
  <si>
    <t>Dodecylpropylisopropylolammoniumbromide</t>
  </si>
  <si>
    <t>InChI=1S/C18H39NO.BrH/c1-4-6-7-8-9-10-11-12-13-14-16-19(15-5-2)17-18(3)20;/h18,20H,4-17H2,1-3H3;1H/q+1;/p-1</t>
  </si>
  <si>
    <t>NMKQCPZAYAMZFO-UHFFFAOYSA-M</t>
  </si>
  <si>
    <t>CCCCCCCCCCCC[N+](CCCC)(CCCC)CCCC.[Br-]</t>
  </si>
  <si>
    <t>N-(n-dodecyl)-N,N,N-tributylammoniumbromide</t>
  </si>
  <si>
    <t>InChI=1S/C24H52N.BrH/c1-5-9-13-14-15-16-17-18-19-20-24-25(21-10-6-2,22-11-7-3)23-12-8-4;/h5-24H2,1-4H3;1H/q+1;/p-1</t>
  </si>
  <si>
    <t>FGQQGDVRJUAQLN-UHFFFAOYSA-M</t>
  </si>
  <si>
    <t>CCCCCCCCCCCC[N+](CCCCCC[N+](CCCCCCCCCCCC)(CCCCCCCCCCCC)CCCCCCCCCCCC)(CCCCCCCCCCCC)CCCCCCCCCCCC.[Br-].[Br-]</t>
  </si>
  <si>
    <t>10.1016/j.molliq.2015.05.054</t>
  </si>
  <si>
    <t>InChI=1S/C54H112N2.2BrH/c1-5-9-13-17-21-25-29-33-37-43-49-55(50-44-38-34-30-26-22-18-14-10-6-2)53-47-41-42-48-54-56(51-45-39-35-31-27-23-19-15-11-7-3)52-46-40-36-32-28-24-20-16-12-8-4;;/h5-54H2,1-4H3;2*1H/q+2;;/p-2</t>
  </si>
  <si>
    <t>SOFBZSWSNYBSNE-UHFFFAOYSA-L</t>
  </si>
  <si>
    <t>CCCCCCCCCCCC[N+](CCC[N+](CCCCCCCCCCCC)(CCCCCCCCCCCC)CCCCCCCCCCCC)(CCCCCCCCCCCC)CCCCCCCCCCCC.[Br-].[Br-]</t>
  </si>
  <si>
    <t>InChI=1S/C51H106N2.2BrH/c1-5-9-13-17-21-25-29-33-37-41-46-52(47-42-38-34-30-26-22-18-14-10-6-2)50-45-51-53(48-43-39-35-31-27-23-19-15-11-7-3)49-44-40-36-32-28-24-20-16-12-8-4;;/h5-51H2,1-4H3;2*1H/q+2;;/p-2</t>
  </si>
  <si>
    <t>DAWCGQLMCCISSP-UHFFFAOYSA-L</t>
  </si>
  <si>
    <t>CCCCCCCCCCCC[N+](CC[N+](CCCCCCCCCCCC)(CCCCCCCCCCCC)CCCCCCCCCCCC)(CCCCCCCCCCCC)CCCCCCCCCCCC.[Br-].[Br-]</t>
  </si>
  <si>
    <t>InChI=1S/C50H104N2.2BrH/c1-5-9-13-17-21-25-29-33-37-41-45-51(46-42-38-34-30-26-22-18-14-10-6-2)49-50-52(47-43-39-35-31-27-23-19-15-11-7-3)48-44-40-36-32-28-24-20-16-12-8-4;;/h5-50H2,1-4H3;2*1H/q+2;;/p-2</t>
  </si>
  <si>
    <t>VUBVDRYTORGJGN-UHFFFAOYSA-L</t>
  </si>
  <si>
    <t>CCCCCCCCCCCC[N+](CCCCCC[N+](CCCCCCCCCCCC)(CC(C)O)CC(C)O)(CC(C)O)CC(C)O.[Br-].[Br-]</t>
  </si>
  <si>
    <t>hexanediyl-1,6-bis[(diisopropylol)dodecylammonium]dibromide</t>
  </si>
  <si>
    <t>InChI=1S/C42H90N2O4.2BrH/c1-7-9-11-13-15-17-19-21-23-27-31-43(35-39(3)45,36-40(4)46)33-29-25-26-30-34-44(37-41(5)47,38-42(6)48)32-28-24-22-20-18-16-14-12-10-8-2;;/h39-42,45-48H,7-38H2,1-6H3;2*1H/q+2;;/p-2</t>
  </si>
  <si>
    <t>OUNUMSNCJVLZHG-UHFFFAOYSA-L</t>
  </si>
  <si>
    <t>CCCCCCCCCCCC[NH+](CC(O)C)CCCCCC[NH+](CC(O)C)CCCCCCCCCCCC.[Br-].[Br-]</t>
  </si>
  <si>
    <t>hexanediyl-1,6-bis[(isopropylol)dodecylammonium]dibromide</t>
  </si>
  <si>
    <t>InChI=1S/C36H76N2O2.2BrH/c1-5-7-9-11-13-15-17-19-21-25-29-37(33-35(3)39)31-27-23-24-28-32-38(34-36(4)40)30-26-22-20-18-16-14-12-10-8-6-2;;/h35-36,39-40H,5-34H2,1-4H3;2*1H/q+2;;/p-2</t>
  </si>
  <si>
    <t>UGEWPSDQZGQLBM-UHFFFAOYSA-L</t>
  </si>
  <si>
    <t>CCCCCCCCCCCC[N+](CCCCC[N+](CCCCCCCCCCCC)(CC(C)O)CC(C)O)(CC(C)O)CC(C)O.[Br-].[Br-]</t>
  </si>
  <si>
    <t>di-2-hydroxypropyldodecylamines.</t>
  </si>
  <si>
    <t>InChI=1S/C41H88N2O4.2BrH/c1-7-9-11-13-15-17-19-21-23-26-30-42(34-38(3)44,35-39(4)45)32-28-25-29-33-43(36-40(5)46,37-41(6)47)31-27-24-22-20-18-16-14-12-10-8-2;;/h38-41,44-47H,7-37H2,1-6H3;2*1H/q+2;;/p-2</t>
  </si>
  <si>
    <t>YACVLFVKALLJJH-UHFFFAOYSA-L</t>
  </si>
  <si>
    <t>CCCCCCCCCCCC[NH+](CC(O)C)CCCCC[NH+](CC(O)C)CCCCCCCCCCCC.[Br-].[Br-]</t>
  </si>
  <si>
    <t>2-hydroxypropyldodecylamines</t>
  </si>
  <si>
    <t>InChI=1S/C35H74N2O2.2BrH/c1-5-7-9-11-13-15-17-19-21-24-28-36(32-34(3)38)30-26-23-27-31-37(33-35(4)39)29-25-22-20-18-16-14-12-10-8-6-2;;/h34-35,38-39H,5-33H2,1-4H3;2*1H/q+2;;/p-2</t>
  </si>
  <si>
    <t>ADTZLTAMQCHZQE-UHFFFAOYSA-L</t>
  </si>
  <si>
    <t>CCCCCCCCCCCC[N+](CCO)(CCO)CCCCCCCCCC[N+](CCO)(CCO)CCCCCCCCCCCC.[Br-].[Br-]</t>
  </si>
  <si>
    <t>10.1016/j.colsurfa.2008.04.028</t>
  </si>
  <si>
    <t>InChI=1S/C42H90N2O4.2BrH/c1-3-5-7-9-11-13-15-19-23-27-31-43(35-39-45,36-40-46)33-29-25-21-17-18-22-26-30-34-44(37-41-47,38-42-48)32-28-24-20-16-14-12-10-8-6-4-2;;/h45-48H,3-42H2,1-2H3;2*1H/q+2;;/p-2</t>
  </si>
  <si>
    <t>PESSLYXOFWLHJN-UHFFFAOYSA-L</t>
  </si>
  <si>
    <t>CCCCCCCCCCCC[N+](CCO)(CCO)CCCCCCCC[N+](CCO)(CCO)CCCCCCCCCCCC.[Br-].[Br-]</t>
  </si>
  <si>
    <t>InChI=1S/C40H86N2O4.2BrH/c1-3-5-7-9-11-13-15-17-21-25-29-41(33-37-43,34-38-44)31-27-23-19-20-24-28-32-42(35-39-45,36-40-46)30-26-22-18-16-14-12-10-8-6-4-2;;/h43-46H,3-40H2,1-2H3;2*1H/q+2;;/p-2</t>
  </si>
  <si>
    <t>KBLHQHKDBHYOCR-UHFFFAOYSA-L</t>
  </si>
  <si>
    <t>CCCCCCCCCCCC[N+](CCO)(CCO)CCCCCC[N+](CCO)(CCO)CCCCCCCCCCCC.[Br-].[Br-]</t>
  </si>
  <si>
    <t>InChI=1S/C38H82N2O4.2BrH/c1-3-5-7-9-11-13-15-17-19-23-27-39(31-35-41,32-36-42)29-25-21-22-26-30-40(33-37-43,34-38-44)28-24-20-18-16-14-12-10-8-6-4-2;;/h41-44H,3-38H2,1-2H3;2*1H/q+2;;/p-2</t>
  </si>
  <si>
    <t>WRAFTOYEHMNSHF-UHFFFAOYSA-L</t>
  </si>
  <si>
    <t>CCCCCCCCCCCC[N+](CCO)(CCO)CCCC[N+](CCO)(CCO)CCCCCCCCCCCC.[Br-].[Br-]</t>
  </si>
  <si>
    <t>InChI=1S/C36H78N2O4.2BrH/c1-3-5-7-9-11-13-15-17-19-21-25-37(29-33-39,30-34-40)27-23-24-28-38(31-35-41,32-36-42)26-22-20-18-16-14-12-10-8-6-4-2;;/h39-42H,3-36H2,1-2H3;2*1H/q+2;;/p-2</t>
  </si>
  <si>
    <t>IXKFHVVMOKWTDC-UHFFFAOYSA-L</t>
  </si>
  <si>
    <t>CCCCCCCCCCCC[N+](CCO)(CCO)CCO.[Cl-]</t>
  </si>
  <si>
    <t>10.1021/je9700232</t>
  </si>
  <si>
    <t>dodecyl-tris(2-hydroxyethyl)azanium-chloride</t>
  </si>
  <si>
    <t>InChI=1S/C18H40NO3.ClH/c1-2-3-4-5-6-7-8-9-10-11-12-19(13-16-20,14-17-21)15-18-22;/h20-22H,2-18H2,1H3;1H/q+1;/p-1</t>
  </si>
  <si>
    <t>WBHQMQIMDAZXJQ-UHFFFAOYSA-M</t>
  </si>
  <si>
    <t>CCCCCCCCCCCC[NH3+].[Cl-]</t>
  </si>
  <si>
    <t>InChI=1S/C12H25N.ClH/c1-2-3-4-5-6-7-8-9-10-11-12-13;/h2-12H2,1H3;1H/q+1;/p-1</t>
  </si>
  <si>
    <t>FWQUXEZZNLVVPD-UHFFFAOYSA-M</t>
  </si>
  <si>
    <t>CCCCCCCCCCCC[N+]1(C)CCCC1=NCCO.[Br-]</t>
  </si>
  <si>
    <t>10.1016/j.molliq.2015.11.047</t>
  </si>
  <si>
    <t>1-dodecyl-2-((4-hydroxyethyl)imino)-1-methylpyrrolidin-1-iumbromide</t>
  </si>
  <si>
    <t>InChI=1S/C19H39N2O.BrH/c1-3-4-5-6-7-8-9-10-11-12-16-21(2)17-13-14-19(21)20-15-18-22;/h22H,3-18H2,1-2H3;1H/q+1;/p-1</t>
  </si>
  <si>
    <t>AMVRJUCNEORHFO-UHFFFAOYSA-M</t>
  </si>
  <si>
    <t>CCCCCCCCCCCC[N+]1(C)CCCC1=NCCc1ccccc1.[Br-]</t>
  </si>
  <si>
    <t>1-dodecyl-2-(phenethylimino)-1-methylpyrrolidin-1-iumbromide</t>
  </si>
  <si>
    <t>InChI=1S/C25H43N2.BrH/c1-3-4-5-6-7-8-9-10-11-15-22-27(2)23-16-19-25(27)26-21-20-24-17-13-12-14-18-24;/h12-14,17-18H,3-11,15-16,19-23H2,1-2H3;1H/q+1;/p-1</t>
  </si>
  <si>
    <t>WOXRZUOBZZQNRB-UHFFFAOYSA-M</t>
  </si>
  <si>
    <t>CCCCCCCCCCCC[N+]1(C)CCCC1=Nc1ccc(O)cc1.[Br-]</t>
  </si>
  <si>
    <t>1-dodecyl-2-((4-hydroxyphenyl)imino)-1-methylpyrrolidin-1-iumbromide</t>
  </si>
  <si>
    <t>InChI=1S/C23H38N2O.BrH/c1-3-4-5-6-7-8-9-10-11-12-19-25(2)20-13-14-23(25)24-21-15-17-22(26)18-16-21;/h15-18H,3-14,19-20H2,1-2H3;1H</t>
  </si>
  <si>
    <t>RKYMUZCDKNXSCT-UHFFFAOYSA-N</t>
  </si>
  <si>
    <t>CCCCCCCCCCCC[N+]1(C)CC[N+](C)(CCCCCCCCCCCC)CC1.[Br-].[Br-]</t>
  </si>
  <si>
    <t>1,4-didodecyl-1,4-dimethylpiperazine-1,4-diiumbromide</t>
  </si>
  <si>
    <t>InChI=1S/C30H64N2.2BrH/c1-5-7-9-11-13-15-17-19-21-23-25-31(3)27-29-32(4,30-28-31)26-24-22-20-18-16-14-12-10-8-6-2;;/h5-30H2,1-4H3;2*1H/q+2;;/p-2</t>
  </si>
  <si>
    <t>CGUQEESUHVPYHN-UHFFFAOYSA-L</t>
  </si>
  <si>
    <t>CCCCCCCCCCCC[N+]1(CC#CC[N+]2(CCCCCCCCCCCC)CCCC2)CCCC1.[Br-].[Br-]</t>
  </si>
  <si>
    <t>InChI=1S/C36H70N2.2BrH/c1-3-5-7-9-11-13-15-17-19-21-29-37(31-23-24-32-37)35-27-28-36-38(33-25-26-34-38)30-22-20-18-16-14-12-10-8-6-4-2;;/h3-26,29-36H2,1-2H3;2*1H/q+2;;/p-2</t>
  </si>
  <si>
    <t>GJIQVXFTWNIPSA-UHFFFAOYSA-L</t>
  </si>
  <si>
    <t>CCCCCCCCCCCC[N+]1(CC#CC[N+]2(CCCCCCCCCCCC)CCCCC2)CCCCC1.[Br-].[Br-]</t>
  </si>
  <si>
    <t>InChI=1S/C38H74N2.2BrH/c1-3-5-7-9-11-13-15-17-19-23-31-39(33-25-21-26-34-39)37-29-30-38-40(35-27-22-28-36-40)32-24-20-18-16-14-12-10-8-6-4-2;;/h3-28,31-38H2,1-2H3;2*1H/q+2;;/p-2</t>
  </si>
  <si>
    <t>HLKPVDXNGFFZLA-UHFFFAOYSA-L</t>
  </si>
  <si>
    <t>CCCCCCCCCCCC[N+]1(CC(=O)OCCOC(=O)C[N+]2(CCCCCCCCCCCC)CCCC2)CCCC1.[Br-].[Br-]</t>
  </si>
  <si>
    <t>1,1'-(ethane-1,2-diylbis(oxy))bis(2-oxoethane-1,2-diyl)bis(1-dodecylpyrrolidin-1-ium)-dibromide</t>
  </si>
  <si>
    <t>InChI=1S/C38H74N2O4.2BrH/c1-3-5-7-9-11-13-15-17-19-21-27-39(29-23-24-30-39)35-37(41)43-33-34-44-38(42)36-40(31-25-26-32-40)28-22-20-18-16-14-12-10-8-6-4-2;;/h3-36H2,1-2H3;2*1H/q+2;;/p-2</t>
  </si>
  <si>
    <t>AZFGFWHKYODRAP-UHFFFAOYSA-L</t>
  </si>
  <si>
    <t>CCCCCCCCCCCC[N+]1(CC(=O)OCCOC(=O)C[N+]2(CCCCCCCCCCCC)CCCCC2)CCCCC1.[Br-].[Br-]</t>
  </si>
  <si>
    <t>1,1'-(ethane1,2-diylbis(oxy))bis(2-oxoethane-1,2-diyl)bis(1-dodecylpiperidin1-ium)dibromide</t>
  </si>
  <si>
    <t>InChI=1S/C40H78N2O4.2BrH/c1-3-5-7-9-11-13-15-17-19-23-29-41(31-25-21-26-32-41)37-39(43)45-35-36-46-40(44)38-42(33-27-22-28-34-42)30-24-20-18-16-14-12-10-8-6-4-2;;/h3-38H2,1-2H3;2*1H/q+2;;/p-2</t>
  </si>
  <si>
    <t>PSGCCDIAPCEDIZ-UHFFFAOYSA-L</t>
  </si>
  <si>
    <t>CCCCCCCCCCCC[N+]1(CC(=O)OCCOC(=O)C[N+]2(CCCCCCCCCCCC)CCOCC2)CCOCC1.[Br-].[Br-]</t>
  </si>
  <si>
    <t>4,4'-((ethane-1,2-diylbis(oxy))bis(2-oxoethane-2,1-diyl))bis(4-dodecylmorpholin4-ium)dibromide</t>
  </si>
  <si>
    <t>InChI=1S/C38H74N2O6.2BrH/c1-3-5-7-9-11-13-15-17-19-21-23-39(25-29-43-30-26-39)35-37(41)45-33-34-46-38(42)36-40(27-31-44-32-28-40)24-22-20-18-16-14-12-10-8-6-4-2;;/h3-36H2,1-2H3;2*1H/q+2;;/p-2</t>
  </si>
  <si>
    <t>XKYJKENRUXTOAB-UHFFFAOYSA-L</t>
  </si>
  <si>
    <t>CCCCCCCCCCCC[N+]1(CCCCCCCCCCCCCCCC[N+]2(CCCCCCCCCCCC)CCCC2)CCCC1.[Br-].[Br-]</t>
  </si>
  <si>
    <t>InChI=1S/C48H98N2.2BrH/c1-3-5-7-9-11-13-21-25-29-33-41-49(45-37-38-46-49)43-35-31-27-23-19-17-15-16-18-20-24-28-32-36-44-50(47-39-40-48-50)42-34-30-26-22-14-12-10-8-6-4-2;;/h3-48H2,1-2H3;2*1H/q+2;;/p-2</t>
  </si>
  <si>
    <t>CFYNRCLIBQQNJE-UHFFFAOYSA-L</t>
  </si>
  <si>
    <t>CCCCCCCCCCCC[N+]1(CCCCCCCCCCCCCC[N+]2(CCCCCCCCCCCC)CCCC2)CCCC1.[Br-].[Br-]</t>
  </si>
  <si>
    <t>InChI=1S/C46H94N2.2BrH/c1-3-5-7-9-11-13-19-23-27-31-39-47(43-35-36-44-47)41-33-29-25-21-17-15-16-18-22-26-30-34-42-48(45-37-38-46-48)40-32-28-24-20-14-12-10-8-6-4-2;;/h3-46H2,1-2H3;2*1H/q+2;;/p-2</t>
  </si>
  <si>
    <t>GQRJJZCUMFMWFW-UHFFFAOYSA-L</t>
  </si>
  <si>
    <t>CCCCCCCCCCCC[N+]1(CCCCCCCCCC[N+]2(CCCCCCCCCCCC)CCCC2)CCCC1.[Br-].[Br-]</t>
  </si>
  <si>
    <t>InChI=1S/C42H86N2.2BrH/c1-3-5-7-9-11-13-15-19-23-27-35-43(39-31-32-40-43)37-29-25-21-17-18-22-26-30-38-44(41-33-34-42-44)36-28-24-20-16-14-12-10-8-6-4-2;;/h3-42H2,1-2H3;2*1H/q+2;;/p-2</t>
  </si>
  <si>
    <t>INCDFWHQIYOPFA-UHFFFAOYSA-L</t>
  </si>
  <si>
    <t>CCCCCCCCCCCC[N+]1(CCCCCCCC[N+]2(CCCCCCCCCCCC)CCCC2)CCCC1.[Br-].[Br-]</t>
  </si>
  <si>
    <t>InChI=1S/C40H82N2.2BrH/c1-3-5-7-9-11-13-15-17-21-25-33-41(37-29-30-38-41)35-27-23-19-20-24-28-36-42(39-31-32-40-42)34-26-22-18-16-14-12-10-8-6-4-2;;/h3-40H2,1-2H3;2*1H/q+2;;/p-2</t>
  </si>
  <si>
    <t>KZDGUTJBJVHUST-UHFFFAOYSA-L</t>
  </si>
  <si>
    <t>CCCCCCCCCCCC[N+]1(CCCCCC[N+]2(CCCCCCCCCCCC)CCCC2)CCCC1.[Br-].[Br-]</t>
  </si>
  <si>
    <t>InChI=1S/C38H78N2.2BrH/c1-3-5-7-9-11-13-15-17-19-23-31-39(35-27-28-36-39)33-25-21-22-26-34-40(37-29-30-38-40)32-24-20-18-16-14-12-10-8-6-4-2;;/h3-38H2,1-2H3;2*1H/q+2;;/p-2</t>
  </si>
  <si>
    <t>WAGOKHYCDKCOIV-UHFFFAOYSA-L</t>
  </si>
  <si>
    <t>CCCCCCCCCCCC[N+]1(CCCC[N+]2(CCCCCCCCCCCC)CCCC2)CCCC1.[Br-].[Br-]</t>
  </si>
  <si>
    <t>InChI=1S/C36H74N2.2BrH/c1-3-5-7-9-11-13-15-17-19-21-29-37(31-23-24-32-37)35-27-28-36-38(33-25-26-34-38)30-22-20-18-16-14-12-10-8-6-4-2;;/h3-36H2,1-2H3;2*1H/q+2;;/p-2</t>
  </si>
  <si>
    <t>GDBBVANXURQYGU-UHFFFAOYSA-L</t>
  </si>
  <si>
    <t>CCCCCCCCCCCC[N+]1(CCC[N+]2(CCCCCCCCCCCC)CCCC2)CCCC1.[Br-].[Br-]</t>
  </si>
  <si>
    <t>InChI=1S/C35H72N2.2BrH/c1-3-5-7-9-11-13-15-17-19-21-28-36(30-23-24-31-36)34-27-35-37(32-25-26-33-37)29-22-20-18-16-14-12-10-8-6-4-2;;/h3-35H2,1-2H3;2*1H/q+2;;/p-2</t>
  </si>
  <si>
    <t>GRGIQKWNEJYFBH-UHFFFAOYSA-L</t>
  </si>
  <si>
    <t>CCCCCCCCCCCC[N+]1(Cc2ccc(-c3ccc(C[N+]4(CCCCCCCCCCCC)CCOCC4)cc3)cc2)CCOCC1.[Cl-].[Cl-]</t>
  </si>
  <si>
    <t>morpholinium-bisdodecyl-biphenylene</t>
  </si>
  <si>
    <t>InChI=1S/C46H78N2O2.2ClH/c1-3-5-7-9-11-13-15-17-19-21-31-47(33-37-49-38-34-47)41-43-23-27-45(28-24-43)46-29-25-44(26-30-46)42-48(35-39-50-40-36-48)32-22-20-18-16-14-12-10-8-6-4-2;;/h23-30H,3-22,31-42H2,1-2H3;2*1H/q+2;;/p-2</t>
  </si>
  <si>
    <t>ZZSIOYRIMMBJSZ-UHFFFAOYSA-L</t>
  </si>
  <si>
    <t>CCCCCCCCCCCC[N+]1(Cc2ccc(C[N+]3(CCCCCCCCCCCC)CCOCC3)cc2)CCOCC1.[Cl-].[Cl-]</t>
  </si>
  <si>
    <t>InChI=1S/C40H74N2O2.2ClH/c1-3-5-7-9-11-13-15-17-19-21-27-41(29-33-43-34-30-41)37-39-23-25-40(26-24-39)38-42(31-35-44-36-32-42)28-22-20-18-16-14-12-10-8-6-4-2;;/h23-26H,3-22,27-38H2,1-2H3;2*1H/q+2;;/p-2</t>
  </si>
  <si>
    <t>JAGGUXVRWLQZOY-UHFFFAOYSA-L</t>
  </si>
  <si>
    <t>CCCCCCCCCCCC[N+]1=CC=CC=C1.[Cl-]</t>
  </si>
  <si>
    <t>InChI=1S/C17H35N.ClH/c1-2-3-4-5-6-7-8-9-10-12-15-18-16-13-11-14-17-18;/h2-17H2,1H3;1H/q+1;/p-1</t>
  </si>
  <si>
    <t>UDULKSJRZFFCPT-UHFFFAOYSA-M</t>
  </si>
  <si>
    <t>CCCCCCCCCCCC[NH+](C)C.[Cl-]</t>
  </si>
  <si>
    <t>InChI=1S/C13H28N.ClH/c1-3-4-5-6-7-8-9-10-11-12-13-14-2;/h3-13H2,1-2H3;1H/q+1;/p-1</t>
  </si>
  <si>
    <t>FAEGYFGORYIHEX-UHFFFAOYSA-M</t>
  </si>
  <si>
    <t>CCCCCCCCCCCC[NH2+]CC(O)C.[Br-]</t>
  </si>
  <si>
    <t>Dodecylisopropylolammoniumbromide</t>
  </si>
  <si>
    <t>InChI=1S/C15H32NO.BrH/c1-3-4-5-6-7-8-9-10-11-12-13-16-14-15(2)17;/h15,17H,3-14H2,1-2H3;1H/q+1;/p-1</t>
  </si>
  <si>
    <t>QQSPIKNSURJZQN-UHFFFAOYSA-M</t>
  </si>
  <si>
    <t>CCCCCCCCCCCC[NH+2]CC(C)O.[Cl-]</t>
  </si>
  <si>
    <t>Dodecylisopropylolammoniumchloride</t>
  </si>
  <si>
    <t>InChI=1S/C15H32NO.ClH/c1-3-4-5-6-7-8-9-10-11-12-13-16-14-15(2)17;/h15,17H,3-14H2,1-2H3;1H/q+1;/p-1</t>
  </si>
  <si>
    <t>PVKHJKBHXSROSK-UHFFFAOYSA-M</t>
  </si>
  <si>
    <t>CCCCCCCCCCCC[NH+](CCO)CCO.[Cl-]</t>
  </si>
  <si>
    <t>dodecyl-bis(2-hydroxyethyl)azanium-chloride</t>
  </si>
  <si>
    <t>InChI=1S/C16H35NO2.ClH/c1-2-3-4-5-6-7-8-9-10-11-12-17(13-15-18)14-16-19;/h18-19H,2-16H2,1H3;1H</t>
  </si>
  <si>
    <t>QUHDWXDJUDONBI-UHFFFAOYSA-N</t>
  </si>
  <si>
    <t>CCCCCCCCCCCC[NH2+]CCO.[Cl-]</t>
  </si>
  <si>
    <t>2-(dodecylamino)ethanol-hydrochloride</t>
  </si>
  <si>
    <t>InChI=1S/C14H31NO.ClH/c1-2-3-4-5-6-7-8-9-10-11-12-15-13-14-16;/h15-16H,2-14H2,1H3;1H</t>
  </si>
  <si>
    <t>QNIZJBDWSTVXLN-UHFFFAOYSA-N</t>
  </si>
  <si>
    <t>CCCCCCCCCCCC[n+]1ccc(C(=O)NCCCCCCNC(=O)c2cc[n+](CCCCCCCCCCCC)cc2)cc1.[Br-].[Br-]</t>
  </si>
  <si>
    <t>N,N-hexamethylenebis(1-dodecyl-4-carbamoylpyridiniumbromide</t>
  </si>
  <si>
    <t>InChI=1S/C42H70N4O2.2BrH/c1-3-5-7-9-11-13-15-17-21-25-33-45-35-27-39(28-36-45)41(47)43-31-23-19-20-24-32-44-42(48)40-29-37-46(38-30-40)34-26-22-18-16-14-12-10-8-6-4-2;;/h27-30,35-38H,3-26,31-34H2,1-2H3;2*1H</t>
  </si>
  <si>
    <t>LVZNLRGBUYAOMR-UHFFFAOYSA-N</t>
  </si>
  <si>
    <t>CCCCCCCCCCCC[n+]1ccc(C)c2ccccc21.[Br-]</t>
  </si>
  <si>
    <t>10.1021/jo0006425</t>
  </si>
  <si>
    <t>N-(n-Dodecyl)-4-methylquinoliniumBromide</t>
  </si>
  <si>
    <t>InChI=1S/C22H34N.BrH/c1-3-4-5-6-7-8-9-10-11-14-18-23-19-17-20(2)21-15-12-13-16-22(21)23;/h12-13,15-17,19H,3-11,14,18H2,1-2H3;1H/q+1;/p-1</t>
  </si>
  <si>
    <t>VWVPGNMREBDIBC-UHFFFAOYSA-M</t>
  </si>
  <si>
    <t>CCCCCCCCCCCC[n+]1ccc(C)c2ccccc21.[Cl-]</t>
  </si>
  <si>
    <t>10.1016/j.jcis.2009.09.009</t>
  </si>
  <si>
    <t>N-(n-Dodecyl)-4-methylquinoliniumchloride</t>
  </si>
  <si>
    <t>InChI=1S/C22H34N.ClH/c1-3-4-5-6-7-8-9-10-11-14-18-23-19-17-20(2)21-15-12-13-16-22(21)23;/h12-13,15-17,19H,3-11,14,18H2,1-2H3;1H/q+1;/p-1</t>
  </si>
  <si>
    <t>HEQZSTJCXVSOSQ-UHFFFAOYSA-M</t>
  </si>
  <si>
    <t>CCCCCCCCCCCC[n+]1ccc(C)cc1.[Br-]</t>
  </si>
  <si>
    <t>N-(n-Dodecyl)-4-methylpyridiniumBromide</t>
  </si>
  <si>
    <t>InChI=1S/C18H32N.BrH/c1-3-4-5-6-7-8-9-10-11-12-15-19-16-13-18(2)14-17-19;/h13-14,16-17H,3-12,15H2,1-2H3;1H/q+1;/p-1</t>
  </si>
  <si>
    <t>NLKXNSKWJQLETD-UHFFFAOYSA-M</t>
  </si>
  <si>
    <t>CCCCCCCCCCCC[n+]1ccc(C)cc1.[Cl-]</t>
  </si>
  <si>
    <t>1-dodecyl-4-methylpyridin-1-ium-chloride</t>
  </si>
  <si>
    <t>InChI=1S/C18H32N.ClH/c1-3-4-5-6-7-8-9-10-11-12-15-19-16-13-18(2)14-17-19;/h13-14,16-17H,3-12,15H2,1-2H3;1H/q+1;/p-1</t>
  </si>
  <si>
    <t>QPDSALLMZSDJIM-UHFFFAOYSA-M</t>
  </si>
  <si>
    <t>CCCCCCCCCCCC[n+]1ccc(C=Nc2cc[n+](CCCCCCCCCCCC)cc2)cc1.[Br-].[Br-]</t>
  </si>
  <si>
    <t>10.1007/s11743-016-1824-9</t>
  </si>
  <si>
    <t>InChI=1S/C35H59N3.2BrH/c1-3-5-7-9-11-13-15-17-19-21-27-37-29-23-34(24-30-37)33-36-35-25-31-38(32-26-35)28-22-20-18-16-14-12-10-8-6-4-2;;/h23-26,29-33H,3-22,27-28H2,1-2H3;2*1H/q+2;;/p-2</t>
  </si>
  <si>
    <t>VXJFZQQCUYLUKV-UHFFFAOYSA-L</t>
  </si>
  <si>
    <t>CCCCCCCCCCCC[n+]1cccc(CO)c1.[Br-]</t>
  </si>
  <si>
    <t>10.1016/j.molliq.2019.111480</t>
  </si>
  <si>
    <t>1-Dodecyl-3-(hydroxymethyl)pyridin-1-iumbromide</t>
  </si>
  <si>
    <t>InChI=1S/C18H32NO.BrH/c1-2-3-4-5-6-7-8-9-10-11-14-19-15-12-13-18(16-19)17-20;/h12-13,15-16,20H,2-11,14,17H2,1H3;1H/q+1;/p-1</t>
  </si>
  <si>
    <t>XOLZEOXDQSVMCT-UHFFFAOYSA-M</t>
  </si>
  <si>
    <t>CCCCCCCCCCCC[n+]1cccc(COC(=O)CC(O)(CC(=O)OCc2ccc[n+](CCCCCCCCCCCC)c2)C(=O)OCc2ccc[n+](CCCCCCCCCCCC)c2)c1.[Br-].[Br-].[Br-]</t>
  </si>
  <si>
    <t>3,3â€²-(((2-(2-((1-dodecylpyridin-1-ium3-yl)methoxy)-2-oxoethyl)-2hydroxysuccinyl)bis(oxy))bis(methylene))bis(1-dodecylpyridin-1-ium)bromide</t>
  </si>
  <si>
    <t>InChI=1S/C60H98N3O7.3BrH/c1-4-7-10-13-16-19-22-25-28-31-40-61-43-34-37-54(48-61)51-68-57(64)46-60(67,59(66)70-53-56-39-36-45-63(50-56)42-33-30-27-24-21-18-15-12-9-6-3)47-58(65)69-52-55-38-35-44-62(49-55)41-32-29-26-23-20-17-14-11-8-5-2;;;/h34-39,43-45,48-50,67H,4-33,40-42,46-47,51-53H2,1-3H3;3*1H/q+3;;;/p-3</t>
  </si>
  <si>
    <t>BZJQVVOFPVMORE-UHFFFAOYSA-K</t>
  </si>
  <si>
    <t>CCCCCCCCCCCC[n+]1cccc(NC(=O)Nc2ccc[n+](CCCCCCCCCCCC)c2)c1.[Br-].[Br-]</t>
  </si>
  <si>
    <t>InChI=1S/C35H59N4O.2BrH/c1-3-5-7-9-11-13-15-17-19-21-27-38-29-23-25-33(31-38)36-35(40)37-34-26-24-30-39(32-34)28-22-20-18-16-14-12-10-8-6-4-2;;/h23-26,29-32H,3-22,27-28H2,1-2H3,(H-,36,37,40);2*1H/q+1;;/p-1</t>
  </si>
  <si>
    <t>RHANAQRJFNPJGN-UHFFFAOYSA-M</t>
  </si>
  <si>
    <t>CCCCCCCCCCCC[n+]1ccccc1.[Br-]</t>
  </si>
  <si>
    <t>1-dodecylpyridin-1-ium-bromide</t>
  </si>
  <si>
    <t>InChI=1S/C17H30N.BrH/c1-2-3-4-5-6-7-8-9-10-12-15-18-16-13-11-14-17-18;/h11,13-14,16-17H,2-10,12,15H2,1H3;1H/q+1;/p-1</t>
  </si>
  <si>
    <t>PNXWPUCNFMVBBK-UHFFFAOYSA-M</t>
  </si>
  <si>
    <t>CCCCCCCCCCCC[n+]1ccccc1.[Cl-]</t>
  </si>
  <si>
    <t>1-dodecylpyridin-1-ium-chloride</t>
  </si>
  <si>
    <t>InChI=1S/C17H30N.ClH/c1-2-3-4-5-6-7-8-9-10-12-15-18-16-13-11-14-17-18;/h11,13-14,16-17H,2-10,12,15H2,1H3;1H/q+1;/p-1</t>
  </si>
  <si>
    <t>GKQHIYSTBXDYNQ-UHFFFAOYSA-M</t>
  </si>
  <si>
    <t>CCCCCCCCCCCC[n+]1ccccc1.[I-]</t>
  </si>
  <si>
    <t>1-dodecylpyridin-1-ium-iodide</t>
  </si>
  <si>
    <t>InChI=1S/C17H30N.HI/c1-2-3-4-5-6-7-8-9-10-12-15-18-16-13-11-14-17-18;/h11,13-14,16-17H,2-10,12,15H2,1H3;1H/q+1;/p-1</t>
  </si>
  <si>
    <t>GZNACENTEXAZDR-UHFFFAOYSA-M</t>
  </si>
  <si>
    <t>CCCCCCCCCCCC[n+]1ccccc1CCCCCCCCCCCCc1cccc[n+]1CCCCCCCCCCCC.CS(=O)(=O)[O-].CS(=O)(=O)[O-]</t>
  </si>
  <si>
    <t>1-dodecyl-2-[12-(1-dodecylpyridin-1-ium-2-yl)dodecyl]pyridin-1-ium-methanesulfonate</t>
  </si>
  <si>
    <t>InChI=1S/C46H82N2.2CH4O3S/c1-3-5-7-9-11-13-19-23-27-33-41-47-43-35-31-39-45(47)37-29-25-21-17-15-16-18-22-26-30-38-46-40-32-36-44-48(46)42-34-28-24-20-14-12-10-8-6-4-2;2*1-5(2,3)4/h31-32,35-36,39-40,43-44H,3-30,33-34,37-38,41-42H2,1-2H3;2*1H3,(H,2,3,4)/q+2;;/p-2</t>
  </si>
  <si>
    <t>AZHWFPPBCFZQKR-UHFFFAOYSA-L</t>
  </si>
  <si>
    <t>CCCCCCCCCCCC[n+]1ccccc1CCCCCCCCc1cccc[n+]1CCCCCCCCCCCC.[Cl-].[Cl-]</t>
  </si>
  <si>
    <t>1-dodecyl-2-[8-(1-dodecylpyridin-1-ium-2-yl)octyl]pyridin-1-ium-dichloride</t>
  </si>
  <si>
    <t>InChI=1S/C42H74N2.2ClH/c1-3-5-7-9-11-13-15-19-23-29-37-43-39-31-27-35-41(43)33-25-21-17-18-22-26-34-42-36-28-32-40-44(42)38-30-24-20-16-14-12-10-8-6-4-2;;/h27-28,31-32,35-36,39-40H,3-26,29-30,33-34,37-38H2,1-2H3;2*1H/q+2;;/p-2</t>
  </si>
  <si>
    <t>DEVFWSHBXYEHMT-UHFFFAOYSA-L</t>
  </si>
  <si>
    <t>CCCCCCCCCCCC[n+]1ccccc1CCCCc1cccc[n+]1CCCCCCCCCCCC.CS(=O)(=O)[O-].CS(=O)(=O)[O-]</t>
  </si>
  <si>
    <t>1-dodecyl-2-[4-(1-dodecylpyridin-1-ium-2-yl)butyl]pyridin-1-ium-methanesulfonate</t>
  </si>
  <si>
    <t>InChI=1S/C38H66N2.2CH4O3S/c1-3-5-7-9-11-13-15-17-19-25-33-39-35-27-23-31-37(39)29-21-22-30-38-32-24-28-36-40(38)34-26-20-18-16-14-12-10-8-6-4-2;2*1-5(2,3)4/h23-24,27-28,31-32,35-36H,3-22,25-26,29-30,33-34H2,1-2H3;2*1H3,(H,2,3,4)/q+2;;/p-2</t>
  </si>
  <si>
    <t>LHFIZLIWTNENMB-UHFFFAOYSA-L</t>
  </si>
  <si>
    <t>CCCCCCCCCCCC[n+]1ccccc1CCCCc1cccc[n+]1CCCCCCCCCCCC.[Cl-].[Cl-]</t>
  </si>
  <si>
    <t>1-dodecyl-2-[4-(1-dodecylpyridin-1-ium-2-yl)butyl]pyridin-1-ium-dichloride</t>
  </si>
  <si>
    <t>InChI=1S/C38H66N2.2ClH/c1-3-5-7-9-11-13-15-17-19-25-33-39-35-27-23-31-37(39)29-21-22-30-38-32-24-28-36-40(38)34-26-20-18-16-14-12-10-8-6-4-2;;/h23-24,27-28,31-32,35-36H,3-22,25-26,29-30,33-34H2,1-2H3;2*1H/q+2;;/p-2</t>
  </si>
  <si>
    <t>TXFSTWVXCOYENI-UHFFFAOYSA-L</t>
  </si>
  <si>
    <t>CCCCCCCCCCCC[n+]1ccccc1CCCc1cccc[n+]1CCCCCCCCCCCC.CS(=O)(=O)[O-].CS(=O)(=O)[O-]</t>
  </si>
  <si>
    <t>1-dodecyl-2-[3-(1-dodecylpyridin-1-ium-2-yl)propyl]pyridin-1-ium-methanesulfonate</t>
  </si>
  <si>
    <t>InChI=1S/C37H64N2.2CH4O3S/c1-3-5-7-9-11-13-15-17-19-23-32-38-34-25-21-28-36(38)30-27-31-37-29-22-26-35-39(37)33-24-20-18-16-14-12-10-8-6-4-2;2*1-5(2,3)4/h21-22,25-26,28-29,34-35H,3-20,23-24,27,30-33H2,1-2H3;2*1H3,(H,2,3,4)/q+2;;/p-2</t>
  </si>
  <si>
    <t>HYBKROLXCOWSHN-UHFFFAOYSA-L</t>
  </si>
  <si>
    <t>CCCCCCCCCCCC[n+]1ccccc1CCCc1cccc[n+]1CCCCCCCCCCCC.[Br-].[Br-]</t>
  </si>
  <si>
    <t>1-dodecyl-2-[3-(1-dodecylpyridin-1-ium-2-yl)propyl]pyridin-1-ium-dibromide</t>
  </si>
  <si>
    <t>InChI=1S/C37H64N2.2BrH/c1-3-5-7-9-11-13-15-17-19-23-32-38-34-25-21-28-36(38)30-27-31-37-29-22-26-35-39(37)33-24-20-18-16-14-12-10-8-6-4-2;;/h21-22,25-26,28-29,34-35H,3-20,23-24,27,30-33H2,1-2H3;2*1H/q+2;;/p-2</t>
  </si>
  <si>
    <t>YPAWRWOBZDYHRQ-UHFFFAOYSA-L</t>
  </si>
  <si>
    <t>CCCCCCCCCCCC[n+]1ccccc1CCCc1cccc[n+]1CCCCCCCCCCCC.[Cl-].[Cl-]</t>
  </si>
  <si>
    <t>1-dodecyl-2-[3-(1-dodecylpyridin-1-ium-2-yl)propyl]pyridin-1-ium-dichloride</t>
  </si>
  <si>
    <t>InChI=1S/C37H64N2.2ClH/c1-3-5-7-9-11-13-15-17-19-23-32-38-34-25-21-28-36(38)30-27-31-37-29-22-26-35-39(37)33-24-20-18-16-14-12-10-8-6-4-2;;/h21-22,25-26,28-29,34-35H,3-20,23-24,27,30-33H2,1-2H3;2*1H/q+2;;/p-2</t>
  </si>
  <si>
    <t>CCOSQZHBNAHSQV-UHFFFAOYSA-L</t>
  </si>
  <si>
    <t>CCCCCCCCCCCC[n+]1ccccc1CCc1cccc[n+]1CCCCCCCCCCCC.CS(=O)(=O)[O-].CS(=O)(=O)[O-]</t>
  </si>
  <si>
    <t>InChI=1S/C36H62N2.2CH4O3S/c1-3-5-7-9-11-13-15-17-19-23-31-37-33-25-21-27-35(37)29-30-36-28-22-26-34-38(36)32-24-20-18-16-14-12-10-8-6-4-2;2*1-5(2,3)4/h21-22,25-28,33-34H,3-20,23-24,29-32H2,1-2H3;2*1H3,(H,2,3,4)/q+2;;/p-2</t>
  </si>
  <si>
    <t>XODUKBSFUFFAFM-UHFFFAOYSA-L</t>
  </si>
  <si>
    <t>CCCCCCCCCCCCc1cc[n+](C)cc1.[Br-]</t>
  </si>
  <si>
    <t>4-(n-Dodecyl)-N-methylpyridiniumBromide</t>
  </si>
  <si>
    <t>InChI=1S/C18H32N.BrH/c1-3-4-5-6-7-8-9-10-11-12-13-18-14-16-19(2)17-15-18;/h14-17H,3-13H2,1-2H3;1H/q+1;/p-1</t>
  </si>
  <si>
    <t>UDPAZAYQCQPRNL-UHFFFAOYSA-M</t>
  </si>
  <si>
    <t>CCCCCCCCCCCCc1cc[n+](C2OC(CO)C(O)C(O)C2O)cc1.[Br-]</t>
  </si>
  <si>
    <t>InChI=1S/C23H40NO5.BrH/c1-2-3-4-5-6-7-8-9-10-11-12-18-13-15-24(16-14-18)23-22(28)21(27)20(26)19(17-25)29-23;/h13-16,19-23,25-28H,2-12,17H2,1H3;1H/q+1;/p-1</t>
  </si>
  <si>
    <t>FSQAVCVIMOKRPI-UHFFFAOYSA-M</t>
  </si>
  <si>
    <t>10.1016/0166-6622(82)80071-1</t>
  </si>
  <si>
    <t>4-dodecylpyridin-1-ium-bromide</t>
  </si>
  <si>
    <t>InChI=1S/C17H29N.BrH/c1-2-3-4-5-6-7-8-9-10-11-12-17-13-15-18-16-14-17;/h13-16H,2-12H2,1H3;1H</t>
  </si>
  <si>
    <t>HUQASMIUEJRISG-UHFFFAOYSA-N</t>
  </si>
  <si>
    <t>InChI=1S/C17H29N.ClH/c1-2-3-4-5-6-7-8-9-10-11-12-17-13-15-18-16-14-17;/h13-16H,2-12H2,1H3;1H</t>
  </si>
  <si>
    <t>ILIQTXYKKLVZTF-UHFFFAOYSA-N</t>
  </si>
  <si>
    <t>InChI=1S/C17H29N.HI/c1-2-3-4-5-6-7-8-9-10-11-12-17-13-15-18-16-14-17;/h13-16H,2-12H2,1H3;1H</t>
  </si>
  <si>
    <t>KHGXPQDIEAEMAJ-UHFFFAOYSA-N</t>
  </si>
  <si>
    <t>CCCCCCCCCCCCc1ccc(C[C@H](Nc2ccc(S(=O)(=O)[O-])cc2)C(=O)O)cc1.[Na+]</t>
  </si>
  <si>
    <t>InChI=1S/C27H39NO5S.Na/c1-2-3-4-5-6-7-8-9-10-11-12-22-13-15-23(16-14-22)21-26(27(29)30)28-24-17-19-25(20-18-24)34(31,32)33;/h13-20,26,28H,2-12,21H2,1H3,(H,29,30)(H,31,32,33);/q;+1/p-1/t26-;/m0./s1</t>
  </si>
  <si>
    <t>FOEDYGVILDWNEG-SNYZSRNZSA-M</t>
  </si>
  <si>
    <t>CCCCCCCCCCCCc1ccc(S(=O)(=O)[O-])cc1.[Na+]</t>
  </si>
  <si>
    <t>sodium-4-dodecylbenzenesulfonate</t>
  </si>
  <si>
    <t>InChI=1S/C18H30O3S.Na/c1-2-3-4-5-6-7-8-9-10-11-12-17-13-15-18(16-14-17)22(19,20)21;/h13-16H,2-12H2,1H3,(H,19,20,21);/q;+1/p-1</t>
  </si>
  <si>
    <t>JHJUUEHSAZXEEO-UHFFFAOYSA-M</t>
  </si>
  <si>
    <t>CCCCCCCCCCCCn1cc[n+](C)c1.[Br-]</t>
  </si>
  <si>
    <t>10.1021/la0633029</t>
  </si>
  <si>
    <t>1-dodecyl-3-methylimidazolium</t>
  </si>
  <si>
    <t>InChI=1S/C16H31N2.BrH/c1-3-4-5-6-7-8-9-10-11-12-13-18-15-14-17(2)16-18;/h14-16H,3-13H2,1-2H3;1H/q+1;/p-1</t>
  </si>
  <si>
    <t>QWLSTCVUGYAKLE-UHFFFAOYSA-M</t>
  </si>
  <si>
    <t>CCCCCCCCCCCCn1cc[n+](C)c1.[Cl-]</t>
  </si>
  <si>
    <t>InChI=1S/C16H31N2.ClH/c1-3-4-5-6-7-8-9-10-11-12-13-18-15-14-17(2)16-18;/h14-16H,3-13H2,1-2H3;1H/q+1;/p-1</t>
  </si>
  <si>
    <t>OPXNHKQUEXEWAM-UHFFFAOYSA-M</t>
  </si>
  <si>
    <t>CCCCCCCCCCCCn1cc[n+](CC(O)C[n+]2ccn(CCCCCCCCCCCC)c2)c1.[Cl-].[Cl-]</t>
  </si>
  <si>
    <t>InChI=1S/C33H62N4O.2ClH/c1-3-5-7-9-11-13-15-17-19-21-23-34-25-27-36(31-34)29-33(38)30-37-28-26-35(32-37)24-22-20-18-16-14-12-10-8-6-4-2;;/h25-28,31-33,38H,3-24,29-30H2,1-2H3;2*1H/q+2;;/p-2</t>
  </si>
  <si>
    <t>LAJJKCVSBAXZMV-UHFFFAOYSA-L</t>
  </si>
  <si>
    <t>CCCCCCCCCCCCn1cc[n+](CCCCCC[n+]2ccn(CCCCCCCCCCCC)c2)c1.[Br-].[Br-]</t>
  </si>
  <si>
    <t>1-dodecyl-3-[6-(3-dodecylimidazol-3-ium-1-yl)hexyl]imidazol-1-ium-dibromide</t>
  </si>
  <si>
    <t>InChI=1S/C36H68N4.2BrH/c1-3-5-7-9-11-13-15-17-19-23-27-37-31-33-39(35-37)29-25-21-22-26-30-40-34-32-38(36-40)28-24-20-18-16-14-12-10-8-6-4-2;;/h31-36H,3-30H2,1-2H3;2*1H/q+2;;/p-2</t>
  </si>
  <si>
    <t>SZVSCHBZPOKVRF-UHFFFAOYSA-L</t>
  </si>
  <si>
    <t>CCCCCCCCCCCCn1cc[n+](CCCC[n+]2ccn(CCCCCCCCCCCC)c2)c1.[Br-].[Br-]</t>
  </si>
  <si>
    <t>1-dodecyl-3-[4-(3-dodecylimidazol-3-ium-1-yl)butyl]imidazol-1-ium-dibromide</t>
  </si>
  <si>
    <t>InChI=1S/C34H64N4.2BrH/c1-3-5-7-9-11-13-15-17-19-21-25-35-29-31-37(33-35)27-23-24-28-38-32-30-36(34-38)26-22-20-18-16-14-12-10-8-6-4-2;;/h29-34H,3-28H2,1-2H3;2*1H/q+2;;/p-2</t>
  </si>
  <si>
    <t>NRZKIFFLYDVWPL-UHFFFAOYSA-L</t>
  </si>
  <si>
    <t>CCCCCCCCCCCCn1cc[n+](CCC[n+]2ccn(CCCCCCCCCCCC)c2)c1.[Br-].[Br-]</t>
  </si>
  <si>
    <t>InChI=1S/C33H62N4.2BrH/c1-3-5-7-9-11-13-15-17-19-21-24-34-28-30-36(32-34)26-23-27-37-31-29-35(33-37)25-22-20-18-16-14-12-10-8-6-4-2;;/h28-33H,3-27H2,1-2H3;2*1H/q+2;;/p-2</t>
  </si>
  <si>
    <t>KTLPGHGZDIMPMA-UHFFFAOYSA-L</t>
  </si>
  <si>
    <t>CCCCCCCCCCCCn1cc[n+](CC[n+]2ccn(CCCCCCCCCCCC)c2)c1.[Br-].[Br-]</t>
  </si>
  <si>
    <t>1-dodecyl-3-[2-(3-dodecylimidazol-3-ium-1-yl)ethyl]imidazol-1-ium-dibromide</t>
  </si>
  <si>
    <t>InChI=1S/C32H60N4.2BrH/c1-3-5-7-9-11-13-15-17-19-21-23-33-25-27-35(31-33)29-30-36-28-26-34(32-36)24-22-20-18-16-14-12-10-8-6-4-2;;/h25-28,31-32H,3-24,29-30H2,1-2H3;2*1H/q+2;;/p-2</t>
  </si>
  <si>
    <t>XVKUDDORRGQSJI-UHFFFAOYSA-L</t>
  </si>
  <si>
    <t>CCCCCCCCCCCCn1cc[n+](COCCCCCCOC[n+]2ccn(CCCCCCCCCCCC)c2)c1.[Cl-].[Cl-]</t>
  </si>
  <si>
    <t>InChI=1S/C38H72N4O2.2ClH/c1-3-5-7-9-11-13-15-17-19-23-27-39-29-31-41(35-39)37-43-33-25-21-22-26-34-44-38-42-32-30-40(36-42)28-24-20-18-16-14-12-10-8-6-4-2;;/h29-32,35-36H,3-28,33-34,37-38H2,1-2H3;2*1H/q+2;;/p-2</t>
  </si>
  <si>
    <t>QBLJSYCDXNOUID-UHFFFAOYSA-L</t>
  </si>
  <si>
    <t>CCCCCCCCCCCCn1cc[n+](COCCCCCOC[n+]2ccn(CCCCCCCCCCCC)c2)c1.[Cl-].[Cl-]</t>
  </si>
  <si>
    <t>InChI=1S/C37H70N4O2.2ClH/c1-3-5-7-9-11-13-15-17-19-22-26-38-28-30-40(34-38)36-42-32-24-21-25-33-43-37-41-31-29-39(35-41)27-23-20-18-16-14-12-10-8-6-4-2;;/h28-31,34-35H,3-27,32-33,36-37H2,1-2H3;2*1H/q+2;;/p-2</t>
  </si>
  <si>
    <t>KNZZGWQPRRFQRP-UHFFFAOYSA-L</t>
  </si>
  <si>
    <t>CCCCCCCCCCCCn1cc[n+](COCCCCOC[n+]2ccn(CCCCCCCCCCCC)c2)c1.[Cl-].[Cl-]</t>
  </si>
  <si>
    <t>1-dodecyl-3-[4-[(3-dodecylimidazol-1-ium-1-yl)methoxy]butoxymethyl]imidazol-3-ium-dichloride</t>
  </si>
  <si>
    <t>InChI=1S/C36H68N4O2.2ClH/c1-3-5-7-9-11-13-15-17-19-21-25-37-27-29-39(33-37)35-41-31-23-24-32-42-36-40-30-28-38(34-40)26-22-20-18-16-14-12-10-8-6-4-2;;/h27-30,33-34H,3-26,31-32,35-36H2,1-2H3;2*1H/q+2;;/p-2</t>
  </si>
  <si>
    <t>BBYOFVAYDDIUFU-UHFFFAOYSA-L</t>
  </si>
  <si>
    <t>CCCCCCCCCCCCn1cc[n+](COCCCOC[n+]2ccn(CCCCCCCCCCCC)c2)c1.[Cl-].[Cl-]</t>
  </si>
  <si>
    <t>InChI=1S/C35H66N4O2.2ClH/c1-3-5-7-9-11-13-15-17-19-21-24-36-26-28-38(32-36)34-40-30-23-31-41-35-39-29-27-37(33-39)25-22-20-18-16-14-12-10-8-6-4-2;;/h26-29,32-33H,3-25,30-31,34-35H2,1-2H3;2*1H/q+2;;/p-2</t>
  </si>
  <si>
    <t>YNQGJKLSYWDHQZ-UHFFFAOYSA-L</t>
  </si>
  <si>
    <t>CCCCCCCCCCCCn1cc[n+](COCCOC[n+]2ccn(CCCCCCCCCCCC)c2)c1.[Cl-].[Cl-]</t>
  </si>
  <si>
    <t>InChI=1S/C34H64N4O2.2ClH/c1-3-5-7-9-11-13-15-17-19-21-23-35-25-27-37(31-35)33-39-29-30-40-34-38-28-26-36(32-38)24-22-20-18-16-14-12-10-8-6-4-2;;/h25-28,31-32H,3-24,29-30,33-34H2,1-2H3;2*1H/q+2;;/p-2</t>
  </si>
  <si>
    <t>XXODVYLNCWHEBW-UHFFFAOYSA-L</t>
  </si>
  <si>
    <t>CCCCCCCCCCCOCC(C(C(CO)O)O)O</t>
  </si>
  <si>
    <t>InChI=1S/C16H31O5/c1-2-3-4-5-6-7-8-9-10-11-20-14-12-13(17)15(18)16(19)21-14/h12-19H,2-11H2,1H3/t13-,14?,15+,16?/m0/s1</t>
  </si>
  <si>
    <t>WCGXXPBJCDWMHX-JWMHWRSXSA-N</t>
  </si>
  <si>
    <t>CCCCCCCCCCCCOCCOCCOS(=O)([O-])=O.[Na+]</t>
  </si>
  <si>
    <t>10.1021/j100402a032</t>
  </si>
  <si>
    <t>InChI=1S/C15H32O5S.Na/c1-2-3-4-5-6-7-8-9-10-11-19-12-13-20-14-15-21(16,17)18;/h2-15H2,1H3,(H,16,17,18);/q;+1/p-1</t>
  </si>
  <si>
    <t>DFNBVRXEHCDLEA-UHFFFAOYSA-M</t>
  </si>
  <si>
    <t>CCCCCCCCCCCCOCCOS(=O)([O-])=O.[Na+]</t>
  </si>
  <si>
    <t>InChI=1S/C13H28O4S.Na/c1-2-3-4-5-6-7-8-9-10-11-17-12-13-18(14,15)16;/h2-13H2,1H3,(H,14,15,16);/q;+1/p-1</t>
  </si>
  <si>
    <t>PLZZDSZKRUXMDD-UHFFFAOYSA-M</t>
  </si>
  <si>
    <t>CCCCCCCCCCCOOCCOCCOCCOCCOCCOCCOCCOCC</t>
  </si>
  <si>
    <t>InChI=1S/C27H56O9/c1-3-5-6-7-8-9-10-11-12-13-35-36-27-26-34-25-24-33-23-22-32-21-20-31-19-18-30-17-16-29-15-14-28-4-2/h3-27H2,1-2H3</t>
  </si>
  <si>
    <t>MPAVLQYTGJAZFL-UHFFFAOYSA-N</t>
  </si>
  <si>
    <t>CCCCCCCCCCCOS(=O)(=O)[O-].[Na+]</t>
  </si>
  <si>
    <t>sodium-undecyl-sulfate</t>
  </si>
  <si>
    <t>InChI=1S/C11H24O4S.Na/c1-2-3-4-5-6-7-8-9-10-11-15-16(12,13)14;/h2-11H2,1H3,(H,12,13,14);/q;+1/p-1</t>
  </si>
  <si>
    <t>UOWRKHDWHDWJHK-UHFFFAOYSA-M</t>
  </si>
  <si>
    <t>CCCCCCCCCCC[N+](C)(C)CCCCC[N+](C)(C)CCCCCCCCCCC.[Br-].[Br-]</t>
  </si>
  <si>
    <t>N,N'-bis(dodecyldimethyl)-3-methyl-1,5-pentanediammoniumdibromide</t>
  </si>
  <si>
    <t>InChI=1S/C31H68N2.2BrH/c1-7-9-11-13-15-17-19-21-24-28-32(3,4)30-26-23-27-31-33(5,6)29-25-22-20-18-16-14-12-10-8-2;;/h7-31H2,1-6H3;2*1H/q+2;;/p-2</t>
  </si>
  <si>
    <t>JJHVKNXOSSPAQH-UHFFFAOYSA-L</t>
  </si>
  <si>
    <t>CCCCCCCCCCC[N+](C)(C)CCCCNC[N+](C)(C)CCCCCCCCCCC.[Br-].[Br-]</t>
  </si>
  <si>
    <t>InChI=1S/C31H69N3.2BrH/c1-7-9-11-13-15-17-19-21-24-28-33(3,4)29-26-23-27-32-31-34(5,6)30-25-22-20-18-16-14-12-10-8-2;;/h32H,7-31H2,1-6H3;2*1H/q+2;;/p-2</t>
  </si>
  <si>
    <t>DYVGPVLYYWIHDN-UHFFFAOYSA-L</t>
  </si>
  <si>
    <t>CCCCCCCCCCC[N+](C)(C)CCCCO[N+](C)(C)CCCCCCCCCCC.[Br-].[Br-]</t>
  </si>
  <si>
    <t>InChI=1S/C30H66N2O.2BrH/c1-7-9-11-13-15-17-19-21-23-27-31(3,4)28-25-26-30-33-32(5,6)29-24-22-20-18-16-14-12-10-8-2;;/h7-30H2,1-6H3;2*1H/q+2;;/p-2</t>
  </si>
  <si>
    <t>IMBKVEBNZSOHDO-UHFFFAOYSA-L</t>
  </si>
  <si>
    <t>CCCCCCCCCCC[N+](C)(C)CCN(C)CC[N+](C)(C)CCCCCCCCCCC.[Br-].[Br-]</t>
  </si>
  <si>
    <t>N,N'-bis(undecyldimethyl)-3-N-methyl-1,5-pentanediammoniumdibromide</t>
  </si>
  <si>
    <t>InChI=1S/C31H69N3.2BrH/c1-8-10-12-14-16-18-20-22-24-28-33(4,5)30-26-32(3)27-31-34(6,7)29-25-23-21-19-17-15-13-11-9-2;;/h8-31H2,1-7H3;2*1H/q+2;;/p-2</t>
  </si>
  <si>
    <t>LPIRCXLCKMPGBM-UHFFFAOYSA-L</t>
  </si>
  <si>
    <t>CCCCCCCCCCC[N+](C)(C)CCOCC[N+](C)(C)CCCCCCCCCCC.[Br-].[Br-]</t>
  </si>
  <si>
    <t>N,N'-bis(undecyldimethyl)-3-O-1,5-pentanediammoniumdibromide</t>
  </si>
  <si>
    <t>InChI=1S/C30H66N2O.2BrH/c1-7-9-11-13-15-17-19-21-23-25-31(3,4)27-29-33-30-28-32(5,6)26-24-22-20-18-16-14-12-10-8-2;;/h7-30H2,1-6H3;2*1H/q+2;;/p-2</t>
  </si>
  <si>
    <t>KMJPZRZTPONLDO-UHFFFAOYSA-L</t>
  </si>
  <si>
    <t>CCCCCCCCCCC[N+]1(CCC#CCC[N+]2(CCCCCCCCCCC)CCCC2)CCCC1.[Br-].[Br-]</t>
  </si>
  <si>
    <t>InChI=1S/C36H70N2.2BrH/c1-3-5-7-9-11-13-15-17-21-29-37(33-25-26-34-37)31-23-19-20-24-32-38(35-27-28-36-38)30-22-18-16-14-12-10-8-6-4-2;;/h3-18,21-36H2,1-2H3;2*1H/q+2;;/p-2</t>
  </si>
  <si>
    <t>FRNOPHKZJBHDJU-UHFFFAOYSA-L</t>
  </si>
  <si>
    <t>CCCCCCCCCCC[N+]1(CCC#CCC[N+]2(CCCCCCCCCCC)CCCCC2)CCCCC1.[Br-].[Br-]</t>
  </si>
  <si>
    <t>InChI=1S/C38H74N2.2BrH/c1-3-5-7-9-11-13-15-17-23-31-39(35-27-21-28-36-39)33-25-19-20-26-34-40(37-29-22-30-38-40)32-24-18-16-14-12-10-8-6-4-2;;/h3-18,21-38H2,1-2H3;2*1H/q+2;;/p-2</t>
  </si>
  <si>
    <t>UIOLPZUFHTWLRP-UHFFFAOYSA-L</t>
  </si>
  <si>
    <t>CCCCCCCCCCC[n+]1ccccc1.[Br-]</t>
  </si>
  <si>
    <t>1-undecylpyridin-1-ium-bromide</t>
  </si>
  <si>
    <t>InChI=1S/C16H28N.BrH/c1-2-3-4-5-6-7-8-9-11-14-17-15-12-10-13-16-17;/h10,12-13,15-16H,2-9,11,14H2,1H3;1H/q+1;/p-1</t>
  </si>
  <si>
    <t>IDKTXLNOKRZIDS-UHFFFAOYSA-M</t>
  </si>
  <si>
    <t>InChI=1S/C16H27N.BrH/c1-2-3-4-5-6-7-8-9-10-11-16-12-14-17-15-13-16;/h12-15H,2-11H2,1H3;1H</t>
  </si>
  <si>
    <t>RDSYGQKVKFCYMN-UHFFFAOYSA-N</t>
  </si>
  <si>
    <t>CCCCCCCCCCCn1cc[n+](COCCCCCCOC[n+]2ccn(CCCCCCCCCCC)c2)c1.[Cl-].[Cl-]</t>
  </si>
  <si>
    <t>InChI=1S/C36H68N4O2.2ClH/c1-3-5-7-9-11-13-15-17-21-25-37-27-29-39(33-37)35-41-31-23-19-20-24-32-42-36-40-30-28-38(34-40)26-22-18-16-14-12-10-8-6-4-2;;/h27-30,33-34H,3-26,31-32,35-36H2,1-2H3;2*1H/q+2;;/p-2</t>
  </si>
  <si>
    <t>NTJLDWUJDNPKAZ-UHFFFAOYSA-L</t>
  </si>
  <si>
    <t>CCCCCCCCCCCn1cc[n+](COCCCCCOC[n+]2ccn(CCCCCCCCCCC)c2)c1.[Cl-].[Cl-]</t>
  </si>
  <si>
    <t>InChI=1S/C35H66N4O2.2ClH/c1-3-5-7-9-11-13-15-17-20-24-36-26-28-38(32-36)34-40-30-22-19-23-31-41-35-39-29-27-37(33-39)25-21-18-16-14-12-10-8-6-4-2;;/h26-29,32-33H,3-25,30-31,34-35H2,1-2H3;2*1H/q+2;;/p-2</t>
  </si>
  <si>
    <t>LKTPPZPNPDYHLA-UHFFFAOYSA-L</t>
  </si>
  <si>
    <t>CCCCCCCCCCCn1cc[n+](COCCCCOC[n+]2ccn(CCCCCCCCCCC)c2)c1.[Cl-].[Cl-]</t>
  </si>
  <si>
    <t>InChI=1S/C34H64N4O2.2ClH/c1-3-5-7-9-11-13-15-17-19-23-35-25-27-37(31-35)33-39-29-21-22-30-40-34-38-28-26-36(32-38)24-20-18-16-14-12-10-8-6-4-2;;/h25-28,31-32H,3-24,29-30,33-34H2,1-2H3;2*1H/q+2;;/p-2</t>
  </si>
  <si>
    <t>FMCMGRUTZFJYDK-UHFFFAOYSA-L</t>
  </si>
  <si>
    <t>CCCCCCCCCCCn1cc[n+](COCCCOC[n+]2ccn(CCCCCCCCCCC)c2)c1.[Cl-].[Cl-]</t>
  </si>
  <si>
    <t>InChI=1S/C33H62N4O2.2ClH/c1-3-5-7-9-11-13-15-17-19-22-34-24-26-36(30-34)32-38-28-21-29-39-33-37-27-25-35(31-37)23-20-18-16-14-12-10-8-6-4-2;;/h24-27,30-31H,3-23,28-29,32-33H2,1-2H3;2*1H/q+2;;/p-2</t>
  </si>
  <si>
    <t>SSJFLOQWWIZEAA-UHFFFAOYSA-L</t>
  </si>
  <si>
    <t>CCCCCCCCCCCn1cc[n+](COCCOC[n+]2ccn(CCCCCCCCCCC)c2)c1.[Cl-].[Cl-]</t>
  </si>
  <si>
    <t>InChI=1S/C32H60N4O2.2ClH/c1-3-5-7-9-11-13-15-17-19-21-33-23-25-35(29-33)31-37-27-28-38-32-36-26-24-34(30-36)22-20-18-16-14-12-10-8-6-4-2;;/h23-26,29-30H,3-22,27-28,31-32H2,1-2H3;2*1H/q+2;;/p-2</t>
  </si>
  <si>
    <t>UMFKQEHECOCLAZ-UHFFFAOYSA-L</t>
  </si>
  <si>
    <t>CCCCCCCCCCN(C)C(=O)C(O)C(O)C(O)C(O)CO</t>
  </si>
  <si>
    <t>InChI=1S/C17H35NO6/c1-3-4-5-6-7-8-9-10-11-18(2)17(24)16(23)15(22)14(21)13(20)12-19/h13-16,19-23H,3-12H2,1-2H3</t>
  </si>
  <si>
    <t>XLIVUQPRXGXTLQ-UHFFFAOYSA-N</t>
  </si>
  <si>
    <t>CCCCCCCCCCN(C(C(C(C(C(CO)O)O)O)O)=O)C</t>
  </si>
  <si>
    <t>InChI=1S/C16H33NO5/c1-3-4-5-6-7-8-9-10-11-17(2)16(19)12-20-14-22-15-21-13-18/h18H,3-15H2,1-2H3</t>
  </si>
  <si>
    <t>BZFQFTYVBLPRIC-UHFFFAOYSA-N</t>
  </si>
  <si>
    <t>CCCCCCCCCCN(C)C(=O)[C@H](O)[C@@H](O)[C@H](O)[C@H](O)CO</t>
  </si>
  <si>
    <t>N-decyl-N-methylgluconamide</t>
  </si>
  <si>
    <t>InChI=1S/C17H35NO6/c1-3-4-5-6-7-8-9-10-11-18(2)17(24)16(23)15(22)14(21)13(20)12-19/h13-16,19-23H,3-12H2,1-2H3/t13-,14-,15+,16-/m1/s1</t>
  </si>
  <si>
    <t>XLIVUQPRXGXTLQ-LVQVYYBASA-N</t>
  </si>
  <si>
    <t>CCCCCCCCCCN(C([C@@H]([C@H]([C@@H]([C@@H](CO)O)O[C@@H]1O[C@@H]([C@H]([C@@H]([C@H]1O)O)O)CO)O)O)=O)C</t>
  </si>
  <si>
    <t>N-decyl-N-methyllactobionamide</t>
  </si>
  <si>
    <t>InChI=1S/C23H45NO10/c1-4-5-6-7-8-9-10-11-12-24(3)22(32)19(30)18(29)21(15(26)13-25)34-23-20(31)17(28)16(27)14(2)33-23/h14-21,23,25-31H,4-13H2,1-3H3/t14-,15-,16+,17+,18-,19-,20-,21-,23+/m1/s1</t>
  </si>
  <si>
    <t>HAILVPDDFCQWKK-ZGPJYTKZSA-N</t>
  </si>
  <si>
    <t>CCCCCCCCCCN(C(N(C)C)=[NH2+])CCC[N+](C)(CCCCCCCCCC)C.[Cl-].[Cl-]</t>
  </si>
  <si>
    <t>InChI=1S/C28H60N4.2ClH/c1-7-9-11-13-15-17-19-21-24-31(28(29)30(3)4)25-23-27-32(5,6)26-22-20-18-16-14-12-10-8-2;;/h7-27H2,1-6H3;2*1H/q+2;;/p-2</t>
  </si>
  <si>
    <t>HVKFATQMCHWIRC-UHFFFAOYSA-L</t>
  </si>
  <si>
    <t>CCCCCCCCCCNC(=O)C(O)C(O)C(OC1OC(CO)C(O)C(O)C1O)C(O)CO</t>
  </si>
  <si>
    <t>Decyl-D-maltonamide</t>
  </si>
  <si>
    <t>InChI=1S/C22H43NO11/c1-2-3-4-5-6-7-8-9-10-23-21(32)18(30)17(29)20(13(26)11-24)34-22-19(31)16(28)15(27)14(12-25)33-22/h13-20,22,24-31H,2-12H2,1H3,(H,23,32)</t>
  </si>
  <si>
    <t>ASKUBOCBWBYYHH-UHFFFAOYSA-N</t>
  </si>
  <si>
    <t>CCCCCCCCOC(C(CCCNC(N)=[NH2+])[NH3+])=O.[Cl-].[Cl-]</t>
  </si>
  <si>
    <t>InChI=1S/C16H33N5O.2ClH/c1-2-3-4-5-6-7-8-9-12-20-15(22)14(17)11-10-13-21-16(18)19;;/h14,16,21H,2-13,18H2,1H3,(H,20,22);2*1H/q+2;;/p-2</t>
  </si>
  <si>
    <t>ZYMKTLWGWRPIBH-UHFFFAOYSA-L</t>
  </si>
  <si>
    <t>CCCCCCCCCCNC(=O)CC[N+](C)(C)CCC(=O)NCCCCCCCCCC.[Br-]</t>
  </si>
  <si>
    <t>N,N-dimethyl-N,N-bis[2-(N-decylcarbamoyl)ethyl]ammoniumbromides</t>
  </si>
  <si>
    <t>InChI=1S/C28H57N3O2.BrH/c1-5-7-9-11-13-15-17-19-23-29-27(32)21-25-31(3,4)26-22-28(33)30-24-20-18-16-14-12-10-8-6-2;/h5-26H2,1-4H3,(H-,29,30,32,33);1H</t>
  </si>
  <si>
    <t>MWXGQDLRHHRCPC-UHFFFAOYSA-N</t>
  </si>
  <si>
    <t>CCCCCCCCCCNC(=O)[C@H](O)[C@@H](O)[C@H](O[C@@H]1O[C@H](C)[C@H](O)[C@H](O)[C@H]1O)[C@H](O)CO</t>
  </si>
  <si>
    <t>Decyl-D-lactobionamide</t>
  </si>
  <si>
    <t>InChI=1S/C22H43NO10/c1-3-4-5-6-7-8-9-10-11-23-21(31)18(29)17(28)20(14(25)12-24)33-22-19(30)16(27)15(26)13(2)32-22/h13-20,22,24-30H,3-12H2,1-2H3,(H,23,31)/t13-,14-,15+,16+,17-,18-,19-,20-,22+/m1/s1</t>
  </si>
  <si>
    <t>FTINVVBHACZJEA-QBCBQYGVSA-N</t>
  </si>
  <si>
    <t>CCCCCCCCCCOC(=O)C(C)[N+](C)(C)CC[N+](C)(C)C(C)C(=O)OCCCCCCCCCC.[Br-].[Br-]</t>
  </si>
  <si>
    <t>InChI=1S/C32H66N2O4.2BrH/c1-9-11-13-15-17-19-21-23-27-37-31(35)29(3)33(5,6)25-26-34(7,8)30(4)32(36)38-28-24-22-20-18-16-14-12-10-2;;/h29-30H,9-28H2,1-8H3;2*1H/q+2;;/p-2</t>
  </si>
  <si>
    <t>VAHPYBVNMYMQFQ-UHFFFAOYSA-L</t>
  </si>
  <si>
    <t>O[C@@H](COC(CCCCCCCCC)=O)[C@@H](O)[C@H](O)CO</t>
  </si>
  <si>
    <t>10.1016/S0378-5173(99)00078-2</t>
  </si>
  <si>
    <t>1-O-decanoyl-D,L-xylitol</t>
  </si>
  <si>
    <t>InChI=1S/C18H36O8/c1-2-3-4-5-6-7-8-9-10-26-18(25)15(13(21)11-19)17(24)16(23)14(22)12-20/h13-17,19-24H,2-12H2,1H3/t13-,14-,15?,16?,17+/m0/s1</t>
  </si>
  <si>
    <t>IJFOSEKLWFRDMT-VAZJSPDQSA-N</t>
  </si>
  <si>
    <t>CCCCCCCCCCOC(C(CCCNC(N)=[NH2+])[NH3+])=O.[Cl-].[Cl-]</t>
  </si>
  <si>
    <t>Arginine-O-octylesterdihydrochloride</t>
  </si>
  <si>
    <t>InChI=1S/C16H32N4O2.2ClH/c1-2-3-4-5-6-7-8-9-13-22-15(21)14(17)11-10-12-20-16(18)19;;/h14,16,20H,2-13,18H2,1H3;2*1H/q+2;;/p-2</t>
  </si>
  <si>
    <t>BLEBCWNSVXXTMQ-UHFFFAOYSA-L</t>
  </si>
  <si>
    <t>CCCCCCCCCCOC(=O)CC[N+](C)(C)CCC(=O)OCCCCCCCCCC.[Br-]</t>
  </si>
  <si>
    <t>N,N-dimethyl-N,N-bis[2-decaneoxycarbonyl)ethyl]ammoniumbromides</t>
  </si>
  <si>
    <t>InChI=1S/C28H56NO4.BrH/c1-5-7-9-11-13-15-17-19-25-32-27(30)21-23-29(3,4)24-22-28(31)33-26-20-18-16-14-12-10-8-6-2;/h5-26H2,1-4H3;1H/q+1;/p-1</t>
  </si>
  <si>
    <t>SJZLOHMQBDZNID-UHFFFAOYSA-M</t>
  </si>
  <si>
    <t>CCCCCCCCCCOC(=O)CS(=O)(=O)[O-].[Na+]</t>
  </si>
  <si>
    <t>sodium-2-decoxy-2-oxoethanesulfonate</t>
  </si>
  <si>
    <t>InChI=1S/C12H24O5S.Na/c1-2-3-4-5-6-7-8-9-10-17-12(13)11-18(14,15)16;/h2-11H2,1H3,(H,14,15,16);/q;+1/p-1</t>
  </si>
  <si>
    <t>NCGPNILRARPETC-UHFFFAOYSA-M</t>
  </si>
  <si>
    <t>CCCCCCCCCCOC(=O)C[N+](C)(C)CCCN=Cc1ccccc1O.[Cl-]</t>
  </si>
  <si>
    <t>InChI=1S/C24H40N2O3.ClH/c1-4-5-6-7-8-9-10-13-19-29-24(28)21-26(2,3)18-14-17-25-20-22-15-11-12-16-23(22)27;/h11-12,15-16,20H,4-10,13-14,17-19,21H2,1-3H3;1H</t>
  </si>
  <si>
    <t>AHGLHPATMDQWQI-UHFFFAOYSA-N</t>
  </si>
  <si>
    <t>CCCCCCCCCCOC(=O)C[N+](C)(C)CCOCCO.[Cl-]</t>
  </si>
  <si>
    <t>2-(decyloxy)-N-(2-(2-hydroxyethoxy)ethyl)-N,N-dimethyl-2-oxoethanaminiumchloride</t>
  </si>
  <si>
    <t>InChI=1S/C18H38NO4.ClH/c1-4-5-6-7-8-9-10-11-14-23-18(21)17-19(2,3)12-15-22-16-13-20;/h20H,4-17H2,1-3H3;1H/q+1;/p-1</t>
  </si>
  <si>
    <t>XJZXKQJCZACFPN-UHFFFAOYSA-M</t>
  </si>
  <si>
    <t>CCCCCCCCCCOC(=O)C[N+](CC)(CC)c1ccc(C=NCCN=Cc2ccc([N+](CC)(CC)CC(=O)OCCCCCCCC)cc2)cc1.[Cl-].[Cl-]</t>
  </si>
  <si>
    <t>InChI=1S/C46H76N4O4.2ClH/c1-7-13-15-17-19-20-22-24-36-54-46(52)40-50(11-5,12-6)44-31-27-42(28-32-44)38-48-34-33-47-37-41-25-29-43(30-26-41)49(9-3,10-4)39-45(51)53-35-23-21-18-16-14-8-2;;/h25-32,37-38H,7-24,33-36,39-40H2,1-6H3;2*1H/q+2;;/p-2</t>
  </si>
  <si>
    <t>NDZIZSLADXSFAM-UHFFFAOYSA-L</t>
  </si>
  <si>
    <t>CCCCCCCCCCOC(=O)C[N+](CC)(CC)c1ccc(C=NCCN=Cc2ccc([N+](CC)(CC)CC(=O)OCCCCCCCCCC)cc2)cc1.[Cl-].[Cl-]</t>
  </si>
  <si>
    <t>InChI=1S/C48H80N4O4.2ClH/c1-7-13-15-17-19-21-23-25-37-55-47(53)41-51(9-3,10-4)45-31-27-43(28-32-45)39-49-35-36-50-40-44-29-33-46(34-30-44)52(11-5,12-6)42-48(54)56-38-26-24-22-20-18-16-14-8-2;;/h27-34,39-40H,7-26,35-38,41-42H2,1-6H3;2*1H/q+2;;/p-2</t>
  </si>
  <si>
    <t>XWCFRRGTQZNMFZ-UHFFFAOYSA-L</t>
  </si>
  <si>
    <t>CCCCCCCCCCO[C@H]1[C@H](O)[C@H]([C@@H]([C@H](O1)CO)O[C@@H]2O[C@H]([C@@H]([C@H]([C@@H]2O)O)O)CO)O</t>
  </si>
  <si>
    <t>Decyl-Î²-D-maltoside</t>
  </si>
  <si>
    <t>InChI=1S/C22H42O10/c1-2-3-4-5-6-7-8-9-10-29-17-11-14(25)21(16(13-24)30-17)32-22-20(28)19(27)18(26)15(12-23)31-22/h14-28H,2-13H2,1H3</t>
  </si>
  <si>
    <t>SQTZDOSDQZBWKZ-UHFFFAOYSA-N</t>
  </si>
  <si>
    <t>CCCCCCCCCCOCC(C(C(CO)O)O)O</t>
  </si>
  <si>
    <t>InChI=1S/C15H29O5/c1-2-3-4-5-6-7-8-9-10-19-13-11-12(16)14(17)15(18)20-13/h11-18H,2-10H2,1H3/t12-,13?,14+,15?/m0/s1</t>
  </si>
  <si>
    <t>LXZJYBSPWFVSPM-FGZQJIAISA-N</t>
  </si>
  <si>
    <t>CCCCCCCCCCOCC(CCC[N+](C)(C)C)(CCC[N+](C)(C)C)COCCCCCCCCCC.[I-].[I-]</t>
  </si>
  <si>
    <t>4,4-bis(decyloxymethyl)-N,N,N,N-,,N',N'-hexamethyl-1,7-heptanediammoniumdiiodide</t>
  </si>
  <si>
    <t>InChI=1S/C35H76N2O2.2HI/c1-9-11-13-15-17-19-21-23-31-38-33-35(27-25-29-36(3,4)5,28-26-30-37(6,7)8)34-39-32-24-22-20-18-16-14-12-10-2;;/h9-34H2,1-8H3;2*1H/q+2;;/p-2</t>
  </si>
  <si>
    <t>WCRXRGDYOUZMJA-UHFFFAOYSA-L</t>
  </si>
  <si>
    <t>CCCCCCCCCCOCC(CC[N+](C)(C)C)(CC[N+](C)(C)C)COCCCCCCCCCC.[I-].[I-]</t>
  </si>
  <si>
    <t>3,3-bis(decyloxymethyl)-N,N,N,N',N',N'-hexamethyl-1,5-pentanediammoniumdiiodide</t>
  </si>
  <si>
    <t>InChI=1S/C33H72N2O2.2HI/c1-9-11-13-15-17-19-21-23-29-36-31-33(25-27-34(3,4)5,26-28-35(6,7)8)32-37-30-24-22-20-18-16-14-12-10-2;;/h9-32H2,1-8H3;2*1H/q+2;;/p-2</t>
  </si>
  <si>
    <t>QQDWEBRVVNOULD-UHFFFAOYSA-L</t>
  </si>
  <si>
    <t>CCCCCCCCCCOCC(COCCCCCCCCCC)(COCCC[N+](C)(C)C)COCCC[N+](C)(C)C.[I-].[I-]</t>
  </si>
  <si>
    <t>6,6-bis(decyloxymethyl)-N,N,N,N',N',N'-hexamethyl-4,8-dioxa-1,11-undecanediammoniumdiiodide</t>
  </si>
  <si>
    <t>InChI=1S/C37H80N2O4.2HI/c1-9-11-13-15-17-19-21-23-29-40-33-37(35-42-31-25-27-38(3,4)5,36-43-32-26-28-39(6,7)8)34-41-30-24-22-20-18-16-14-12-10-2;;/h9-36H2,1-8H3;2*1H/q+2;;/p-2</t>
  </si>
  <si>
    <t>GXAWEKIRGJHVFV-UHFFFAOYSA-L</t>
  </si>
  <si>
    <t>CCCCCCCCCCOCC(COCCCCCCCCCC)(COCC[N+](C)(C)C)COCC[N+](C)(C)C.[I-].[I-]</t>
  </si>
  <si>
    <t>5,5-bis(decyloxymethyl)-N,N,N,N',N',N'-hexamethyl-3,7-dioxa-1,9-nonanediammoniumdiiodide</t>
  </si>
  <si>
    <t>InChI=1S/C35H76N2O4.2HI/c1-9-11-13-15-17-19-21-23-27-38-31-35(33-40-29-25-36(3,4)5,34-41-30-26-37(6,7)8)32-39-28-24-22-20-18-16-14-12-10-2;;/h9-34H2,1-8H3;2*1H/q+2;;/p-2</t>
  </si>
  <si>
    <t>JYGAKQLRXHSAKW-UHFFFAOYSA-L</t>
  </si>
  <si>
    <t>CCCCCCCCCCOCC(COCCCCCCCCCC)(C[N+](C)(C)C)C[N+](C)(C)C.[I-].[I-]</t>
  </si>
  <si>
    <t>2,2-bis(decyloxymethyl)-N,N,N,N',N',N'-hexamethyl-1,3-propanediammoniumdiiodide</t>
  </si>
  <si>
    <t>InChI=1S/C31H68N2O2.2HI/c1-9-11-13-15-17-19-21-23-25-34-29-31(27-32(3,4)5,28-33(6,7)8)30-35-26-24-22-20-18-16-14-12-10-2;;/h9-30H2,1-8H3;2*1H/q+2;;/p-2</t>
  </si>
  <si>
    <t>PJDLZJNLZJCGRG-UHFFFAOYSA-L</t>
  </si>
  <si>
    <t>CCCCCCCCCCOCCOCCOCCO</t>
  </si>
  <si>
    <t>2-[2-(2-decoxyethoxy)ethoxy]ethanol</t>
  </si>
  <si>
    <t>InChI=1S/C16H34O4/c1-2-3-4-5-6-7-8-9-11-18-13-15-20-16-14-19-12-10-17/h17H,2-16H2,1H3</t>
  </si>
  <si>
    <t>UKODLHVFJRCQME-UHFFFAOYSA-N</t>
  </si>
  <si>
    <t>2-[2-[2-(2-decoxyethoxy)ethoxy]ethoxy]ethanol</t>
  </si>
  <si>
    <t>InChI=1S/C18H38O5/c1-2-3-4-5-6-7-8-9-11-20-13-15-22-17-18-23-16-14-21-12-10-19/h19H,2-18H2,1H3</t>
  </si>
  <si>
    <t>ASMWIUUCZFNLHL-UHFFFAOYSA-N</t>
  </si>
  <si>
    <t>2-[2-[2-[2-(2-decoxyethoxy)ethoxy]ethoxy]ethoxy]ethanol</t>
  </si>
  <si>
    <t>InChI=1S/C20H42O6/c1-2-3-4-5-6-7-8-9-11-22-13-15-24-17-19-26-20-18-25-16-14-23-12-10-21/h21H,2-20H2,1H3</t>
  </si>
  <si>
    <t>QAXPOSPGRHYIHE-UHFFFAOYSA-N</t>
  </si>
  <si>
    <t>2-(2-(2-(2-(2-(2-decyloxy-ethoxy)-ethoxy)-ethoxy)-ethoxy)-ethoxy)-ethanol</t>
  </si>
  <si>
    <t>InChI=1S/C22H46O7/c1-2-3-4-5-6-7-8-9-11-24-13-15-26-17-19-28-21-22-29-20-18-27-16-14-25-12-10-23/h23H,2-22H2,1H3</t>
  </si>
  <si>
    <t>GLGQRQQFWLTGES-UHFFFAOYSA-N</t>
  </si>
  <si>
    <t>InChI=1S/C26H54O9/c1-2-3-4-5-6-7-8-9-11-28-13-15-30-17-19-32-21-23-34-25-26-35-24-22-33-20-18-31-16-14-29-12-10-27/h27H,2-26H2,1H3</t>
  </si>
  <si>
    <t>UJMHIOBAHVUDGS-UHFFFAOYSA-N</t>
  </si>
  <si>
    <t>CCCCCCCCCCOCCOCCOCCOCCOCCOCCOCCOCCOCCO</t>
  </si>
  <si>
    <t>2-[2-[2-[2-[2-[2-[2-[2-(2-decoxyethoxy)ethoxy]ethoxy]ethoxy]ethoxy]ethoxy]ethoxy]ethoxy]ethanol</t>
  </si>
  <si>
    <t>InChI=1S/C28H58O10/c1-2-3-4-5-6-7-8-9-11-30-13-15-32-17-19-34-21-23-36-25-27-38-28-26-37-24-22-35-20-18-33-16-14-31-12-10-29/h29H,2-28H2,1H3</t>
  </si>
  <si>
    <t>MEPDRUVBZDYVEU-UHFFFAOYSA-N</t>
  </si>
  <si>
    <t>CCCCCCCCCCOCCOCC[N+](C)(C)C.[Br-]</t>
  </si>
  <si>
    <t>InChI=1S/C17H38NO2.BrH/c1-5-6-7-8-9-10-11-12-14-19-16-17-20-15-13-18(2,3)4;/h5-17H2,1-4H3;1H/q+1;/p-1</t>
  </si>
  <si>
    <t>OIKHNPKOAIBUHX-UHFFFAOYSA-M</t>
  </si>
  <si>
    <t>CCCCCCCCCCOCCOCC[N+](C)(C)C.[Cl-]</t>
  </si>
  <si>
    <t>InChI=1S/C17H38NO2.ClH/c1-5-6-7-8-9-10-11-12-14-19-16-17-20-15-13-18(2,3)4;/h5-17H2,1-4H3;1H/q+1;/p-1</t>
  </si>
  <si>
    <t>KXYMTPJDELATFD-UHFFFAOYSA-M</t>
  </si>
  <si>
    <t>CCCCCCCCCCOCCOCC[N+]1=CC=CC=C1.[Cl-]</t>
  </si>
  <si>
    <t>InChI=1S/C19H39NO2.ClH/c1-2-3-4-5-6-7-8-12-16-21-18-19-22-17-15-20-13-10-9-11-14-20;/h2-19H2,1H3;1H/q+1;/p-1</t>
  </si>
  <si>
    <t>XNOKDWAEXPDLBG-UHFFFAOYSA-M</t>
  </si>
  <si>
    <t>CCCCCCCCCCOCCS(=O)(=O)[O-].[Na+]</t>
  </si>
  <si>
    <t>InChI=1S/C12H26O4S.Na/c1-2-3-4-5-6-7-8-9-10-16-11-12-17(13,14)15;/h2-12H2,1H3,(H,13,14,15);/q;+1/p-1</t>
  </si>
  <si>
    <t>WIGYYDGHAYNESW-UHFFFAOYSA-M</t>
  </si>
  <si>
    <t>CCCCCCCCCCOCC[N+](C)(C)C.[Cl-]</t>
  </si>
  <si>
    <t>InChI=1S/C15H34NO.ClH/c1-5-6-7-8-9-10-11-12-14-17-15-13-16(2,3)4;/h5-15H2,1-4H3;1H/q+1;/p-1</t>
  </si>
  <si>
    <t>LWXHFNRBKZEQQY-UHFFFAOYSA-M</t>
  </si>
  <si>
    <t>CCCCCCCCCCOCC[N+]1=CC=CC=C1.[Cl-]</t>
  </si>
  <si>
    <t>InChI=1S/C17H35NO.ClH/c1-2-3-4-5-6-7-8-12-16-19-17-15-18-13-10-9-11-14-18;/h2-17H2,1H3;1H/q+1;/p-1</t>
  </si>
  <si>
    <t>RMDYHTRQUFIYAE-UHFFFAOYSA-M</t>
  </si>
  <si>
    <t>CCCCCCCCCCOOCCOCCOCC</t>
  </si>
  <si>
    <t>InChI=1S/C16H34O4/c1-3-5-6-7-8-9-10-11-12-19-20-16-15-18-14-13-17-4-2/h3-16H2,1-2H3</t>
  </si>
  <si>
    <t>WCQQGOZSTRRWCF-UHFFFAOYSA-N</t>
  </si>
  <si>
    <t>CCCCCCCCCCOOCCOCCOCCOCC</t>
  </si>
  <si>
    <t>InChI=1S/C18H38O5/c1-3-5-6-7-8-9-10-11-12-22-23-18-17-21-16-15-20-14-13-19-4-2/h3-18H2,1-2H3</t>
  </si>
  <si>
    <t>UAAPLLPWTYZPCY-UHFFFAOYSA-N</t>
  </si>
  <si>
    <t>CCCCCCCCCCOOCCOCCOCCOCCOCC</t>
  </si>
  <si>
    <t>InChI=1S/C20H42O6/c1-3-5-6-7-8-9-10-11-12-25-26-20-19-24-18-17-23-16-15-22-14-13-21-4-2/h3-20H2,1-2H3</t>
  </si>
  <si>
    <t>UBNYXUFNSSYEQB-UHFFFAOYSA-N</t>
  </si>
  <si>
    <t>CCCCCCCCCCOOCCOCCOCCOCCOCCOCC</t>
  </si>
  <si>
    <t>InChI=1S/C22H46O7/c1-3-5-6-7-8-9-10-11-12-28-29-22-21-27-20-19-26-18-17-25-16-15-24-14-13-23-4-2/h3-22H2,1-2H3</t>
  </si>
  <si>
    <t>KWZALENJQKZFFS-UHFFFAOYSA-N</t>
  </si>
  <si>
    <t>CCCCCCCCCCOOCCOCCOCCOCCOCCOCCOCC</t>
  </si>
  <si>
    <t>InChI=1S/C24H50O8/c1-3-5-6-7-8-9-10-11-12-31-32-24-23-30-22-21-29-20-19-28-18-17-27-16-15-26-14-13-25-4-2/h3-24H2,1-2H3</t>
  </si>
  <si>
    <t>HQGWVEUVJFRWFU-UHFFFAOYSA-N</t>
  </si>
  <si>
    <t>CCCCCCCCCCOOCCOCCOCCOCCOCCOCCOCCOCC</t>
  </si>
  <si>
    <t>InChI=1S/C26H54O9/c1-3-5-6-7-8-9-10-11-12-34-35-26-25-33-24-23-32-22-21-31-20-19-30-18-17-29-16-15-28-14-13-27-4-2/h3-26H2,1-2H3</t>
  </si>
  <si>
    <t>DZGIAXPPDMPCFL-UHFFFAOYSA-N</t>
  </si>
  <si>
    <t>CCCCCCCCCCOOCCOCCOCCOCCOCCOCCOCCOCCOCC</t>
  </si>
  <si>
    <t>InChI=1S/C28H58O10/c1-3-5-6-7-8-9-10-11-12-37-38-28-27-36-26-25-35-24-23-34-22-21-33-20-19-32-18-17-31-16-15-30-14-13-29-4-2/h3-28H2,1-2H3</t>
  </si>
  <si>
    <t>SYEYJRFMEBEEBS-UHFFFAOYSA-N</t>
  </si>
  <si>
    <t>CCCCCCCCCCOP(=O)([O-])OCC[N+](C)(C)CCCCCCCC</t>
  </si>
  <si>
    <t>InChI=1S/C22H48NO4P/c1-5-7-9-11-13-14-16-18-21-26-28(24,25)27-22-20-23(3,4)19-17-15-12-10-8-6-2/h5-22H2,1-4H3</t>
  </si>
  <si>
    <t>HBLWTIXAXMPDMQ-UHFFFAOYSA-N</t>
  </si>
  <si>
    <t>CCCCCCCCCCOP(=O)([O-])OCC[N+](C)(C)CCCCCCCCCC</t>
  </si>
  <si>
    <t>InChI=1S/C24H52NO4P/c1-5-7-9-11-13-15-17-19-21-25(3,4)22-24-29-30(26,27)28-23-20-18-16-14-12-10-8-6-2/h5-24H2,1-4H3</t>
  </si>
  <si>
    <t>KRXVLBSWJJJWDK-UHFFFAOYSA-N</t>
  </si>
  <si>
    <t>CCCCCCCCCCOS(=O)(=O)[O-].[Na+]</t>
  </si>
  <si>
    <t>sodium-decylsulfate</t>
  </si>
  <si>
    <t>InChI=1S/C10H22O4S.Na/c1-2-3-4-5-6-7-8-9-10-14-15(11,12)13;/h2-10H2,1H3,(H,11,12,13);/q;+1/p-1</t>
  </si>
  <si>
    <t>XZTJQQLJJCXOLP-UHFFFAOYSA-M</t>
  </si>
  <si>
    <t>OC[C@@H]([C@@H]([C@H]([C@@H]1O)O)O)O[C@@H]1OCCCCCCCCCC</t>
  </si>
  <si>
    <t>Decyl-Î²-D-glucoside</t>
  </si>
  <si>
    <t>InChI=1S/C16H32O6/c1-2-3-4-5-6-7-8-9-10-21-16-15(20)14(19)13(18)12(11-17)22-16/h12-20H,2-11H2,1H3/t12-,13-,14+,15-,16-/m1/s1</t>
  </si>
  <si>
    <t>JDRSMPFHFNXQRB-IBEHDNSVSA-N</t>
  </si>
  <si>
    <t>CCCCCCCCCCO[C@@H]1O[C@H](CO)[C@H](O)[C@H](O)[C@H]1O</t>
  </si>
  <si>
    <t>Decyl-Î²-D-galactoside</t>
  </si>
  <si>
    <t>InChI=1S/C16H32O6/c1-2-3-4-5-6-7-8-9-10-21-16-15(20)14(19)13(18)12(11-17)22-16/h12-20H,2-11H2,1H3/t12-,13+,14+,15-,16-/m1/s1</t>
  </si>
  <si>
    <t>JDRSMPFHFNXQRB-LYYZXLFJSA-N</t>
  </si>
  <si>
    <t>CCCCCCCCCCO[C@H]1O[C@H](CO)[C@@H](O)[C@H](O)[C@@H]1O</t>
  </si>
  <si>
    <t>Decyl-Î±-D-mannoside</t>
  </si>
  <si>
    <t>InChI=1S/C16H32O6/c1-2-3-4-5-6-7-8-9-10-21-16-15(20)14(19)13(18)12(11-17)22-16/h12-20H,2-11H2,1H3/t12-,13-,14+,15+,16+/m1/s1</t>
  </si>
  <si>
    <t>JDRSMPFHFNXQRB-OWYFMNJBSA-N</t>
  </si>
  <si>
    <t>CCCCCCCCCCOc1ccc(C[n+]2ccn(C)c2)cc1.[Br-]</t>
  </si>
  <si>
    <t>InChI=1S/C21H33N2O.BrH/c1-3-4-5-6-7-8-9-10-17-24-21-13-11-20(12-14-21)18-23-16-15-22(2)19-23;/h11-16,19H,3-10,17-18H2,1-2H3;1H/q+1;/p-1</t>
  </si>
  <si>
    <t>SNXRIXBCHFSJKM-UHFFFAOYSA-M</t>
  </si>
  <si>
    <t>CCCCCCCCCCOc1ccc(C[n+]2ccn(CCCCCCn3cc[n+](Cc4ccc(OCCCCCCCCCC)cc4)c3)c2)cc1.[Br-].[Br-]</t>
  </si>
  <si>
    <t>InChI=1S/C46H72N4O2.2BrH/c1-3-5-7-9-11-13-17-21-37-51-45-27-23-43(24-28-45)39-49-35-33-47(41-49)31-19-15-16-20-32-48-34-36-50(42-48)40-44-25-29-46(30-26-44)52-38-22-18-14-12-10-8-6-4-2;;/h23-30,33-36,41-42H,3-22,31-32,37-40H2,1-2H3;2*1H/q+2;;/p-2</t>
  </si>
  <si>
    <t>ZFGYXBQRZKQFQD-UHFFFAOYSA-L</t>
  </si>
  <si>
    <t>CCCCCCCCCCOc1ccc(C[n+]2ccn(CCCn3cc[n+](Cc4ccc(OCCCCCCCCCC)cc4)c3)c2)cc1.[Br-].[Br-]</t>
  </si>
  <si>
    <t>InChI=1S/C43H66N4O2.2BrH/c1-3-5-7-9-11-13-15-17-34-48-42-24-20-40(21-25-42)36-46-32-30-44(38-46)28-19-29-45-31-33-47(39-45)37-41-22-26-43(27-23-41)49-35-18-16-14-12-10-8-6-4-2;;/h20-27,30-33,38-39H,3-19,28-29,34-37H2,1-2H3;2*1H/q+2;;/p-2</t>
  </si>
  <si>
    <t>UCYKSBMEHHNAOE-UHFFFAOYSA-L</t>
  </si>
  <si>
    <t>CCCCCCCCCCOc1ccc(NC(=O)C[N+](C)(C)CCCCCC[N+](C)(C)CC(=O)Nc2ccc(OCCCCCCCCCC)cc2)cc1.[Br-].[Br-]</t>
  </si>
  <si>
    <t>N,N,Nâ€²,Nâ€²-tetramethyldecylenediaminewith2-bromo-N-(4-(hexyloxy)phenyl)acetamide</t>
  </si>
  <si>
    <t>InChI=1S/C46H78N4O4.2BrH/c1-7-9-11-13-15-17-21-25-37-53-43-31-27-41(28-32-43)47-45(51)39-49(3,4)35-23-19-20-24-36-50(5,6)40-46(52)48-42-29-33-44(34-30-42)54-38-26-22-18-16-14-12-10-8-2;;/h27-34H,7-26,35-40H2,1-6H3;2*1H</t>
  </si>
  <si>
    <t>IGNFRRIXMZTSSQ-UHFFFAOYSA-N</t>
  </si>
  <si>
    <t>CCCCCCCCCCOc1ccc(NC(=O)C[N+](C)(C)CCCC[N+](C)(C)CC(=O)Nc2ccc(OCCCCCCCCCC)cc2)cc1.[Br-].[Br-]</t>
  </si>
  <si>
    <t>N,N,Nâ€²,Nâ€²-tetramethyldecylenediaminewith2-bromo-N-(4-(butyloxy)phenyl)acetamide</t>
  </si>
  <si>
    <t>InChI=1S/C44H74N4O4.2BrH/c1-7-9-11-13-15-17-19-23-35-51-41-29-25-39(26-30-41)45-43(49)37-47(3,4)33-21-22-34-48(5,6)38-44(50)46-40-27-31-42(32-28-40)52-36-24-20-18-16-14-12-10-8-2;;/h25-32H,7-24,33-38H2,1-6H3;2*1H</t>
  </si>
  <si>
    <t>JBCJYDSUMJPTPY-UHFFFAOYSA-N</t>
  </si>
  <si>
    <t>CCCCCCCCCCOc1ccc(NC(=O)C[N+](C)(C)CC[N+](C)(C)CC(=O)Nc2ccc(OCCCCCCCCCC)cc2)cc1.[Br-].[Br-]</t>
  </si>
  <si>
    <t>N,N,Nâ€²,Nâ€²-tetramethyldecylenediaminewith2-bromo-N-(4-(ethyloxy)phenyl)acetamide</t>
  </si>
  <si>
    <t>InChI=1S/C42H70N4O4.2BrH/c1-7-9-11-13-15-17-19-21-33-49-39-27-23-37(24-28-39)43-41(47)35-45(3,4)31-32-46(5,6)36-42(48)44-38-25-29-40(30-26-38)50-34-22-20-18-16-14-12-10-8-2;;/h23-30H,7-22,31-36H2,1-6H3;2*1H</t>
  </si>
  <si>
    <t>WXSGKVVLFNAKPW-UHFFFAOYSA-N</t>
  </si>
  <si>
    <t>CCCCCCCCCCOc1c[n+](CC(C[n+]2cc(OCCCCCCCCCC)ccc2)O)ccc1.[Br-].[Br-]</t>
  </si>
  <si>
    <t>InChI=1S/C33H56N2O3/c1-3-5-7-9-11-13-15-17-25-37-32-21-19-23-34(29-32)27-31(36)28-35-24-20-22-33(30-35)38-26-18-16-14-12-10-8-6-4-2/h19-24,29-31,36H,3-18,25-28H2,1-2H3/q+2</t>
  </si>
  <si>
    <t>CUCPLBNSAUWBOS-UHFFFAOYSA-N</t>
  </si>
  <si>
    <t>CCCCCCCCCCOc1ccc[n+](CC(O)C[n+]2cccc(OCCCCCCCCCC)c2)c1.[Br-].[Br-]</t>
  </si>
  <si>
    <t>InChI=1S/C33H56N2O3.2BrH/c1-3-5-7-9-11-13-15-17-25-37-32-21-19-23-34(29-32)27-31(36)28-35-24-20-22-33(30-35)38-26-18-16-14-12-10-8-6-4-2;;/h19-24,29-31,36H,3-18,25-28H2,1-2H3;2*1H/q+2;;/p-2</t>
  </si>
  <si>
    <t>TVKWNOQVWOTHFF-UHFFFAOYSA-L</t>
  </si>
  <si>
    <t>CCCCCCCCCCS(=O)(=O)[O-].[Na+]</t>
  </si>
  <si>
    <t>sodium-decane-1-sulfonate</t>
  </si>
  <si>
    <t>InChI=1S/C10H22O3S.Na/c1-2-3-4-5-6-7-8-9-10-14(11,12)13;/h2-10H2,1H3,(H,11,12,13);/q;+1/p-1</t>
  </si>
  <si>
    <t>AIMUHNZKNFEZSN-UHFFFAOYSA-M</t>
  </si>
  <si>
    <t>CCCCCCCCCCSC[C@@H]1OC([C@@H]([C@H]1O)O)=O</t>
  </si>
  <si>
    <t>10.1016/j.jcis.2004.01.020</t>
  </si>
  <si>
    <t>S-decyl5-thio-D-arabinonolactone</t>
  </si>
  <si>
    <t>InChI=1S/C15H28O5S/c1-2-3-4-5-6-7-8-9-10-21-15(19)13-11(16)12(17)14(18)20-13/h11-13,15-17,19H,2-10H2,1H3/t11-,12-,13-,15?/m0/s1</t>
  </si>
  <si>
    <t>VBJAKFBJKVGNPD-BOEIJXPTSA-N</t>
  </si>
  <si>
    <t>O=C([C@H]([C@@H]1O)O)O[C@H]1CSCCCCCCCCCC</t>
  </si>
  <si>
    <t>S-decyl5-thio-D-xylonolactone</t>
  </si>
  <si>
    <t>InChI=1S/C15H28O5S/c1-2-3-4-5-6-7-8-9-10-21-15-13(18)11(16)12(17)14(19)20-15/h11-13,15-18H,2-10H2,1H3/t11-,12-,13+,15?/m1/s1</t>
  </si>
  <si>
    <t>HFMBGCHVTCEAJT-DPORPMIOSA-N</t>
  </si>
  <si>
    <t>O[C@@H]([C@H](O)CSCCCCCCCCCC)[C@@H](O)CO</t>
  </si>
  <si>
    <t>S-decyl1-thio-L-xylitol</t>
  </si>
  <si>
    <t>InChI=1S/C15H32O4S/c1-2-3-4-5-6-7-8-9-10-20-12-14(18)15(19)13(17)11-16/h13-19H,2-12H2,1H3/t13-,14-,15+/m0/s1</t>
  </si>
  <si>
    <t>HNRZVFWASHMFMR-SOUVJXGZSA-N</t>
  </si>
  <si>
    <t>CCCCCCCCCC[N+](C)(C)C.[Br-]</t>
  </si>
  <si>
    <t>['10.1016/j.colsurfa.2014.06.019', '10.1021/acs.jpcb.1c05264', '10.1016/j.colsurfa.2014.06.019']</t>
  </si>
  <si>
    <t>10.1021/je201107a</t>
  </si>
  <si>
    <t>decyl(trimethyl)ammonium-bromide</t>
  </si>
  <si>
    <t>InChI=1S/C13H30N.BrH/c1-5-6-7-8-9-10-11-12-13-14(2,3)4;/h5-13H2,1-4H3;1H/q+1;/p-1</t>
  </si>
  <si>
    <t>PLMFYJJFUUUCRZ-UHFFFAOYSA-M</t>
  </si>
  <si>
    <t>CCCCCCCCCC[N+](C)(C)C.[Cl-]</t>
  </si>
  <si>
    <t>['10.1016/0021-9797(76)90178-8', '10.1021/acs.jpcb.1c05264']</t>
  </si>
  <si>
    <t>decyl(trimethyl)azanium-chloride</t>
  </si>
  <si>
    <t>InChI=1S/C13H30N.ClH/c1-5-6-7-8-9-10-11-12-13-14(2,3)4;/h5-13H2,1-4H3;1H/q+1;/p-1</t>
  </si>
  <si>
    <t>HXWGXXDEYMNGCT-UHFFFAOYSA-M</t>
  </si>
  <si>
    <t>CCCCCCCCCC[N+](C)(C)CC#CC[N+](C)(C)CCCCCCCCCC.[Br-].[Br-]</t>
  </si>
  <si>
    <t>InChI=1S/C28H58N2.2BrH/c1-7-9-11-13-15-17-19-21-25-29(3,4)27-23-24-28-30(5,6)26-22-20-18-16-14-12-10-8-2;;/h7-22,25-28H2,1-6H3;2*1H/q+2;;/p-2</t>
  </si>
  <si>
    <t>HLDRPGICUHOYSC-UHFFFAOYSA-L</t>
  </si>
  <si>
    <t>CCCCCCCCCC[N+](C)(C)CC(=O)COCCOCC(=O)C[N+](C)(C)CCCCCCCCCC.[Br-].[Br-]</t>
  </si>
  <si>
    <t>Î±,Ï‰-Bis(decyldimethylammoniomethyl)trioxyethyleneglycoldibromide</t>
  </si>
  <si>
    <t>InChI=1S/C32H66N2O4.2BrH/c1-7-9-11-13-15-17-19-21-23-33(3,4)27-31(35)29-37-25-26-38-30-32(36)28-34(5,6)24-22-20-18-16-14-12-10-8-2;;/h7-30H2,1-6H3;2*1H/q+2;;/p-2</t>
  </si>
  <si>
    <t>YFZWMBAPCKZSHA-UHFFFAOYSA-L</t>
  </si>
  <si>
    <t>CCCCCCCCCC[N+](C)(C)CC(=O)OCCN(CCOC(=O)C[N+](C)(C)CCCCCCCCCC)CCOC(=O)C[N+](C)(C)CCCCCCCCCC.[Br-].[Br-].[Br-]</t>
  </si>
  <si>
    <t>Triethanolaminetris(dimethyldecylammonioacetate),tribromide</t>
  </si>
  <si>
    <t>InChI=1S/C48H99N4O6.3BrH/c1-10-13-16-19-22-25-28-31-37-50(4,5)43-46(53)56-40-34-49(35-41-57-47(54)44-51(6,7)38-32-29-26-23-20-17-14-11-2)36-42-58-48(55)45-52(8,9)39-33-30-27-24-21-18-15-12-3;;;/h10-45H2,1-9H3;3*1H/q+3;;;/p-3</t>
  </si>
  <si>
    <t>DPSBKXAHWTVLEG-UHFFFAOYSA-K</t>
  </si>
  <si>
    <t>CCCCCCCCCC[N+](C)(C)CC(=O)[O-]</t>
  </si>
  <si>
    <t>2-[decyl(dimethyl)azaniumyl]acetate</t>
  </si>
  <si>
    <t>InChI=1S/C14H29NO2/c1-4-5-6-7-8-9-10-11-12-15(2,3)13-14(16)17/h4-13H2,1-3H3</t>
  </si>
  <si>
    <t>NPKLJZUIYWRNMV-UHFFFAOYSA-N</t>
  </si>
  <si>
    <t>CCCCCCCCCC[N+](C)(C)CC(O)C(O)C[N+](C)(C)CCCCCCCCCC.[Br-].[Br-]</t>
  </si>
  <si>
    <t>InChI=1S/C28H62N2O2.2BrH/c1-7-9-11-13-15-17-19-21-23-29(3,4)25-27(31)28(32)26-30(5,6)24-22-20-18-16-14-12-10-8-2;;/h27-28,31-32H,7-26H2,1-6H3;2*1H/q+2;;/p-2</t>
  </si>
  <si>
    <t>HAAVOLOUAYLBRL-UHFFFAOYSA-L</t>
  </si>
  <si>
    <t>CCCCCCCCCC[N+](C)(C)CC(O)CC(O)[N+](C)(C)CCCCCCCCCC.[Br-].[Br-]</t>
  </si>
  <si>
    <t>InChI=1S/C28H62N2O2.2BrH/c1-7-9-11-13-15-17-19-21-23-29(3,4)26-27(31)25-28(32)30(5,6)24-22-20-18-16-14-12-10-8-2;;/h27-28,31-32H,7-26H2,1-6H3;2*1H/q+2;;/p-2</t>
  </si>
  <si>
    <t>NTDPQGGCKJUENH-UHFFFAOYSA-L</t>
  </si>
  <si>
    <t>CCCCCCCCCC[N+](C)(C)CC(O)COCCOCC(O)C[N+](C)(C)CCCCCCCCCC.[Br-].[Br-]</t>
  </si>
  <si>
    <t>InChI=1S/C32H70N2O4.2BrH/c1-7-9-11-13-15-17-19-21-23-33(3,4)27-31(35)29-37-25-26-38-30-32(36)28-34(5,6)24-22-20-18-16-14-12-10-8-2;;/h31-32,35-36H,7-30H2,1-6H3;2*1H/q+2;;/p-2</t>
  </si>
  <si>
    <t>WYIABFLIJGQWFQ-UHFFFAOYSA-L</t>
  </si>
  <si>
    <t>CCCCCCCCCC[N+](C)(C)CC(O)COCCOCCOCC(O)C[N+](C)(C)CCCCCCCCCC.[Br-].[Br-]</t>
  </si>
  <si>
    <t>Î±,Ï‰-Bis(decyldimethylammoniomethyl)tetraoxyethyleneglycoldibromide</t>
  </si>
  <si>
    <t>InChI=1S/C34H74N2O5.2BrH/c1-7-9-11-13-15-17-19-21-23-35(3,4)29-33(37)31-40-27-25-39-26-28-41-32-34(38)30-36(5,6)24-22-20-18-16-14-12-10-8-2;;/h33-34,37-38H,7-32H2,1-6H3;2*1H/q+2;;/p-2</t>
  </si>
  <si>
    <t>BKQQPYNIRSEVKI-UHFFFAOYSA-L</t>
  </si>
  <si>
    <t>CCCCCCCCCC[N+](C)(C)CC(O)COCCOCCOCCOCC(O)C[N+](C)(C)CCCCCCCCCC.[Br-].[Br-]</t>
  </si>
  <si>
    <t>Î±,Ï‰-Bis(decyldimethylammoniomethyl)pentaoxyethyleneglycoldibromide</t>
  </si>
  <si>
    <t>InChI=1S/C36H78N2O6.2BrH/c1-7-9-11-13-15-17-19-21-23-37(3,4)31-35(39)33-43-29-27-41-25-26-42-28-30-44-34-36(40)32-38(5,6)24-22-20-18-16-14-12-10-8-2;;/h35-36,39-40H,7-34H2,1-6H3;2*1H/q+2;;/p-2</t>
  </si>
  <si>
    <t>NEPVCJGIQRFENK-UHFFFAOYSA-L</t>
  </si>
  <si>
    <t>CCCCCCCCCC[N+](C)(C)CC(O)C[N+](C)(C)CCCCCCCCCC.[Cl-].[Cl-]</t>
  </si>
  <si>
    <t>bis-decyldimethylammoniumsalt</t>
  </si>
  <si>
    <t>InChI=1S/C27H60N2O.2ClH/c1-7-9-11-13-15-17-19-21-23-28(3,4)25-27(30)26-29(5,6)24-22-20-18-16-14-12-10-8-2;;/h27,30H,7-26H2,1-6H3;2*1H/q+2;;/p-2</t>
  </si>
  <si>
    <t>WQHOLQNBJWMURG-UHFFFAOYSA-L</t>
  </si>
  <si>
    <t>CCCCCCCCCC[N+](C)(C)CCC/N=C/c1ccc(OC)c(OC)c1.[Br-]</t>
  </si>
  <si>
    <t>InChI=1S/C24H43N2O2.BrH/c1-6-7-8-9-10-11-12-13-18-26(2,3)19-14-17-25-21-22-15-16-23(27-4)24(20-22)28-5;/h15-16,20-21H,6-14,17-19H2,1-5H3;1H/q+1;/p-1/b25-21+;</t>
  </si>
  <si>
    <t>SCOHURFZKXHGHX-JMFMGIQESA-M</t>
  </si>
  <si>
    <t>CCCCCCCCCCCC[N+](C)(CCCC([O-])=O)C</t>
  </si>
  <si>
    <t>4-[decyl(dimethyl)azaniumyl]butanoate</t>
  </si>
  <si>
    <t>InChI=1S/C16H33NO2/c1-4-5-6-7-8-9-10-11-14-17(2,3)15-12-13-16(18)19/h4-15H2,1-3H3</t>
  </si>
  <si>
    <t>MWSMCODOBWFKNT-UHFFFAOYSA-N</t>
  </si>
  <si>
    <t>CCCCCCCCCCCC[N+](C)(CCCCCC([O-])=O)C</t>
  </si>
  <si>
    <t>InChI=1S/C18H37NO2/c1-4-5-6-7-8-9-10-13-16-19(2,3)17-14-11-12-15-18(20)21/h4-17H2,1-3H3</t>
  </si>
  <si>
    <t>NMQPBQYSQVJGCP-UHFFFAOYSA-N</t>
  </si>
  <si>
    <t>CCCCCCCCCCCC[N+](C)(CCCCCCCC([O-])=O)C</t>
  </si>
  <si>
    <t>InChI=1S/C20H41NO2/c1-4-5-6-7-8-9-12-15-18-21(2,3)19-16-13-10-11-14-17-20(22)23/h4-19H2,1-3H3</t>
  </si>
  <si>
    <t>WOLQYCLAJJYNOF-UHFFFAOYSA-N</t>
  </si>
  <si>
    <t>['10.1021/acs.jpcb.1c05264', '10.1016/j.colsurfa.2010.02.004', '10.1021/acs.jpcb.1c05264', '10.1002/9781118228920.ch3', '10.1016/j.colsurfa.2010.02.004']</t>
  </si>
  <si>
    <t>didecyl(dimethyl)azanium-bromide</t>
  </si>
  <si>
    <t>InChI=1S/C22H48N.BrH/c1-5-7-9-11-13-15-17-19-21-23(3,4)22-20-18-16-14-12-10-8-6-2;/h5-22H2,1-4H3;1H/q+1;/p-1</t>
  </si>
  <si>
    <t>UMGXUWVIJIQANV-UHFFFAOYSA-M</t>
  </si>
  <si>
    <t>CCCCCCCCCC[N+](C)(C)CCCCCCCCCC.[Cl-]</t>
  </si>
  <si>
    <t>10.1007/s11743-015-1705-7</t>
  </si>
  <si>
    <t>InChI=1S/C22H48N.ClH/c1-5-7-9-11-13-15-17-19-21-23(3,4)22-20-18-16-14-12-10-8-6-2;/h5-22H2,1-4H3;1H/q+1;/p-1</t>
  </si>
  <si>
    <t>RUPBZQFQVRMKDG-UHFFFAOYSA-M</t>
  </si>
  <si>
    <t>CCCCCCCCCC[N+](C)(C)CCCCCCCCCCCC[N+](C)(C)CCCCCCCCCC.[Br-].[Br-]</t>
  </si>
  <si>
    <t>InChI=1S/C36H78N2.2BrH/c1-7-9-11-13-15-21-25-29-33-37(3,4)35-31-27-23-19-17-18-20-24-28-32-36-38(5,6)34-30-26-22-16-14-12-10-8-2;;/h7-36H2,1-6H3;2*1H/q+2;;/p-2</t>
  </si>
  <si>
    <t>PRIZFLYJVITCHB-UHFFFAOYSA-L</t>
  </si>
  <si>
    <t>CCCCCCCCCC[N+](C)(C)CCCCCCCCCC[N+](C)(C)CCCCCCCCCC.[Br-].[Br-]</t>
  </si>
  <si>
    <t>InChI=1S/C34H74N2.2BrH/c1-7-9-11-13-15-19-23-27-31-35(3,4)33-29-25-21-17-18-22-26-30-34-36(5,6)32-28-24-20-16-14-12-10-8-2;;/h7-34H2,1-6H3;2*1H/q+2;;/p-2</t>
  </si>
  <si>
    <t>JWHGXJPDQPJVOF-UHFFFAOYSA-L</t>
  </si>
  <si>
    <t>CCCCCCCCCC[N+](C)(C)CCCCCCCC[N+](C)(C)CCCCCCCCCC.[Br-].[Br-]</t>
  </si>
  <si>
    <t>InChI=1S/C32H70N2.2BrH/c1-7-9-11-13-15-17-21-25-29-33(3,4)31-27-23-19-20-24-28-32-34(5,6)30-26-22-18-16-14-12-10-8-2;;/h7-32H2,1-6H3;2*1H/q+2;;/p-2</t>
  </si>
  <si>
    <t>PPUZBTJOZWCZDG-UHFFFAOYSA-L</t>
  </si>
  <si>
    <t>CCCCCCCCCC[N+](C)(C)CCCCCC[N+](C)(C)CCCCCCCCCC.[Br-].[Br-]</t>
  </si>
  <si>
    <t>decyl-[6-[decyl(dimethyl)azaniumyl]hexyl]-dimethylazanium-dibromide</t>
  </si>
  <si>
    <t>InChI=1S/C30H66N2.2BrH/c1-7-9-11-13-15-17-19-23-27-31(3,4)29-25-21-22-26-30-32(5,6)28-24-20-18-16-14-12-10-8-2;;/h7-30H2,1-6H3;2*1H/q+2;;/p-2</t>
  </si>
  <si>
    <t>OFVAMZZCDNKNCO-UHFFFAOYSA-L</t>
  </si>
  <si>
    <t>CCCCCCCCCC[N+](C)(C)CCCCC[N+](C)(C)CCCCCCCCCC.[Br-].[Br-]</t>
  </si>
  <si>
    <t>N,N'-bis(decyldimethyl)-3-methyl-1,5-pentanediammoniumdibromide</t>
  </si>
  <si>
    <t>InChI=1S/C29H64N2.2BrH/c1-7-9-11-13-15-17-19-22-26-30(3,4)28-24-21-25-29-31(5,6)27-23-20-18-16-14-12-10-8-2;;/h7-29H2,1-6H3;2*1H/q+2;;/p-2</t>
  </si>
  <si>
    <t>OPJXUWGAWCDVHV-UHFFFAOYSA-L</t>
  </si>
  <si>
    <t>CCCCCCCCCC[N+](C)(C)CCCCNC[N+](C)(C)CCCCCCCCCC.[Br-].[Br-]</t>
  </si>
  <si>
    <t>InChI=1S/C29H65N3.2BrH/c1-7-9-11-13-15-17-19-22-26-31(3,4)27-24-21-25-30-29-32(5,6)28-23-20-18-16-14-12-10-8-2;;/h30H,7-29H2,1-6H3;2*1H/q+2;;/p-2</t>
  </si>
  <si>
    <t>UEZDPLKEJXZHGG-UHFFFAOYSA-L</t>
  </si>
  <si>
    <t>CCCCCCCCCC[N+](C)(C)CCCCO[N+](C)(C)CCCCCCCCCC.[Br-].[Br-]</t>
  </si>
  <si>
    <t>InChI=1S/C28H62N2O.2BrH/c1-7-9-11-13-15-17-19-21-25-29(3,4)26-23-24-28-31-30(5,6)27-22-20-18-16-14-12-10-8-2;;/h7-28H2,1-6H3;2*1H/q+2;;/p-2</t>
  </si>
  <si>
    <t>XTRPCYOHPUAVNX-UHFFFAOYSA-L</t>
  </si>
  <si>
    <t>CCCCCCCCCC[N+](C)(C)CCCC[N+](C)(C)CCCCCCCCCC.[Br-].[Br-]</t>
  </si>
  <si>
    <t>InChI=1S/C28H62N2.2BrH/c1-7-9-11-13-15-17-19-21-25-29(3,4)27-23-24-28-30(5,6)26-22-20-18-16-14-12-10-8-2;;/h7-28H2,1-6H3;2*1H/q+2;;/p-2</t>
  </si>
  <si>
    <t>HKAKXBFSZZJPGZ-UHFFFAOYSA-L</t>
  </si>
  <si>
    <t>CCCCCCCCCC[N+](C)(C)CCCC[N+](C)(C)CCCCCCCCCC.[Cl-].[Cl-]</t>
  </si>
  <si>
    <t>InChI=1S/C28H62N2.2ClH/c1-7-9-11-13-15-17-19-21-25-29(3,4)27-23-24-28-30(5,6)26-22-20-18-16-14-12-10-8-2;;/h7-28H2,1-6H3;2*1H/q+2;;/p-2</t>
  </si>
  <si>
    <t>HTGZJDITPPNKBM-UHFFFAOYSA-L</t>
  </si>
  <si>
    <t>CCCCCCCCCC[N+](C)(C)CCCN=Cc1ccccc1.[Br-]</t>
  </si>
  <si>
    <t>InChI=1S/C22H39N2.BrH/c1-4-5-6-7-8-9-10-14-19-24(2,3)20-15-18-23-21-22-16-12-11-13-17-22;/h11-13,16-17,21H,4-10,14-15,18-20H2,1-3H3;1H/q+1;/p-1</t>
  </si>
  <si>
    <t>KCKCGGVSGFJBDG-UHFFFAOYSA-M</t>
  </si>
  <si>
    <t>CCCCCCCCCC[N+](C)(CCCNC(N(C)C)=[NH2+])C.[Br-].[Br-]</t>
  </si>
  <si>
    <t>InChI=1S/C18H40N4.2BrH/c1-6-7-8-9-10-11-12-13-16-22(4,5)17-14-15-20-18(19)21(2)3;;/h20H,6-17H2,1-5H3;2*1H/q+2;;/p-2</t>
  </si>
  <si>
    <t>FPIHPFQKFWBGGZ-UHFFFAOYSA-L</t>
  </si>
  <si>
    <t>CCCCCCCCCC[N+](C)(C)CCC[N+](C)(C)CCCCCCCCCC.[Br-].[Br-]</t>
  </si>
  <si>
    <t>InChI=1S/C27H60N2.2BrH/c1-7-9-11-13-15-17-19-21-24-28(3,4)26-23-27-29(5,6)25-22-20-18-16-14-12-10-8-2;;/h7-27H2,1-6H3;2*1H/q+2;;/p-2</t>
  </si>
  <si>
    <t>OHQQUTGXZQNCNN-UHFFFAOYSA-L</t>
  </si>
  <si>
    <t>CCCCCCCCCC[N+](C)(C)CCN(CCC(=O)NCCN(CCC(=O)OC)CCC(=O)OC)CCC(=O)NCCN(CCC(=O)OC)CCC(=O)OC.[Br-]</t>
  </si>
  <si>
    <t>InChI=1S/C40H76N6O10.BrH/c1-8-9-10-11-12-13-14-15-33-46(2,3)34-32-45(24-16-35(47)41-22-30-43(26-18-37(49)53-4)27-19-38(50)54-5)25-17-36(48)42-23-31-44(28-20-39(51)55-6)29-21-40(52)56-7;/h8-34H2,1-7H3,(H-,41,42,47,48);1H</t>
  </si>
  <si>
    <t>ZQDLALDQCSXKCQ-UHFFFAOYSA-N</t>
  </si>
  <si>
    <t>CCCCCCCCCC[N+](C)(C)CCN(CCC(=O)OC)CCC(=O)OC.[Br-]</t>
  </si>
  <si>
    <t>InChI=1S/C22H45N2O4.BrH/c1-6-7-8-9-10-11-12-13-19-24(2,3)20-18-23(16-14-21(25)27-4)17-15-22(26)28-5;/h6-20H2,1-5H3;1H/q+1;/p-1</t>
  </si>
  <si>
    <t>ZTBGUYCJZPKYJW-UHFFFAOYSA-M</t>
  </si>
  <si>
    <t>CCCCCCCCCC[N+](C)(C)CCN(CC[N+](C)(C)CCCCCCCCCC)CC[N+](C)(C)CCCCCCCCCC.[Br-].[Br-].[Br-]</t>
  </si>
  <si>
    <t>Tris(N-decyl-N,N-dimethyl-2-ammoniumethyl)-amineBromide</t>
  </si>
  <si>
    <t>InChI=1S/C42H93N4.3BrH/c1-10-13-16-19-22-25-28-31-37-44(4,5)40-34-43(35-41-45(6,7)38-32-29-26-23-20-17-14-11-2)36-42-46(8,9)39-33-30-27-24-21-18-15-12-3;;;/h10-42H2,1-9H3;3*1H/q+3;;;/p-3</t>
  </si>
  <si>
    <t>CPMKLJYSKDMZQQ-UHFFFAOYSA-K</t>
  </si>
  <si>
    <t>CCCCCCCCCC[N+](C)(C)CCOC(=O)CCC(=O)OCC[N+](C)(C)CCCCCCCCCC.[Cl-].[Cl-]</t>
  </si>
  <si>
    <t>InChI=1S/C32H66N2O4.2ClH/c1-7-9-11-13-15-17-19-21-25-33(3,4)27-29-37-31(35)23-24-32(36)38-30-28-34(5,6)26-22-20-18-16-14-12-10-8-2;;/h7-30H2,1-6H3;2*1H/q+2;;/p-2</t>
  </si>
  <si>
    <t>YNVQMZGFLPAPKG-UHFFFAOYSA-L</t>
  </si>
  <si>
    <t>CCCCCCCCCC[N+](C)(C)CCOC(=O)CCCCCCC(=O)OCC[N+](C)(C)CCCCCCCCCC.[Cl-].[Cl-]</t>
  </si>
  <si>
    <t>InChI=1S/C36H74N2O4.2ClH/c1-7-9-11-13-15-17-21-25-29-37(3,4)31-33-41-35(39)27-23-19-20-24-28-36(40)42-34-32-38(5,6)30-26-22-18-16-14-12-10-8-2;;/h7-34H2,1-6H3;2*1H/q+2;;/p-2</t>
  </si>
  <si>
    <t>SJHQZHWWNNOLFG-UHFFFAOYSA-L</t>
  </si>
  <si>
    <t>CCCCCCCCCC[N+](C)(C)CCOCC[N+](C)(C)CCCCCCCCCC.[Br-].[Br-]</t>
  </si>
  <si>
    <t>['10.1016/j.crci.2019.04.002', '10.1016/0021-9797(86)90417-0', '10.1016/0021-9797(86)90417-0']</t>
  </si>
  <si>
    <t>N,N'-bis(decyldimethyl)-3-O-1,5-pentanediammoniumdibromide</t>
  </si>
  <si>
    <t>InChI=1S/C28H62N2O.2BrH/c1-7-9-11-13-15-17-19-21-23-29(3,4)25-27-31-28-26-30(5,6)24-22-20-18-16-14-12-10-8-2;;/h7-28H2,1-6H3;2*1H/q+2;;/p-2</t>
  </si>
  <si>
    <t>QFKRPPJCUCNUAD-UHFFFAOYSA-L</t>
  </si>
  <si>
    <t>CCCCCCCCCC[N+](C)(C)CCOP(=O)([O-])OCCCCCCCC</t>
  </si>
  <si>
    <t>InChI=1S/C22H48NO4P/c1-5-7-9-11-13-14-15-17-19-23(3,4)20-22-27-28(24,25)26-21-18-16-12-10-8-6-2/h5-22H2,1-4H3</t>
  </si>
  <si>
    <t>YYUCXXGQJKLFHP-UHFFFAOYSA-N</t>
  </si>
  <si>
    <t>CCCCCCCCCC[N+](C)(C)CCOc1ccc(C=NNC(=O)C(=O)NN=Cc2ccc(OCC[N+](C)(C)CCCCCCCCCC)cc2)cc1.[Cl-].[Cl-]</t>
  </si>
  <si>
    <t>InChI=1S/C44H72N6O4.2ClH/c1-7-9-11-13-15-17-19-21-31-49(3,4)33-35-53-41-27-23-39(24-28-41)37-45-47-43(51)44(52)48-46-38-40-25-29-42(30-26-40)54-36-34-50(5,6)32-22-20-18-16-14-12-10-8-2;;/h23-30,37-38H,7-22,31-36H2,1-6H3;2*1H</t>
  </si>
  <si>
    <t>UANQQVNQFYPKJB-UHFFFAOYSA-N</t>
  </si>
  <si>
    <t>CCCCCCCCCC[N+](C)(C)CCSCC[N+](C)(C)CCCCCCCCCC.[Br-].[Br-]</t>
  </si>
  <si>
    <t>N,N'-bis(decyldimethyl)-3-S-1,5-pentanediammoniumdibromide</t>
  </si>
  <si>
    <t>InChI=1S/C28H62N2S.2BrH/c1-7-9-11-13-15-17-19-21-23-29(3,4)25-27-31-28-26-30(5,6)24-22-20-18-16-14-12-10-8-2;;/h7-28H2,1-6H3;2*1H/q+2;;/p-2</t>
  </si>
  <si>
    <t>JEZSSGCFGCIZBZ-UHFFFAOYSA-L</t>
  </si>
  <si>
    <t>CCCCCCCCCC[N+](C)(C)CC[N+](C)(C)CCCCCCCCCC.[Br-].[Br-]</t>
  </si>
  <si>
    <t>InChI=1S/C26H58N2.2BrH/c1-7-9-11-13-15-17-19-21-23-27(3,4)25-26-28(5,6)24-22-20-18-16-14-12-10-8-2;;/h7-26H2,1-6H3;2*1H/q+2;;/p-2</t>
  </si>
  <si>
    <t>PHENWYHGWCTCFW-UHFFFAOYSA-L</t>
  </si>
  <si>
    <t>CCCCCCCCCC[N+](C)(C)CC[N+](C)(CCCCCCCCCC)CC[N+](C)(C)CCCCCCCCCC.[Br-].[Br-].[Br-]</t>
  </si>
  <si>
    <t>1,2,3-tris(decacyldimethylammonio)ethanetribromide</t>
  </si>
  <si>
    <t>InChI=1S/C39H86N3.3BrH/c1-9-12-15-18-21-24-27-30-33-40(4,5)36-38-42(8,35-32-29-26-23-20-17-14-11-3)39-37-41(6,7)34-31-28-25-22-19-16-13-10-2;;;/h9-39H2,1-8H3;3*1H/q+3;;;/p-3</t>
  </si>
  <si>
    <t>DEJZQQOLWHVEEG-UHFFFAOYSA-K</t>
  </si>
  <si>
    <t>CCCCCCCCCC[N+](C)(C)Cc1ccccc1.[Cl-]</t>
  </si>
  <si>
    <t>benzyl-decyl-dimethylazanium-chloride</t>
  </si>
  <si>
    <t>InChI=1S/C19H34N.ClH/c1-4-5-6-7-8-9-10-14-17-20(2,3)18-19-15-12-11-13-16-19;/h11-13,15-16H,4-10,14,17-18H2,1-3H3;1H/q+1;/p-1</t>
  </si>
  <si>
    <t>TTZLKXKJIMOHHG-UHFFFAOYSA-M</t>
  </si>
  <si>
    <t>CCCCCCCCCC[N+](C)(CCO)CCCNC(=O)C(O)C(O)C(O)C(O)CO.[Br-]</t>
  </si>
  <si>
    <t>N[3-(gluconamide)-propyl]-N-decylammoniumbromide</t>
  </si>
  <si>
    <t>InChI=1S/C22H46N2O7.BrH/c1-3-4-5-6-7-8-9-10-13-24(2,15-16-25)14-11-12-23-22(31)21(30)20(29)19(28)18(27)17-26;/h18-21,25-30H,3-17H2,1-2H3;1H</t>
  </si>
  <si>
    <t>HRLAPPHIDKEURV-UHFFFAOYSA-N</t>
  </si>
  <si>
    <t>CCCCCCCCCC[NH+](CCO)C.[Br-]</t>
  </si>
  <si>
    <t>10.1007/s11743-010-1180-0</t>
  </si>
  <si>
    <t>Decylmethylethylolammoniumbromide</t>
  </si>
  <si>
    <t>InChI=1S/C13H29NO.BrH/c1-3-4-5-6-7-8-9-10-11-14(2)12-13-15;/h15H,3-13H2,1-2H3;1H/q+1;/p-1</t>
  </si>
  <si>
    <t>AUEUZBKXAKGMHD-UHFFFAOYSA-M</t>
  </si>
  <si>
    <t>CCCCCCCCCC[N+](CC)(CC)CC(=O)NCCNC(=O)C[N+](CC)(CC)CCCCCCCCCC.[Cl-].[Cl-]</t>
  </si>
  <si>
    <t>N,Nâ€²-((Ethane-1,2-diyl)bis(azanediyl))bis(2-oxoethane-2,1-diyl))-bis(N,N-diethylde-can-1-aminium)Dichloride</t>
  </si>
  <si>
    <t>InChI=1S/C34H70N4O2.2ClH/c1-7-13-15-17-19-21-23-25-29-37(9-3,10-4)31-33(39)35-27-28-36-34(40)32-38(11-5,12-6)30-26-24-22-20-18-16-14-8-2;;/h7-32H2,1-6H3;2*1H</t>
  </si>
  <si>
    <t>NIBANYDDAFUYJU-UHFFFAOYSA-N</t>
  </si>
  <si>
    <t>CCCCCCCCCC[N+](CCC)(CCC)CCCC[N+](CCC)(CCC)CCCCCCCCCC.[Br-].[Br-]</t>
  </si>
  <si>
    <t>InChI=1S/C36H78N2.2BrH/c1-7-13-15-17-19-21-23-25-33-37(29-9-3,30-10-4)35-27-28-36-38(31-11-5,32-12-6)34-26-24-22-20-18-16-14-8-2;;/h7-36H2,1-6H3;2*1H/q+2;;/p-2</t>
  </si>
  <si>
    <t>QVZPQUZPEDSGKP-UHFFFAOYSA-L</t>
  </si>
  <si>
    <t>CCCCCCCCCC[N+](CCCCCC[N+](CCCCCCCCCC)(CC(C)O)CC(C)O)(CC(C)O)CC(C)O.[Br-].[Br-]</t>
  </si>
  <si>
    <t>hexanediyl-1,6-bis[(diisopropylol)decylammonium]dibromide</t>
  </si>
  <si>
    <t>InChI=1S/C38H82N2O4.2BrH/c1-7-9-11-13-15-17-19-23-27-39(31-35(3)41,32-36(4)42)29-25-21-22-26-30-40(33-37(5)43,34-38(6)44)28-24-20-18-16-14-12-10-8-2;;/h35-38,41-44H,7-34H2,1-6H3;2*1H/q+2;;/p-2</t>
  </si>
  <si>
    <t>XQFVELCGBMXGLW-UHFFFAOYSA-L</t>
  </si>
  <si>
    <t>CCCCCCCCCC[NH+](CC(O)C)CCCCCC[NH+](CC(O)C)CCCCCCCCCC.[Br-].[Br-]</t>
  </si>
  <si>
    <t>hexanediyl-1,6-bis[(isopropylol)decylammonium]dibromide</t>
  </si>
  <si>
    <t>InChI=1S/C32H68N2O2.2BrH/c1-5-7-9-11-13-15-17-21-25-33(29-31(3)35)27-23-19-20-24-28-34(30-32(4)36)26-22-18-16-14-12-10-8-6-2;;/h31-32,35-36H,5-30H2,1-4H3;2*1H/q+2;;/p-2</t>
  </si>
  <si>
    <t>XMGWXROWZPHZRR-UHFFFAOYSA-L</t>
  </si>
  <si>
    <t>CCCCCCCCCC[N+](CCO)(CCO)CCO.[Br-]</t>
  </si>
  <si>
    <t>Decyltriethylolammoniumbromide</t>
  </si>
  <si>
    <t>InChI=1S/C16H36NO3.BrH/c1-2-3-4-5-6-7-8-9-10-17(11-14-18,12-15-19)13-16-20;/h18-20H,2-16H2,1H3;1H/q+1;/p-1</t>
  </si>
  <si>
    <t>NNHZVSVESAXJMW-UHFFFAOYSA-M</t>
  </si>
  <si>
    <t>CCCCCCCCCC[NH+](CCO)CCO.[Br-]</t>
  </si>
  <si>
    <t>Decyldiethylolammoniumbromide</t>
  </si>
  <si>
    <t>InChI=1S/C14H31NO2.BrH/c1-2-3-4-5-6-7-8-9-10-15(11-13-16)12-14-17;/h16-17H,2-14H2,1H3;1H/q+1;/p-1</t>
  </si>
  <si>
    <t>KUNGSYQTXQLRFX-UHFFFAOYSA-M</t>
  </si>
  <si>
    <t>CCCCCCCCCC[N+]1(CC#CC[N+]2(CCCCCCCCCC)CCCC2)CCCC1.[Br-].[Br-]</t>
  </si>
  <si>
    <t>InChI=1S/C32H62N2.2BrH/c1-3-5-7-9-11-13-15-17-25-33(27-19-20-28-33)31-23-24-32-34(29-21-22-30-34)26-18-16-14-12-10-8-6-4-2;;/h3-22,25-32H2,1-2H3;2*1H/q+2;;/p-2</t>
  </si>
  <si>
    <t>QHRCOAWUQMSLKQ-UHFFFAOYSA-L</t>
  </si>
  <si>
    <t>CCCCCCCCCC[N+]1(CC#CC[N+]2(CCCCCCCCCC)CCCCC2)CCCCC1.[Br-].[Br-]</t>
  </si>
  <si>
    <t>InChI=1S/C34H66N2.2BrH/c1-3-5-7-9-11-13-15-19-27-35(29-21-17-22-30-35)33-25-26-34-36(31-23-18-24-32-36)28-20-16-14-12-10-8-6-4-2;;/h3-24,27-34H2,1-2H3;2*1H/q+2;;/p-2</t>
  </si>
  <si>
    <t>XIEZOKXREFCDLQ-UHFFFAOYSA-L</t>
  </si>
  <si>
    <t>CCCCCCCCCC[N+]1(CCCC[N+]2(CCCCCCCCCC)CCCC2)CCCC1.[Br-].[Br-]</t>
  </si>
  <si>
    <t>InChI=1S/C32H66N2.2BrH/c1-3-5-7-9-11-13-15-17-25-33(27-19-20-28-33)31-23-24-32-34(29-21-22-30-34)26-18-16-14-12-10-8-6-4-2;;/h3-32H2,1-2H3;2*1H/q+2;;/p-2</t>
  </si>
  <si>
    <t>ZQAZYUOTHRWWLS-UHFFFAOYSA-L</t>
  </si>
  <si>
    <t>CCCCCCCCCC[N+]1(Cc2ccc(-c3ccc(C[N+]4(CCCCCCCCCC)CCOCC4)cc3)cc2)CCOCC1.[Cl-].[Cl-]</t>
  </si>
  <si>
    <t>morpholinium-didecyl-biphenylene</t>
  </si>
  <si>
    <t>InChI=1S/C42H70N2O2.2ClH/c1-3-5-7-9-11-13-15-17-27-43(29-33-45-34-30-43)37-39-19-23-41(24-20-39)42-25-21-40(22-26-42)38-44(31-35-46-36-32-44)28-18-16-14-12-10-8-6-4-2;;/h19-26H,3-18,27-38H2,1-2H3;2*1H/q+2;;/p-2</t>
  </si>
  <si>
    <t>OYKWOUAHWGPDPI-UHFFFAOYSA-L</t>
  </si>
  <si>
    <t>CCCCCCCCCC[N+]1(Cc2ccc(C[N+]3(CCCCCCCCCC)CCOCC3)cc2)CCOCC1.[Cl-].[Cl-]</t>
  </si>
  <si>
    <t>morpholinium-bisdecyl-phenylene</t>
  </si>
  <si>
    <t>InChI=1S/C36H66N2O2.2ClH/c1-3-5-7-9-11-13-15-17-23-37(25-29-39-30-26-37)33-35-19-21-36(22-20-35)34-38(27-31-40-32-28-38)24-18-16-14-12-10-8-6-4-2;;/h19-22H,3-18,23-34H2,1-2H3;2*1H/q+2;;/p-2</t>
  </si>
  <si>
    <t>HHSZVZAXYPOYFE-UHFFFAOYSA-L</t>
  </si>
  <si>
    <t>CCCCCCCCCC[N+]1=CC=CC=C1.[Cl-]</t>
  </si>
  <si>
    <t>InChI=1S/C15H31N.ClH/c1-2-3-4-5-6-7-8-10-13-16-14-11-9-12-15-16;/h2-15H2,1H3;1H/q+1;/p-1</t>
  </si>
  <si>
    <t>FKJWIFBDDSLURE-UHFFFAOYSA-M</t>
  </si>
  <si>
    <t>CCCCCCCCCC[N+](C)(C)CC(COCC(COCC(C[N+](C)(C)CCCCCCCCCC)O)(COCC(C[N+](C)(C)CCCCCCCCCC)O)C)O.[Cl-].[Cl-].[Cl-]</t>
  </si>
  <si>
    <t>1,1,1-Tris[2-hydroxy-3-(octyldimethylammonio)-propoxymethyl]ethaneTrichloride</t>
  </si>
  <si>
    <t>InChI=1S/C44H90N3O6.3ClH/c1-5-8-11-14-17-20-23-26-29-45-32-41(48)35-51-38-44(4,39-52-36-42(49)33-46-30-27-24-21-18-15-12-9-6-2)40-53-37-43(50)34-47-31-28-25-22-19-16-13-10-7-3;;;/h41-43,48-50H,5-40H2,1-4H3;3*1H/q+3;;;/p-3</t>
  </si>
  <si>
    <t>DFUWPARXSBVDMT-UHFFFAOYSA-K</t>
  </si>
  <si>
    <t>CCCCCCCCCC[NH2+]CCO.[Br-]</t>
  </si>
  <si>
    <t>Decylmonoethylolammoniumbromide</t>
  </si>
  <si>
    <t>InChI=1S/C12H26NO.BrH/c1-2-3-4-5-6-7-8-9-10-13-11-12-14;/h14H,2-12H2,1H3;1H/q+1;/p-1</t>
  </si>
  <si>
    <t>DVBDYTKAFGPWLF-UHFFFAOYSA-M</t>
  </si>
  <si>
    <t>CCCCCCCCCC[n+]1ccc(C(=O)NCCCCCCNC(=O)c2cc[n+](CCCCCCCCCC)cc2)cc1.[Br-].[Br-]</t>
  </si>
  <si>
    <t>1-decyl-N-[6-[(1-decylpyridin-1-ium-4-carbonyl)amino]hexyl]pyridin-1-ium-4-carboxamide-dibromide</t>
  </si>
  <si>
    <t>InChI=1S/C38H62N4O2.2BrH/c1-3-5-7-9-11-13-17-21-29-41-31-23-35(24-32-41)37(43)39-27-19-15-16-20-28-40-38(44)36-25-33-42(34-26-36)30-22-18-14-12-10-8-6-4-2;;/h23-26,31-34H,3-22,27-30H2,1-2H3;2*1H</t>
  </si>
  <si>
    <t>CNJSEKJABVECCJ-UHFFFAOYSA-N</t>
  </si>
  <si>
    <t>CCCCCCCCCC[n+]1cccc(NC(=O)Nc2ccc[n+](CCCCCCCCCC)c2)c1.[Br-].[Br-]</t>
  </si>
  <si>
    <t>InChI=1S/C31H51N4O.2BrH/c1-3-5-7-9-11-13-15-17-23-34-25-19-21-29(27-34)32-31(36)33-30-22-20-26-35(28-30)24-18-16-14-12-10-8-6-4-2;;/h19-22,25-28H,3-18,23-24H2,1-2H3,(H-,32,33,36);2*1H/q+1;;/p-1</t>
  </si>
  <si>
    <t>UKLVPUAEEMJKKQ-UHFFFAOYSA-M</t>
  </si>
  <si>
    <t>CCCCCCCCCC[n+]1ccccc1.[Br-]</t>
  </si>
  <si>
    <t>1-decylpyridin-1-ium-bromide</t>
  </si>
  <si>
    <t>InChI=1S/C15H26N.BrH/c1-2-3-4-5-6-7-8-10-13-16-14-11-9-12-15-16;/h9,11-12,14-15H,2-8,10,13H2,1H3;1H/q+1;/p-1</t>
  </si>
  <si>
    <t>SPFVNQBOHYXSMM-UHFFFAOYSA-M</t>
  </si>
  <si>
    <t>4-decylpyridin-1-ium-bromide</t>
  </si>
  <si>
    <t>InChI=1S/C15H25N.BrH/c1-2-3-4-5-6-7-8-9-10-15-11-13-16-14-12-15;/h11-14H,2-10H2,1H3;1H</t>
  </si>
  <si>
    <t>AJLCDAKBKDJKEM-UHFFFAOYSA-N</t>
  </si>
  <si>
    <t>CCCCCCCCCCc1ccc(C[C@H](Nc2ccc(S(=O)(=O)[O-])cc2)C(=O)O)cc1.[Na+]</t>
  </si>
  <si>
    <t>InChI=1S/C25H35NO5S.Na/c1-2-3-4-5-6-7-8-9-10-20-11-13-21(14-12-20)19-24(25(27)28)26-22-15-17-23(18-16-22)32(29,30)31;/h11-18,24,26H,2-10,19H2,1H3,(H,27,28)(H,29,30,31);/q;+1/p-1/t24-;/m0./s1</t>
  </si>
  <si>
    <t>NGJDTNPIVOYSOO-JIDHJSLPSA-M</t>
  </si>
  <si>
    <t>CCCCCCCCCCc1ccc(S(=O)(=O)[O-])cc1.[Na+]</t>
  </si>
  <si>
    <t>sodium-4-decylbenzenesulfonate</t>
  </si>
  <si>
    <t>InChI=1S/C16H26O3S.Na/c1-2-3-4-5-6-7-8-9-10-15-11-13-16(14-12-15)20(17,18)19;/h11-14H,2-10H2,1H3,(H,17,18,19);/q;+1/p-1</t>
  </si>
  <si>
    <t>RLJSXMVTLMHXJS-UHFFFAOYSA-M</t>
  </si>
  <si>
    <t>CCCCCCCCCCc1cccc[n+]1CCCCCC[n+]1ccccc1CCCCCCCCCC.[Br-].[Br-]</t>
  </si>
  <si>
    <t>InChI=1S/C36H62N2.2BrH/c1-3-5-7-9-11-13-15-19-27-35-29-21-25-33-37(35)31-23-17-18-24-32-38-34-26-22-30-36(38)28-20-16-14-12-10-8-6-4-2;;/h21-22,25-26,29-30,33-34H,3-20,23-24,27-28,31-32H2,1-2H3;2*1H/q+2;;/p-2</t>
  </si>
  <si>
    <t>KKEHJYWRAVKYMT-UHFFFAOYSA-L</t>
  </si>
  <si>
    <t>CCCCCCCCCCc1cccc[n+]1CCCC[n+]1ccccc1CCCCCCCCCC.[Br-].[Br-]</t>
  </si>
  <si>
    <t>InChI=1S/C34H58N2.2BrH/c1-3-5-7-9-11-13-15-17-25-33-27-19-21-29-35(33)31-23-24-32-36-30-22-20-28-34(36)26-18-16-14-12-10-8-6-4-2;;/h19-22,27-30H,3-18,23-26,31-32H2,1-2H3;2*1H/q+2;;/p-2</t>
  </si>
  <si>
    <t>CTCLGUXNROHEKA-UHFFFAOYSA-L</t>
  </si>
  <si>
    <t>CCCCCCCCCCn1cc[n+](C)c1.F[B-](F)(F)F</t>
  </si>
  <si>
    <t>1-decyl-3-methylimidazol-3-ium-tetrafluoroborate</t>
  </si>
  <si>
    <t>InChI=1S/C14H27N2.BF4/c1-3-4-5-6-7-8-9-10-11-16-13-12-15(2)14-16;2-1(3,4)5/h12-14H,3-11H2,1-2H3;/q+1;-1</t>
  </si>
  <si>
    <t>QGUMDWFYJYXDTH-UHFFFAOYSA-N</t>
  </si>
  <si>
    <t>CCCCCCCCCCn1cc[n+](C)c1.[Br-]</t>
  </si>
  <si>
    <t>1-decyl-3-methylimidazolium</t>
  </si>
  <si>
    <t>InChI=1S/C14H27N2.BrH/c1-3-4-5-6-7-8-9-10-11-16-13-12-15(2)14-16;/h12-14H,3-11H2,1-2H3;1H/q+1;/p-1</t>
  </si>
  <si>
    <t>HOISBTKPPVRFDS-UHFFFAOYSA-M</t>
  </si>
  <si>
    <t>CCCCCCCCCCn1cc[n+](CC(O)C[n+]2ccn(CCCCCCCCCC)c2)c1.[Cl-].[Cl-]</t>
  </si>
  <si>
    <t>InChI=1S/C29H54N4O.2ClH/c1-3-5-7-9-11-13-15-17-19-30-21-23-32(27-30)25-29(34)26-33-24-22-31(28-33)20-18-16-14-12-10-8-6-4-2;;/h21-24,27-29,34H,3-20,25-26H2,1-2H3;2*1H/q+2;;/p-2</t>
  </si>
  <si>
    <t>UEOFNKCGPYFBEF-UHFFFAOYSA-L</t>
  </si>
  <si>
    <t>CCCCCCCCCCn1cc[n+](CCCC[n+]2ccn(CCCCCCCCCC)c2)c1.[Br-].[Br-]</t>
  </si>
  <si>
    <t>1-decyl-3-[4-(3-decylimidazol-3-ium-1-yl)butyl]imidazol-1-ium-dibromide</t>
  </si>
  <si>
    <t>InChI=1S/C30H56N4.2BrH/c1-3-5-7-9-11-13-15-17-21-31-25-27-33(29-31)23-19-20-24-34-28-26-32(30-34)22-18-16-14-12-10-8-6-4-2;;/h25-30H,3-24H2,1-2H3;2*1H/q+2;;/p-2</t>
  </si>
  <si>
    <t>IMHFKDIOLOOESJ-UHFFFAOYSA-L</t>
  </si>
  <si>
    <t>CCCCCCCCCCn1cc[n+](CCC[n+]2ccn(CCCCCCCCCC)c2)c1.[Br-].[Br-]</t>
  </si>
  <si>
    <t>InChI=1S/C29H54N4.2BrH/c1-3-5-7-9-11-13-15-17-20-30-24-26-32(28-30)22-19-23-33-27-25-31(29-33)21-18-16-14-12-10-8-6-4-2;;/h24-29H,3-23H2,1-2H3;2*1H/q+2;;/p-2</t>
  </si>
  <si>
    <t>LEBLTZBXQWMRCZ-UHFFFAOYSA-L</t>
  </si>
  <si>
    <t>CCCCCCCCCCn1cc[n+](COCCCCCCOC[n+]2ccn(CCCCCCCCCC)c2)c1.[Cl-].[Cl-]</t>
  </si>
  <si>
    <t>1-decyl-3-[6-[(3-decylimidazol-1-ium-1-yl)methoxy]hexoxymethyl]imidazol-3-ium-dichloride</t>
  </si>
  <si>
    <t>InChI=1S/C34H64N4O2.2ClH/c1-3-5-7-9-11-13-15-19-23-35-25-27-37(31-35)33-39-29-21-17-18-22-30-40-34-38-28-26-36(32-38)24-20-16-14-12-10-8-6-4-2;;/h25-28,31-32H,3-24,29-30,33-34H2,1-2H3;2*1H/q+2;;/p-2</t>
  </si>
  <si>
    <t>OIPSGFIZJRPUTR-UHFFFAOYSA-L</t>
  </si>
  <si>
    <t>CCCCCCCCCCn1cc[n+](COCCCCCOC[n+]2ccn(CCCCCCCCCC)c2)c1.[Cl-].[Cl-]</t>
  </si>
  <si>
    <t>1-decyl-3-[5-[(3-decylimidazol-1-ium-1-yl)methoxy]pentoxymethyl]imidazol-3-ium-dichloride</t>
  </si>
  <si>
    <t>InChI=1S/C33H62N4O2.2ClH/c1-3-5-7-9-11-13-15-18-22-34-24-26-36(30-34)32-38-28-20-17-21-29-39-33-37-27-25-35(31-37)23-19-16-14-12-10-8-6-4-2;;/h24-27,30-31H,3-23,28-29,32-33H2,1-2H3;2*1H/q+2;;/p-2</t>
  </si>
  <si>
    <t>QLZQLJNPQNAEFW-UHFFFAOYSA-L</t>
  </si>
  <si>
    <t>CCCCCCCCCCn1cc[n+](COCCCCOC[n+]2ccn(CCCCCCCCCC)c2)c1.[Cl-].[Cl-]</t>
  </si>
  <si>
    <t>1-decyl-3-[4-[(3-decylimidazol-1-ium-1-yl)methoxy]butoxymethyl]imidazol-3-ium-dichloride</t>
  </si>
  <si>
    <t>InChI=1S/C32H60N4O2.2ClH/c1-3-5-7-9-11-13-15-17-21-33-23-25-35(29-33)31-37-27-19-20-28-38-32-36-26-24-34(30-36)22-18-16-14-12-10-8-6-4-2;;/h23-26,29-30H,3-22,27-28,31-32H2,1-2H3;2*1H/q+2;;/p-2</t>
  </si>
  <si>
    <t>BCHJIIVURPYXRL-UHFFFAOYSA-L</t>
  </si>
  <si>
    <t>CCCCCCCCCCn1cc[n+](COCCCOC[n+]2ccn(CCCCCCCCCC)c2)c1.[Cl-].[Cl-]</t>
  </si>
  <si>
    <t>1-decyl-3-[3-[(3-decylimidazol-1-ium-1-yl)methoxy]propoxymethyl]imidazol-3-ium-dichloride</t>
  </si>
  <si>
    <t>InChI=1S/C31H58N4O2.2ClH/c1-3-5-7-9-11-13-15-17-20-32-22-24-34(28-32)30-36-26-19-27-37-31-35-25-23-33(29-35)21-18-16-14-12-10-8-6-4-2;;/h22-25,28-29H,3-21,26-27,30-31H2,1-2H3;2*1H/q+2;;/p-2</t>
  </si>
  <si>
    <t>YXZNHFHXPMMRML-UHFFFAOYSA-L</t>
  </si>
  <si>
    <t>CCCCCCCCCCn1cc[n+](COCCOC[n+]2ccn(CCCCCCCCCC)c2)c1.[Cl-].[Cl-]</t>
  </si>
  <si>
    <t>1-decyl-3-[2-[(3-decylimidazol-1-ium-1-yl)methoxy]ethoxymethyl]imidazol-3-ium-dichloride</t>
  </si>
  <si>
    <t>InChI=1S/C30H56N4O2.2ClH/c1-3-5-7-9-11-13-15-17-19-31-21-23-33(27-31)29-35-25-26-36-30-34-24-22-32(28-34)20-18-16-14-12-10-8-6-4-2;;/h21-24,27-28H,3-20,25-26,29-30H2,1-2H3;2*1H/q+2;;/p-2</t>
  </si>
  <si>
    <t>BWNQQTBNMYXFFJ-UHFFFAOYSA-L</t>
  </si>
  <si>
    <t>CCCCCCCCNC(C(C(C(C(CO)O)OC1OC(C(C(C1O)O)O)CO)O)O)=O</t>
  </si>
  <si>
    <t>Octyl-D-maltonamide</t>
  </si>
  <si>
    <t>InChI=1S/C21H41NO11/c1-2-3-4-5-6-7-8-9-22-20(31)17(29)16(28)19(12(25)10-23)33-21-18(30)15(27)14(26)13(11-24)32-21/h12-19,21,23-30H,2-11H2,1H3,(H,22,31)</t>
  </si>
  <si>
    <t>RVAINDPJPFBMOZ-UHFFFAOYSA-N</t>
  </si>
  <si>
    <t>O[C@@H](COC(CCCCCCCC)=O)[C@@H](O)[C@H](O)CO</t>
  </si>
  <si>
    <t>1-O-nonanoyl-D,L-xylitol</t>
  </si>
  <si>
    <t>InChI=1S/C17H34O8/c1-2-3-4-5-6-7-8-9-25-17(24)14(12(20)10-18)16(23)15(22)13(21)11-19/h12-16,18-23H,2-11H2,1H3/t12-,13-,14?,15?,16+/m0/s1</t>
  </si>
  <si>
    <t>NFAOGSPYVTULBM-RKVQBDSKSA-N</t>
  </si>
  <si>
    <t>O[C@@H](COCCCCCCCCC)[C@@H](O)[C@H](O)CO</t>
  </si>
  <si>
    <t>1-O-nonyl-D,L-xylitol</t>
  </si>
  <si>
    <t>InChI=1S/C16H34O7/c1-2-3-4-5-6-7-8-9-23-16(13(20)11-18)15(22)14(21)12(19)10-17/h12-22H,2-11H2,1H3/t12-,13-,14?,15-,16?/m0/s1</t>
  </si>
  <si>
    <t>WJZNMFIKGUICCV-GYJLLUIASA-N</t>
  </si>
  <si>
    <t>CCCCCCCCCO[C@H]1O[C@H]([C@@H]([C@H]([C@@H]1O)O)O)CO</t>
  </si>
  <si>
    <t>10.1021/la035613e</t>
  </si>
  <si>
    <t>Nonyl-Î²-D-glucoside</t>
  </si>
  <si>
    <t>InChI=1S/C15H30O6/c1-2-3-4-5-6-7-8-9-20-15-14(19)13(18)12(17)11(10-16)21-15/h11-19H,2-10H2,1H3</t>
  </si>
  <si>
    <t>QFAPUKLCALRPLH-UHFFFAOYSA-N</t>
  </si>
  <si>
    <t>CCCCCCCCCOCC(C(C(CO)O)O)O</t>
  </si>
  <si>
    <t>InChI=1S/C14H27O5/c1-2-3-4-5-6-7-8-9-18-12-10-11(15)13(16)14(17)19-12/h10-17H,2-9H2,1H3/t11-,12?,13+,14?/m0/s1</t>
  </si>
  <si>
    <t>JGLGQTFRAPIWQQ-RJZJGCCBSA-N</t>
  </si>
  <si>
    <t>CCCCCCCCCCOCCS(=O)([O-])=O.[Na+]</t>
  </si>
  <si>
    <t>InChI=1S/C11H24O4S.Na/c1-2-3-4-5-6-7-8-9-15-10-11-16(12,13)14;/h2-11H2,1H3,(H,12,13,14);/q;+1/p-1</t>
  </si>
  <si>
    <t>VZCCZSPOGMAIFB-UHFFFAOYSA-M</t>
  </si>
  <si>
    <t>OCC(O)C(O)C(O)COC(CCCCCCCCC)=O</t>
  </si>
  <si>
    <t>InChI=1S/C15H29O6/c1-2-3-4-5-6-7-8-9-19-11-20-13-10-12(16)14(17)15(18)21-13/h10,12-18H,2-9,11H2,1H3/t12-,13?,14+,15?/m0/s1</t>
  </si>
  <si>
    <t>WLQDZJQNJMRJTI-FGZQJIAISA-N</t>
  </si>
  <si>
    <t>CCCCCCCCCOOCCOCCOCCOCCOCCOCCOCCOCC</t>
  </si>
  <si>
    <t>InChI=1S/C25H52O9/c1-3-5-6-7-8-9-10-11-33-34-25-24-32-23-22-31-21-20-30-19-18-29-17-16-28-15-14-27-13-12-26-4-2/h3-25H2,1-2H3</t>
  </si>
  <si>
    <t>APLSDAXBESLDBL-UHFFFAOYSA-N</t>
  </si>
  <si>
    <t>CCCCCCCCCOS(=O)(=O)[O-].[Na+]</t>
  </si>
  <si>
    <t>sodium-nonyl-sulfate</t>
  </si>
  <si>
    <t>InChI=1S/C9H20O4S.Na/c1-2-3-4-5-6-7-8-9-13-14(10,11)12;/h2-9H2,1H3,(H,10,11,12);/q;+1/p-1</t>
  </si>
  <si>
    <t>FTWCSAMTIKSPAT-UHFFFAOYSA-M</t>
  </si>
  <si>
    <t>CCCCCCCCCO[C@@H]1O[C@H](CO)[C@@H](O)[C@H](O)[C@H]1N</t>
  </si>
  <si>
    <t>10.1021/la950485i</t>
  </si>
  <si>
    <t>2-Amino-2-deoxy-nonyl-Î²-D-glucoside</t>
  </si>
  <si>
    <t>InChI=1S/C15H31NO5/c1-2-3-4-5-6-7-8-9-20-15-12(16)14(19)13(18)11(10-17)21-15/h11-15,17-19H,2-10,16H2,1H3/t11-,12-,13-,14-,15-/m1/s1</t>
  </si>
  <si>
    <t>WLCSSUPWTZZYPR-KJWHEZOQSA-N</t>
  </si>
  <si>
    <t>CCCCCCCCC[N+](C)(C)CCCCC[N+](C)(C)CCCCCCCCC.[Br-].[Br-]</t>
  </si>
  <si>
    <t>N,N'-bis(nonyldimethyl)-3-methyl-1,5-pentanediammoniumdibromide</t>
  </si>
  <si>
    <t>InChI=1S/C27H60N2.2BrH/c1-7-9-11-13-15-17-20-24-28(3,4)26-22-19-23-27-29(5,6)25-21-18-16-14-12-10-8-2;;/h7-27H2,1-6H3;2*1H/q+2;;/p-2</t>
  </si>
  <si>
    <t>IVOQWGJWBNVWKB-UHFFFAOYSA-L</t>
  </si>
  <si>
    <t>CCCCCCCCC[N+](C)(C)CCCCNC[N+](C)(C)CCCCCCCCC.[Br-].[Br-]</t>
  </si>
  <si>
    <t>InChI=1S/C27H61N3.2BrH/c1-7-9-11-13-15-17-20-24-29(3,4)25-22-19-23-28-27-30(5,6)26-21-18-16-14-12-10-8-2;;/h28H,7-27H2,1-6H3;2*1H/q+2;;/p-2</t>
  </si>
  <si>
    <t>RJMSJJCQRHQVQR-UHFFFAOYSA-L</t>
  </si>
  <si>
    <t>CCCCCCCCC[N+](C)(C)CCCCO[N+](C)(C)CCCCCCCCC.[Br-].[Br-]</t>
  </si>
  <si>
    <t>InChI=1S/C26H58N2O.2BrH/c1-7-9-11-13-15-17-19-23-27(3,4)24-21-22-26-29-28(5,6)25-20-18-16-14-12-10-8-2;;/h7-26H2,1-6H3;2*1H/q+2;;/p-2</t>
  </si>
  <si>
    <t>DBNDTGACGBBOOO-UHFFFAOYSA-L</t>
  </si>
  <si>
    <t>CCCCCCCCC[N+](C)(C)CCN(C)CC[N+](C)(C)CCCCCCCCC.[Br-].[Br-]</t>
  </si>
  <si>
    <t>N,N'-bis(nonyldimethyl)-3-N-methyl-1,5-pentanediammoniumdibromide</t>
  </si>
  <si>
    <t>InChI=1S/C27H61N3.2BrH/c1-8-10-12-14-16-18-20-24-29(4,5)26-22-28(3)23-27-30(6,7)25-21-19-17-15-13-11-9-2;;/h8-27H2,1-7H3;2*1H/q+2;;/p-2</t>
  </si>
  <si>
    <t>CJFHAXLEGODWNR-UHFFFAOYSA-L</t>
  </si>
  <si>
    <t>CCCCCCCCC[N+](C)(C)CCOCC[N+](C)(C)CCCCCCCCC.[Br-].[Br-]</t>
  </si>
  <si>
    <t>N,N'-bis(nonyldimethyl)-3-O-1,5-pentanediammoniumdibromide</t>
  </si>
  <si>
    <t>InChI=1S/C26H58N2O.2BrH/c1-7-9-11-13-15-17-19-21-27(3,4)23-25-29-26-24-28(5,6)22-20-18-16-14-12-10-8-2;;/h7-26H2,1-6H3;2*1H/q+2;;/p-2</t>
  </si>
  <si>
    <t>OVQYJXXYDSZPEY-UHFFFAOYSA-L</t>
  </si>
  <si>
    <t>CCCCCCCCC[N+](CCCCCC[N+](CCCCCCCCC)(CC(C)O)CC(C)O)(CC(C)O)CC(C)O.[Br-].[Br-]</t>
  </si>
  <si>
    <t>hexanediyl-1,6-bis[(diisopropylol)nonylammonium]dibromide</t>
  </si>
  <si>
    <t>InChI=1S/C36H78N2O4.2BrH/c1-7-9-11-13-15-17-21-25-37(29-33(3)39,30-34(4)40)27-23-19-20-24-28-38(31-35(5)41,32-36(6)42)26-22-18-16-14-12-10-8-2;;/h33-36,39-42H,7-32H2,1-6H3;2*1H/q+2;;/p-2</t>
  </si>
  <si>
    <t>WDLPYYBSSRSLAC-UHFFFAOYSA-L</t>
  </si>
  <si>
    <t>CCCCCCCCC[NH+](CC(O)C)CCCCCC[NH+](CC(O)C)CCCCCCCCC.[Br-].[Br-]</t>
  </si>
  <si>
    <t>hexanediyl-1,6-bis[(isopropylol)nonylammonium]dibromide</t>
  </si>
  <si>
    <t>InChI=1S/C30H64N2O2.2BrH/c1-5-7-9-11-13-15-19-23-31(27-29(3)33)25-21-17-18-22-26-32(28-30(4)34)24-20-16-14-12-10-8-6-2;;/h29-30,33-34H,5-28H2,1-4H3;2*1H/q+2;;/p-2</t>
  </si>
  <si>
    <t>UKJNDBQHSLTLFB-UHFFFAOYSA-L</t>
  </si>
  <si>
    <t>CCCCCCCCC[N+](CCCCC[N+](CCCCCCCCC)(CC(C)O)CC(C)O)(CC(C)O)CC(C)O.[Br-].[Br-]</t>
  </si>
  <si>
    <t>di-2-hydroxypropylnonylamines.</t>
  </si>
  <si>
    <t>InChI=1S/C35H76N2O4.2BrH/c1-7-9-11-13-15-17-20-24-36(28-32(3)38,29-33(4)39)26-22-19-23-27-37(30-34(5)40,31-35(6)41)25-21-18-16-14-12-10-8-2;;/h32-35,38-41H,7-31H2,1-6H3;2*1H/q+2;;/p-2</t>
  </si>
  <si>
    <t>JYPCYJNMYFFMFV-UHFFFAOYSA-L</t>
  </si>
  <si>
    <t>CCCCCCCCC[NH+](CC(O)C)CCCCC[NH+](CC(O)C)CCCCCCCCC.[Br-].[Br-]</t>
  </si>
  <si>
    <t>2-hydroxypropylnonylamines</t>
  </si>
  <si>
    <t>InChI=1S/C29H62N2O2.2BrH/c1-5-7-9-11-13-15-18-22-30(26-28(3)32)24-20-17-21-25-31(27-29(4)33)23-19-16-14-12-10-8-6-2;;/h28-29,32-33H,5-27H2,1-4H3;2*1H/q+2;;/p-2</t>
  </si>
  <si>
    <t>IFOOVVSLQPBOQI-UHFFFAOYSA-L</t>
  </si>
  <si>
    <t>CCCCCCCCC[N+](CCO)(CCO)CCO.[Br-]</t>
  </si>
  <si>
    <t>10.1016/j.molliq.2016.11.105</t>
  </si>
  <si>
    <t>nonyl-tri(2-hydroxyethyl)ammoniumbromide</t>
  </si>
  <si>
    <t>InChI=1S/C15H34NO3.BrH/c1-2-3-4-5-6-7-8-9-16(10-13-17,11-14-18)12-15-19;/h17-19H,2-15H2,1H3;1H/q+1;/p-1</t>
  </si>
  <si>
    <t>BNXJYFBZSRWHLH-UHFFFAOYSA-M</t>
  </si>
  <si>
    <t>CCCCCCCCC[N+](CCO)(CCO)CCO.[I-]</t>
  </si>
  <si>
    <t>nonyl-tri(2-hydroxyethyl)ammoniumiodide</t>
  </si>
  <si>
    <t>InChI=1S/C15H34NO3.HI/c1-2-3-4-5-6-7-8-9-16(10-13-17,11-14-18)12-15-19;/h17-19H,2-15H2,1H3;1H/q+1;/p-1</t>
  </si>
  <si>
    <t>RFUWPSOHTKVTQR-UHFFFAOYSA-M</t>
  </si>
  <si>
    <t>CCCCCCCCC[NH+](CCO)CCO.[Br-]</t>
  </si>
  <si>
    <t>nonyl-di(2-hydroxyethyl)ammoniumbromide</t>
  </si>
  <si>
    <t>InChI=1S/C13H29NO2.BrH/c1-2-3-4-5-6-7-8-9-14(10-12-15)11-13-16;/h15-16H,2-13H2,1H3;1H/q+1;/p-1</t>
  </si>
  <si>
    <t>COCSIEQXYXSRID-UHFFFAOYSA-M</t>
  </si>
  <si>
    <t>CCCCCCCCC[NH+](CCO)CCO.[I-]</t>
  </si>
  <si>
    <t>nonyl-di(2-hydroxyethyl)ammoniumiodide</t>
  </si>
  <si>
    <t>InChI=1S/C13H29NO2.HI/c1-2-3-4-5-6-7-8-9-14(10-12-15)11-13-16;/h15-16H,2-13H2,1H3;1H/q+1;/p-1</t>
  </si>
  <si>
    <t>AXIXYVBVRRAPGP-UHFFFAOYSA-M</t>
  </si>
  <si>
    <t>CCCCCCCCC[N+]1(CCC#CCC[N+]2(CCCCCCCCC)CCCC2)CCCC1.[Br-].[Br-]</t>
  </si>
  <si>
    <t>InChI=1S/C32H62N2.2BrH/c1-3-5-7-9-11-13-17-25-33(29-21-22-30-33)27-19-15-16-20-28-34(31-23-24-32-34)26-18-14-12-10-8-6-4-2;;/h3-14,17-32H2,1-2H3;2*1H/q+2;;/p-2</t>
  </si>
  <si>
    <t>JIFMSZPBJAWOSP-UHFFFAOYSA-L</t>
  </si>
  <si>
    <t>CCCCCCCCC[N+]1(CCC#CCC[N+]2(CCCCCCCCC)CCCCC2)CCCCC1.[Br-].[Br-]</t>
  </si>
  <si>
    <t>InChI=1S/C34H66N2.2BrH/c1-3-5-7-9-11-13-19-27-35(31-23-17-24-32-35)29-21-15-16-22-30-36(33-25-18-26-34-36)28-20-14-12-10-8-6-4-2;;/h3-14,17-34H2,1-2H3;2*1H/q+2;;/p-2</t>
  </si>
  <si>
    <t>DRBMBOAUPULEPP-UHFFFAOYSA-L</t>
  </si>
  <si>
    <t>CCCCCCCCC[NH2+]CCO.[Br-]</t>
  </si>
  <si>
    <t>nonyl-(2-hydroxyethyl)ammoniumbromide</t>
  </si>
  <si>
    <t>InChI=1S/C11H24NO.BrH/c1-2-3-4-5-6-7-8-9-12-10-11-13;/h13H,2-11H2,1H3;1H/q+1;/p-1</t>
  </si>
  <si>
    <t>UPNVFSLKYLGPOE-UHFFFAOYSA-M</t>
  </si>
  <si>
    <t>CCCCCCCCC[NH2+]CCO.[I-]</t>
  </si>
  <si>
    <t>nonyl-(2-hydroxyethyl)ammoniumiodide</t>
  </si>
  <si>
    <t>InChI=1S/C11H24NO.HI/c1-2-3-4-5-6-7-8-9-12-10-11-13;/h13H,2-11H2,1H3;1H/q+1;/p-1</t>
  </si>
  <si>
    <t>FQOHEDODFVKANB-UHFFFAOYSA-M</t>
  </si>
  <si>
    <t>CCCCCCCCCc1ccc(OCC(C)OCC(C)OCC(C)OCC(C)OCC(C)OCC(C)OCC(C)OCC(C)OCC(C)OCC(C)OCC(C)OCC(C)OS(=O)[O-])cc1.[Na+]</t>
  </si>
  <si>
    <t>10.1016/j.colsurfa.2014.03.012</t>
  </si>
  <si>
    <t>InChI=1S/C51H96O15S.Na/c1-14-15-16-17-18-19-20-21-50-22-24-51(25-23-50)65-36-48(12)63-34-46(10)61-32-44(8)59-30-42(6)57-28-40(4)55-26-38(2)54-27-39(3)56-29-41(5)58-31-43(7)60-33-45(9)62-35-47(11)64-37-49(13)66-67(52)53;/h22-25,38-49H,14-21,26-37H2,1-13H3,(H,52,53);/q;+1/p-1</t>
  </si>
  <si>
    <t>MECWOGJCVDVFBJ-UHFFFAOYSA-M</t>
  </si>
  <si>
    <t>CCCCCCCCCc1ccc(OCC(C)OCC(C)OCC(C)OCC(C)OCC(C)OCC(C)OCC(C)OCC(C)OCC(C)OS(=O)[O-])cc1.[Na+]</t>
  </si>
  <si>
    <t>InChI=1S/C42H78O12S.Na/c1-11-12-13-14-15-16-17-18-41-19-21-42(22-20-41)53-30-39(9)51-28-37(7)49-26-35(5)47-24-33(3)45-23-32(2)46-25-34(4)48-27-36(6)50-29-38(8)52-31-40(10)54-55(43)44;/h19-22,32-40H,11-18,23-31H2,1-10H3,(H,43,44);/q;+1/p-1</t>
  </si>
  <si>
    <t>LUENWSNNOSVXJQ-UHFFFAOYSA-M</t>
  </si>
  <si>
    <t>CCCCCCCCCc1ccc(OCC(C)OCC(C)OCC(C)OCC(C)OCC(C)OCC(C)OS(=O)[O-])cc1.[Na+]</t>
  </si>
  <si>
    <t>InChI=1S/C33H60O9S.Na/c1-8-9-10-11-12-13-14-15-32-16-18-33(19-17-32)41-24-30(6)39-22-28(4)37-20-26(2)36-21-27(3)38-23-29(5)40-25-31(7)42-43(34)35;/h16-19,26-31H,8-15,20-25H2,1-7H3,(H,34,35);/q;+1/p-1</t>
  </si>
  <si>
    <t>CCWIZPUDYNZVKW-UHFFFAOYSA-M</t>
  </si>
  <si>
    <t>CCCCCCCCCc1ccc(OCC(C)OCC(C)OCC(C)OS(=O)[O-])cc1.[Na+]</t>
  </si>
  <si>
    <t>InChI=1S/C24H42O6S.Na/c1-5-6-7-8-9-10-11-12-23-13-15-24(16-14-23)29-18-21(3)27-17-20(2)28-19-22(4)30-31(25)26;/h13-16,20-22H,5-12,17-19H2,1-4H3,(H,25,26);/q;+1/p-1</t>
  </si>
  <si>
    <t>RUNJCCHRQXFILQ-UHFFFAOYSA-M</t>
  </si>
  <si>
    <t>CCCCCCCCCc1ccc(OCC(O)C[N+](C)(C)C)cc1.[Br-]</t>
  </si>
  <si>
    <t>10.1002/cjoc.200590957</t>
  </si>
  <si>
    <t>InChI=1S/C21H38NO2.BrH/c1-5-6-7-8-9-10-11-12-19-13-15-21(16-14-19)24-18-20(23)17-22(2,3)4;/h13-16,20,23H,5-12,17-18H2,1-4H3;1H/q+1;/p-1</t>
  </si>
  <si>
    <t>SEZCMAJMNRDGGI-UHFFFAOYSA-M</t>
  </si>
  <si>
    <t>CCCCCCCCCc1ccc(OCCOCCOCCOCCOCCOCCOCCOCCOCCOCCO)cc1</t>
  </si>
  <si>
    <t>InChI=1S/C29H52O7/c1-2-3-4-5-6-7-8-11-28-12-9-10-13-29(28)14-16-31-18-20-33-22-24-35-26-27-36-25-23-34-21-19-32-17-15-30/h9-10,12-13,30H,2-8,11,14-27H2,1H3</t>
  </si>
  <si>
    <t>CIBFIEDNTRCFGW-UHFFFAOYSA-N</t>
  </si>
  <si>
    <t>CCCCCCCCCc1ccccc1OOCCOCC</t>
  </si>
  <si>
    <t>InChI=1S/C19H32O3/c1-3-5-6-7-8-9-10-13-18-14-11-12-15-19(18)22-21-17-16-20-4-2/h11-12,14-15H,3-10,13,16-17H2,1-2H3</t>
  </si>
  <si>
    <t>OMNYBHNZYOJSIF-UHFFFAOYSA-N</t>
  </si>
  <si>
    <t>CCCCCCCCCc1ccccc1OOCCOCCOCCOCCOCC</t>
  </si>
  <si>
    <t>InChI=1S/C25H44O6/c1-3-5-6-7-8-9-10-13-24-14-11-12-15-25(24)31-30-23-22-29-21-20-28-19-18-27-17-16-26-4-2/h11-12,14-15H,3-10,13,16-23H2,1-2H3</t>
  </si>
  <si>
    <t>DVQLHHRTSOXZEL-UHFFFAOYSA-N</t>
  </si>
  <si>
    <t>CCCCCCCCCc1ccccc1OOCCOCCOCCOCCOCCOCCOCCOCCOCCOCCOCCOCC</t>
  </si>
  <si>
    <t>InChI=1S/C39H72O13/c1-3-5-6-7-8-9-10-13-38-14-11-12-15-39(38)52-51-37-36-50-35-34-49-33-32-48-31-30-47-29-28-46-27-26-45-25-24-44-23-22-43-21-20-42-19-18-41-17-16-40-4-2/h11-12,14-15H,3-10,13,16-37H2,1-2H3</t>
  </si>
  <si>
    <t>GGCLTSRNMKEGEI-UHFFFAOYSA-N</t>
  </si>
  <si>
    <t>CCCCCCCCCn1cc[n+](COCCCCCCOC[n+]2ccn(CCCCCCCCC)c2)c1.[Cl-].[Cl-]</t>
  </si>
  <si>
    <t>InChI=1S/C32H60N4O2.2ClH/c1-3-5-7-9-11-13-17-21-33-23-25-35(29-33)31-37-27-19-15-16-20-28-38-32-36-26-24-34(30-36)22-18-14-12-10-8-6-4-2;;/h23-26,29-30H,3-22,27-28,31-32H2,1-2H3;2*1H/q+2;;/p-2</t>
  </si>
  <si>
    <t>DDSOTBWAYKUDDX-UHFFFAOYSA-L</t>
  </si>
  <si>
    <t>CCCCCCCCCn1cc[n+](COCCCCCOC[n+]2ccn(CCCCCCCCC)c2)c1.[Cl-].[Cl-]</t>
  </si>
  <si>
    <t>InChI=1S/C31H58N4O2.2ClH/c1-3-5-7-9-11-13-16-20-32-22-24-34(28-32)30-36-26-18-15-19-27-37-31-35-25-23-33(29-35)21-17-14-12-10-8-6-4-2;;/h22-25,28-29H,3-21,26-27,30-31H2,1-2H3;2*1H/q+2;;/p-2</t>
  </si>
  <si>
    <t>GIUBMWPUEFRLHX-UHFFFAOYSA-L</t>
  </si>
  <si>
    <t>CCCCCCCCCn1cc[n+](COCCCCOC[n+]2ccn(CCCCCCCCC)c2)c1.[Cl-].[Cl-]</t>
  </si>
  <si>
    <t>InChI=1S/C30H56N4O2.2ClH/c1-3-5-7-9-11-13-15-19-31-21-23-33(27-31)29-35-25-17-18-26-36-30-34-24-22-32(28-34)20-16-14-12-10-8-6-4-2;;/h21-24,27-28H,3-20,25-26,29-30H2,1-2H3;2*1H/q+2;;/p-2</t>
  </si>
  <si>
    <t>WVADXACFMWBYBM-UHFFFAOYSA-L</t>
  </si>
  <si>
    <t>CCCCCCCCCn1cc[n+](COCCCOC[n+]2ccn(CCCCCCCCC)c2)c1.[Cl-].[Cl-]</t>
  </si>
  <si>
    <t>InChI=1S/C29H54N4O2.2ClH/c1-3-5-7-9-11-13-15-18-30-20-22-32(26-30)28-34-24-17-25-35-29-33-23-21-31(27-33)19-16-14-12-10-8-6-4-2;;/h20-23,26-27H,3-19,24-25,28-29H2,1-2H3;2*1H/q+2;;/p-2</t>
  </si>
  <si>
    <t>FKDXMWKUCNVFMT-UHFFFAOYSA-L</t>
  </si>
  <si>
    <t>CCCCCCCCCn1cc[n+](COCCOC[n+]2ccn(CCCCCCCCC)c2)c1.[Cl-].[Cl-]</t>
  </si>
  <si>
    <t>InChI=1S/C28H52N4O2.2ClH/c1-3-5-7-9-11-13-15-17-29-19-21-31(25-29)27-33-23-24-34-28-32-22-20-30(26-32)18-16-14-12-10-8-6-4-2;;/h19-22,25-26H,3-18,23-24,27-28H2,1-2H3;2*1H/q+2;;/p-2</t>
  </si>
  <si>
    <t>QRKDGPIVYIYQRP-UHFFFAOYSA-L</t>
  </si>
  <si>
    <t>CCCCCCCCN(CCCNC(=O)C(O)C(O)C(O)C(O)CO)CCN(CCCCCCCC)CCCNC(=O)C(O)C(O)C(O)C(O)CO</t>
  </si>
  <si>
    <t>N,N-bisoctyl-N,N-bis[(3-gluconylamide)propyl]ethylenediamines</t>
  </si>
  <si>
    <t>InChI=1S/C36H74N4O12/c1-3-5-7-9-11-13-19-39(21-15-17-37-35(51)33(49)31(47)29(45)27(43)25-41)23-24-40(20-14-12-10-8-6-4-2)22-16-18-38-36(52)34(50)32(48)30(46)28(44)26-42/h27-34,41-50H,3-26H2,1-2H3,(H,37,51)(H,38,52)</t>
  </si>
  <si>
    <t>VLRJGGWTTMOUGH-UHFFFAOYSA-N</t>
  </si>
  <si>
    <t>CCCCCCCCN(C(N(C)C)=[NH2+])CCC[N+](C)(CCCCCCCC)C.[Cl-].[Cl-]</t>
  </si>
  <si>
    <t>InChI=1S/C24H52N4.2ClH/c1-7-9-11-13-15-17-20-27(24(25)26(3)4)21-19-23-28(5,6)22-18-16-14-12-10-8-2;;/h7-23H2,1-6H3;2*1H/q+2;;/p-2</t>
  </si>
  <si>
    <t>AQTAAHIOGQQVCQ-UHFFFAOYSA-L</t>
  </si>
  <si>
    <t>CCCCCCCCNC(=O)CC[N+](C)(C)CCC(=O)NCCCCCCCC.[Br-]</t>
  </si>
  <si>
    <t>N,N-dimethyl-N,N-bis[2-octaneoxycarbonyl)ethyl]ammoniumbromides</t>
  </si>
  <si>
    <t>InChI=1S/C24H49N3O2.BrH/c1-5-7-9-11-13-15-19-25-23(28)17-21-27(3,4)22-18-24(29)26-20-16-14-12-10-8-6-2;/h5-22H2,1-4H3,(H-,25,26,28,29);1H</t>
  </si>
  <si>
    <t>BOJBSKKBVSDRER-UHFFFAOYSA-N</t>
  </si>
  <si>
    <t>CCCCCCCCNCC(=O)NCOCC(CO)OCC(O)COCCCCCCCCNCC(=O)NCOCC(CO)OCC(O)COCC</t>
  </si>
  <si>
    <t>InChI=1S/C36H74N4O12/c1-3-5-6-7-10-13-16-37-19-35(45)40-30-50-28-34(22-42)52-26-32(44)24-48-18-15-12-9-8-11-14-17-38-20-36(46)39-29-49-27-33(21-41)51-25-31(43)23-47-4-2/h31-34,37-38,41-44H,3-30H2,1-2H3,(H,39,46)(H,40,45)</t>
  </si>
  <si>
    <t>CRLAUGKKIGTQOD-UHFFFAOYSA-N</t>
  </si>
  <si>
    <t>O[C@@H](COC(CCCCCCC)=O)[C@@H](O)[C@H](O)CO</t>
  </si>
  <si>
    <t>1-O-octanoyl-D,L-xylitol</t>
  </si>
  <si>
    <t>InChI=1S/C16H32O8/c1-2-3-4-5-6-7-8-24-16(23)13(11(19)9-17)15(22)14(21)12(20)10-18/h11-15,17-22H,2-10H2,1H3/t11-,12-,13?,14?,15+/m0/s1</t>
  </si>
  <si>
    <t>KMEYHMHQACZXAK-APSKQVOWSA-N</t>
  </si>
  <si>
    <t>NC(NCCCC(C(NCCCCCCCCCC)=O)[NH3+])=[NH2+].[Cl-].[Cl-]</t>
  </si>
  <si>
    <t>Arginine-N-dodecylamidedihydrochloride</t>
  </si>
  <si>
    <t>InChI=1S/C14H28N4O2.2ClH/c1-2-3-4-5-6-7-11-20-13(19)12(15)9-8-10-18-14(16)17;;/h12,14,18H,2-11,16H2,1H3;2*1H/q+2;;/p-2</t>
  </si>
  <si>
    <t>BJUMRGJHWZJGFP-UHFFFAOYSA-L</t>
  </si>
  <si>
    <t>CCCCCCCCOC(=O)CC(C(=O)OCCCCCCCC)S(=O)(=O)[O-].[Na+]</t>
  </si>
  <si>
    <t>sodium-1,4-dioctoxy-1,4-dioxobutane-2-sulfonate</t>
  </si>
  <si>
    <t>InChI=1S/C20H38O7S.Na/c1-3-5-7-9-11-13-15-26-19(21)17-18(28(23,24)25)20(22)27-16-14-12-10-8-6-4-2;/h18H,3-17H2,1-2H3,(H,23,24,25);/q;+1/p-1</t>
  </si>
  <si>
    <t>RCIJACVHOIKRAP-UHFFFAOYSA-M</t>
  </si>
  <si>
    <t>CCCCCCCCOC(=O)CC([N+])C(=O)OCCCCCC.[Cl-]</t>
  </si>
  <si>
    <t>10.1002/jsde.12437</t>
  </si>
  <si>
    <t>InChI=1S/C18H33NO4.ClH/c1-3-5-7-9-10-12-13-22-17(20)15-16(19)18(21)23-14-11-8-6-4-2;/h16H,3-15H2,1-2H3;1H/q+1;/p-1</t>
  </si>
  <si>
    <t>BELZWBWEBHYTHR-UHFFFAOYSA-M</t>
  </si>
  <si>
    <t>CCCCCCCCOC(=O)CS(=O)(=O)[O-].[Na+]</t>
  </si>
  <si>
    <t>sodium-2-octoxy-2-oxoethanesulfonate</t>
  </si>
  <si>
    <t>InChI=1S/C10H20O5S.Na/c1-2-3-4-5-6-7-8-15-10(11)9-16(12,13)14;/h2-9H2,1H3,(H,12,13,14);/q;+1/p-1</t>
  </si>
  <si>
    <t>PFDIDGFAIAAGSH-UHFFFAOYSA-M</t>
  </si>
  <si>
    <t>CCCCCCCCOC(=O)C[N+](C)(C)CC[N+](C)(C)CC(=O)OCCCCCCCC.[Cl-].[Cl-]</t>
  </si>
  <si>
    <t>10.1016/j.molliq.2016.05.083</t>
  </si>
  <si>
    <t>InChI=1S/C26H54N2O4.2ClH/c1-7-9-11-13-15-17-21-31-25(29)23-27(3,4)19-20-28(5,6)24-26(30)32-22-18-16-14-12-10-8-2;;/h7-24H2,1-6H3;2*1H/q+2;;/p-2</t>
  </si>
  <si>
    <t>ZNPDONAKDSEEMC-UHFFFAOYSA-L</t>
  </si>
  <si>
    <t>CCCCCCCCOC(=O)C[N+](CC)(CC)c1ccc(C=NCCN=Cc2ccc([N+](CC)(CC)CC(=O)OCCCCCCCC)cc2)cc1.[Cl-].[Cl-]</t>
  </si>
  <si>
    <t>InChI=1S/C44H72N4O4.2ClH/c1-7-13-15-17-19-21-33-51-43(49)37-47(9-3,10-4)41-27-23-39(24-28-41)35-45-31-32-46-36-40-25-29-42(30-26-40)48(11-5,12-6)38-44(50)52-34-22-20-18-16-14-8-2;;/h23-30,35-36H,7-22,31-34,37-38H2,1-6H3;2*1H/q+2;;/p-2</t>
  </si>
  <si>
    <t>OQJITBPWQJVQJP-UHFFFAOYSA-L</t>
  </si>
  <si>
    <t>CCCCCCCCOC(=O)C[n+]1cccc(N=Cc2ccc(O)c(OC)c2)c1.[Br-]</t>
  </si>
  <si>
    <t>InChI=1S/C23H30N2O4.BrH/c1-3-4-5-6-7-8-14-29-23(27)18-25-13-9-10-20(17-25)24-16-19-11-12-21(26)22(15-19)28-2;/h9-13,15-17H,3-8,14,18H2,1-2H3;1H</t>
  </si>
  <si>
    <t>ZPYGXQCFUKRSEY-UHFFFAOYSA-N</t>
  </si>
  <si>
    <t>CCCCCCCCOC(CO)CO</t>
  </si>
  <si>
    <t>InChI=1S/C11H24O3/c1-2-3-4-5-6-7-8-14-11(9-12)10-13/h11-13H,2-10H2,1H3</t>
  </si>
  <si>
    <t>CNCADJQPAKJTNP-UHFFFAOYSA-N</t>
  </si>
  <si>
    <t>O[C@@H](COCCCCCCCC)[C@@H](O)[C@H](O)CO</t>
  </si>
  <si>
    <t>1-O-octyl-D,L-xylitol</t>
  </si>
  <si>
    <t>InChI=1S/C15H32O7/c1-2-3-4-5-6-7-8-22-15(12(19)10-17)14(21)13(20)11(18)9-16/h11-21H,2-10H2,1H3/t11-,12-,13?,14-,15?/m0/s1</t>
  </si>
  <si>
    <t>BAMZCHPZQASKOM-ZHLCCONPSA-N</t>
  </si>
  <si>
    <t>CCCCCCCCOC1OC(CO)C(O)C(O)C1O</t>
  </si>
  <si>
    <t>2-(hydroxymethyl)-6-octoxyoxane-3,4,5-triol</t>
  </si>
  <si>
    <t>InChI=1S/C14H28O6/c1-2-3-4-5-6-7-8-19-14-13(18)12(17)11(16)10(9-15)20-14/h10-18H,2-9H2,1H3</t>
  </si>
  <si>
    <t>HEGSGKPQLMEBJL-UHFFFAOYSA-N</t>
  </si>
  <si>
    <t>CCCCCCCCOCC(O)C(O)C(O)CO</t>
  </si>
  <si>
    <t>InChI=1S/C13H25O5/c1-2-3-4-5-6-7-8-17-11-9-10(14)12(15)13(16)18-11/h9-16H,2-8H2,1H3/t10-,11?,12+,13?/m0/s1</t>
  </si>
  <si>
    <t>KSAGFKMWQPQNGD-GMKTYKIGSA-N</t>
  </si>
  <si>
    <t>CCCCCCCCOCC(CCC[N+](C)(C)C)(CCC[N+](C)(C)C)COCCCCCCCC.[I-].[I-]</t>
  </si>
  <si>
    <t>4,4-bis(octyloxymethyl)-N,N,N,N',N',N'-hexamethyl-1,7-heptanediammoniumdiiodide</t>
  </si>
  <si>
    <t>InChI=1S/C31H68N2O2.2HI/c1-9-11-13-15-17-19-27-34-29-31(23-21-25-32(3,4)5,24-22-26-33(6,7)8)30-35-28-20-18-16-14-12-10-2;;/h9-30H2,1-8H3;2*1H/q+2;;/p-2</t>
  </si>
  <si>
    <t>JXIHMNQRYIBZFE-UHFFFAOYSA-L</t>
  </si>
  <si>
    <t>CCCCCCCCOCC(CC[N+](C)(C)C)(CC[N+](C)(C)C)COCCCCCCCC.[I-].[I-]</t>
  </si>
  <si>
    <t>3,3-bis(octyloxymethyl)-N,N,N,N',N',N'-hexamethyl-1,5-pentanediammoniumdiiodide</t>
  </si>
  <si>
    <t>InChI=1S/C29H64N2O2.2HI/c1-9-11-13-15-17-19-25-32-27-29(21-23-30(3,4)5,22-24-31(6,7)8)28-33-26-20-18-16-14-12-10-2;;/h9-28H2,1-8H3;2*1H/q+2;;/p-2</t>
  </si>
  <si>
    <t>GOABUNFXHDHHDU-UHFFFAOYSA-L</t>
  </si>
  <si>
    <t>CCCCCCCCOCC(COCCCCCCCC)(COCCC[N+](C)(C)C)COCCC[N+](C)(C)C.[I-].[I-]</t>
  </si>
  <si>
    <t>6,6-bis(octyloxymethyl)-N,N,N,N',N',N'-hexamethyl-4,8-dioxa-1,11-undecanediammoniumdiiodide</t>
  </si>
  <si>
    <t>InChI=1S/C33H72N2O4.2HI/c1-9-11-13-15-17-19-25-36-29-33(31-38-27-21-23-34(3,4)5,32-39-28-22-24-35(6,7)8)30-37-26-20-18-16-14-12-10-2;;/h9-32H2,1-8H3;2*1H/q+2;;/p-2</t>
  </si>
  <si>
    <t>GWRMOMRZXFQLPB-UHFFFAOYSA-L</t>
  </si>
  <si>
    <t>CCCCCCCCOCC(COCCCCCCCC)(COCC[N+](C)(C)C)COCC[N+](C)(C)C.[I-].[I-]</t>
  </si>
  <si>
    <t>5,5-bis(octyloxymethyl)-N,N,N,N',N',N'-hexamethyl-3,7-dioxa-1,9-nonanediammoniumdiiodide</t>
  </si>
  <si>
    <t>InChI=1S/C31H68N2O4.2HI/c1-9-11-13-15-17-19-23-34-27-31(29-36-25-21-32(3,4)5,30-37-26-22-33(6,7)8)28-35-24-20-18-16-14-12-10-2;;/h9-30H2,1-8H3;2*1H/q+2;;/p-2</t>
  </si>
  <si>
    <t>MAHFJSFFBHMKNB-UHFFFAOYSA-L</t>
  </si>
  <si>
    <t>CCCCCCCCOCC(COCCCCCCCC)(C[N+](C)(C)C)C[N+](C)(C)C.[I-].[I-]</t>
  </si>
  <si>
    <t>2,2-bis(octyloxymethyl)-N,N,N,N',N',N'-hexamethyl-1,3-propanediammoniumdiiodide</t>
  </si>
  <si>
    <t>InChI=1S/C27H60N2O2.2HI/c1-9-11-13-15-17-19-21-30-25-27(23-28(3,4)5,24-29(6,7)8)26-31-22-20-18-16-14-12-10-2;;/h9-26H2,1-8H3;2*1H/q+2;;/p-2</t>
  </si>
  <si>
    <t>LRUXRDJPFAFFGI-UHFFFAOYSA-L</t>
  </si>
  <si>
    <t>CCCCCCCCOCC(O)CO</t>
  </si>
  <si>
    <t>3-octoxypropane-1,2-diol</t>
  </si>
  <si>
    <t>InChI=1S/C11H24O3/c1-2-3-4-5-6-7-8-14-10-11(13)9-12/h11-13H,2-10H2,1H3</t>
  </si>
  <si>
    <t>GUPXYSSGJWIURR-UHFFFAOYSA-N</t>
  </si>
  <si>
    <t>2-octoxyethanol</t>
  </si>
  <si>
    <t>InChI=1S/C10H22O2/c1-2-3-4-5-6-7-9-12-10-8-11/h11H,2-10H2,1H3</t>
  </si>
  <si>
    <t>ZQCIMPBZCZUDJM-UHFFFAOYSA-N</t>
  </si>
  <si>
    <t>CCCCCCCCOCCOCCOCCO</t>
  </si>
  <si>
    <t>10.1063/1.1874872</t>
  </si>
  <si>
    <t>2-[2-(2-octoxyethoxy)ethoxy]ethanol</t>
  </si>
  <si>
    <t>InChI=1S/C14H30O4/c1-2-3-4-5-6-7-9-16-11-13-18-14-12-17-10-8-15/h15H,2-14H2,1H3</t>
  </si>
  <si>
    <t>XIVLVYLYOMHUGB-UHFFFAOYSA-N</t>
  </si>
  <si>
    <t>CCCCCCCCOCCOCCOCCOCCO</t>
  </si>
  <si>
    <t>10.1007/s00396-007-1747-0</t>
  </si>
  <si>
    <t>InChI=1S/C16H34O5/c1-2-3-4-5-6-7-9-18-11-13-20-15-16-21-14-12-19-10-8-17/h17H,2-16H2,1H3</t>
  </si>
  <si>
    <t>FEOZZFHAVXYAMB-UHFFFAOYSA-N</t>
  </si>
  <si>
    <t>10.1021/j100157a033</t>
  </si>
  <si>
    <t>InChI=1S/C18H38O6/c1-2-3-4-5-6-7-9-20-11-13-22-15-17-24-18-16-23-14-12-21-10-8-19/h19H,2-18H2,1H3</t>
  </si>
  <si>
    <t>MJELOWOAIAAUJT-UHFFFAOYSA-N</t>
  </si>
  <si>
    <t>10.1039/TF9646000202</t>
  </si>
  <si>
    <t>InChI=1S/C20H42O7/c1-2-3-4-5-6-7-9-22-11-13-24-15-17-26-19-20-27-18-16-25-14-12-23-10-8-21/h21H,2-20H2,1H3</t>
  </si>
  <si>
    <t>VVSOZSGWKFPDFX-UHFFFAOYSA-N</t>
  </si>
  <si>
    <t>CCCCCCCCOCOC(O)[C@H]1OC(O)[C@H](O)[C@@H](O)[C@@H]1O</t>
  </si>
  <si>
    <t>InChI=1S/C15H30O8/c1-2-3-4-5-6-7-8-21-9-22-15(20)13-11(17)10(16)12(18)14(19)23-13/h10-20H,2-9H2,1H3/t10-,11-,12+,13-,14?,15?/m0/s1</t>
  </si>
  <si>
    <t>SRNPGLOVLMCVOI-MNTSOTEJSA-N</t>
  </si>
  <si>
    <t>CCCCCCCCC(OCC(C(C(CO)O)O)O)=O</t>
  </si>
  <si>
    <t>InChI=1S/C14H27O6/c1-2-3-4-5-6-7-8-18-10-19-12-9-11(15)13(16)14(17)20-12/h9,11-17H,2-8,10H2,1H3/t11-,12?,13+,14?/m0/s1</t>
  </si>
  <si>
    <t>RTMSBIIKRFLZRV-RJZJGCCBSA-N</t>
  </si>
  <si>
    <t>CCCCCCCCOCOC[C@H]1O[C@@H](O[C@@H]([C@H](O)[C@@H](O)CO)[C@H](O)CO)[C@H](O)[C@@H](O)[C@H]1O</t>
  </si>
  <si>
    <t>InChI=1S/C21H42O12/c1-2-3-4-5-6-7-8-30-12-31-11-15-17(27)18(28)19(29)21(32-15)33-20(14(25)10-23)16(26)13(24)9-22/h13-29H,2-12H2,1H3/t13-,14+,15+,16+,17-,18-,19+,20+,21-/m0/s1</t>
  </si>
  <si>
    <t>LJTRUTZHRGDPHM-UIHRYHLPSA-N</t>
  </si>
  <si>
    <t>CCCCCCCCOCOC[C@H]1O[C@@H](O[C@H]2[C@H](O)[C@@H](O)[C@H](O)O[C@@H]2CO)[C@H](O)[C@@H](O)[C@H]1O</t>
  </si>
  <si>
    <t>InChI=1S/C21H40O12/c1-2-3-4-5-6-7-8-29-11-30-10-13-14(23)15(24)18(27)21(32-13)33-19-12(9-22)31-20(28)17(26)16(19)25/h12-28H,2-11H2,1H3/t12-,13-,14+,15+,16-,17-,18-,19-,20-,21+/m1/s1</t>
  </si>
  <si>
    <t>DHSFNMJVZLYPNN-GHEFTXHDSA-N</t>
  </si>
  <si>
    <t>CCCCCCCCOC[C@@H](O)CO</t>
  </si>
  <si>
    <t>Octyl-D,L-glycerol</t>
  </si>
  <si>
    <t>InChI=1S/C11H24O3/c1-2-3-4-5-6-7-8-14-10-11(13)9-12/h11-13H,2-10H2,1H3/t11-/m0/s1</t>
  </si>
  <si>
    <t>GUPXYSSGJWIURR-NSHDSACASA-N</t>
  </si>
  <si>
    <t>CCCCCCCCOOCC</t>
  </si>
  <si>
    <t>1-ethylperoxyoctane</t>
  </si>
  <si>
    <t>InChI=1S/C10H22O2/c1-3-5-6-7-8-9-10-12-11-4-2/h3-10H2,1-2H3</t>
  </si>
  <si>
    <t>BTJPVBOKWDULKX-UHFFFAOYSA-N</t>
  </si>
  <si>
    <t>CCCCCCCCOOCCOCCOCC</t>
  </si>
  <si>
    <t>InChI=1S/C14H30O4/c1-3-5-6-7-8-9-10-17-18-14-13-16-12-11-15-4-2/h3-14H2,1-2H3</t>
  </si>
  <si>
    <t>SDPYZSONVXQDKO-UHFFFAOYSA-N</t>
  </si>
  <si>
    <t>CCCCCCCCOOCCOCCOCCOCC</t>
  </si>
  <si>
    <t>InChI=1S/C16H34O5/c1-3-5-6-7-8-9-10-20-21-16-15-19-14-13-18-12-11-17-4-2/h3-16H2,1-2H3</t>
  </si>
  <si>
    <t>PVIVHFJCYASYOA-UHFFFAOYSA-N</t>
  </si>
  <si>
    <t>CCCCCCCCOOCCOCCOCCOCCOCC</t>
  </si>
  <si>
    <t>InChI=1S/C18H38O6/c1-3-5-6-7-8-9-10-23-24-18-17-22-16-15-21-14-13-20-12-11-19-4-2/h3-18H2,1-2H3</t>
  </si>
  <si>
    <t>DUEUAILZUDKZGY-UHFFFAOYSA-N</t>
  </si>
  <si>
    <t>CCCCCCCCOOCCOCCOCCOCCOCCOCC</t>
  </si>
  <si>
    <t>InChI=1S/C20H42O7/c1-3-5-6-7-8-9-10-26-27-20-19-25-18-17-24-16-15-23-14-13-22-12-11-21-4-2/h3-20H2,1-2H3</t>
  </si>
  <si>
    <t>DZEFVURAUVPCTN-UHFFFAOYSA-N</t>
  </si>
  <si>
    <t>CCCCCCCCOOCCOCCOCCOCCOCCOCCOCCOCCOCC</t>
  </si>
  <si>
    <t>InChI=1S/C26H54O10/c1-3-5-6-7-8-9-10-35-36-26-25-34-24-23-33-22-21-32-20-19-31-18-17-30-16-15-29-14-13-28-12-11-27-4-2/h3-26H2,1-2H3</t>
  </si>
  <si>
    <t>QZMXVIJWNZUGPD-UHFFFAOYSA-N</t>
  </si>
  <si>
    <t>CCCCCCCCOP(=O)([O-])OCC[N+](C)(C)CCCCCCCC</t>
  </si>
  <si>
    <t>InChI=1S/C20H44NO4P/c1-5-7-9-11-13-15-17-21(3,4)18-20-25-26(22,23)24-19-16-14-12-10-8-6-2/h5-20H2,1-4H3</t>
  </si>
  <si>
    <t>CJTNDIQALZLHGN-UHFFFAOYSA-N</t>
  </si>
  <si>
    <t>CCCCCCCCOS(=O)(=O)[O-].[Na+]</t>
  </si>
  <si>
    <t>sodium-octyl-sulfate</t>
  </si>
  <si>
    <t>InChI=1S/C8H18O4S.Na/c1-2-3-4-5-6-7-8-12-13(9,10)11;/h2-8H2,1H3,(H,9,10,11);/q;+1/p-1</t>
  </si>
  <si>
    <t>WFRKJMRGXGWHBM-UHFFFAOYSA-M</t>
  </si>
  <si>
    <t>CCCCCCCCO[C@@H]1O[C@H](CO)[C@@H](O)[C@H](O)[C@H]1N</t>
  </si>
  <si>
    <t>2-Amino-2-deoxy-octyl-Î²-D-glucoside</t>
  </si>
  <si>
    <t>InChI=1S/C14H29NO5/c1-2-3-4-5-6-7-8-19-14-11(15)13(18)12(17)10(9-16)20-14/h10-14,16-18H,2-9,15H2,1H3/t10-,11-,12-,13-,14-/m1/s1</t>
  </si>
  <si>
    <t>LFWLZEWJLCKNBG-DHGKCCLASA-N</t>
  </si>
  <si>
    <t>CCCCCCCCO[C@@H]1O[C@H](CO)[C@@H](O)[C@H](O)[C@H]1O</t>
  </si>
  <si>
    <t>Octyl-Î²-D-glucoside</t>
  </si>
  <si>
    <t>InChI=1S/C14H28O6/c1-2-3-4-5-6-7-8-19-14-13(18)12(17)11(16)10(9-15)20-14/h10-18H,2-9H2,1H3/t10-,11-,12+,13-,14-/m1/s1</t>
  </si>
  <si>
    <t>HEGSGKPQLMEBJL-RKQHYHRCSA-N</t>
  </si>
  <si>
    <t>CCCCCCCCO[C@@H]1O[C@H](CO)[C@H](O)[C@H](O)[C@H]1O</t>
  </si>
  <si>
    <t>Octyl-Î²-D-galactoside</t>
  </si>
  <si>
    <t>InChI=1S/C14H28O6/c1-2-3-4-5-6-7-8-19-14-13(18)12(17)11(16)10(9-15)20-14/h10-18H,2-9H2,1H3/t10-,11+,12+,13-,14-/m1/s1</t>
  </si>
  <si>
    <t>HEGSGKPQLMEBJL-MBJXGIAVSA-N</t>
  </si>
  <si>
    <t>CCCCCCCCO[C@H]1O[C@H](CO)[C@@H](O)[C@H](O)[C@@H]1O</t>
  </si>
  <si>
    <t>Octyl-Î±-D-mannoside</t>
  </si>
  <si>
    <t>InChI=1S/C14H28O6/c1-2-3-4-5-6-7-8-19-14-13(18)12(17)11(16)10(9-15)20-14/h10-18H,2-9H2,1H3/t10-,11-,12+,13+,14+/m1/s1</t>
  </si>
  <si>
    <t>HEGSGKPQLMEBJL-DGTMBMJNSA-N</t>
  </si>
  <si>
    <t>CCCCCCCCOc1ccc(NC(=O)C[N+](C)(C)CCCCCC[N+](C)(C)CC(=O)Nc2ccc(OCCCCCCCC)cc2)cc1.[Br-].[Br-]</t>
  </si>
  <si>
    <t>N,N,Nâ€²,Nâ€²-tetramethyloctylenediaminewith2-bromo-N-(4-(hexyloxy)phenyl)acetamide</t>
  </si>
  <si>
    <t>InChI=1S/C42H70N4O4.2BrH/c1-7-9-11-13-17-21-33-49-39-27-23-37(24-28-39)43-41(47)35-45(3,4)31-19-15-16-20-32-46(5,6)36-42(48)44-38-25-29-40(30-26-38)50-34-22-18-14-12-10-8-2;;/h23-30H,7-22,31-36H2,1-6H3;2*1H</t>
  </si>
  <si>
    <t>LLORBXYCDIJVDX-UHFFFAOYSA-N</t>
  </si>
  <si>
    <t>CCCCCCCCOc1ccc(NC(=O)C[N+](C)(C)CCCC[N+](C)(C)CC(=O)Nc2ccc(OCCCCCCCC)cc2)cc1.[Br-].[Br-]</t>
  </si>
  <si>
    <t>N,N,Nâ€²,Nâ€²-tetramethyloctylenediaminewith2-bromo-N-(4-(butyloxy)phenyl)acetamide</t>
  </si>
  <si>
    <t>InChI=1S/C40H66N4O4.2BrH/c1-7-9-11-13-15-19-31-47-37-25-21-35(22-26-37)41-39(45)33-43(3,4)29-17-18-30-44(5,6)34-40(46)42-36-23-27-38(28-24-36)48-32-20-16-14-12-10-8-2;;/h21-28H,7-20,29-34H2,1-6H3;2*1H</t>
  </si>
  <si>
    <t>FXDZXRCJJSNSRN-UHFFFAOYSA-N</t>
  </si>
  <si>
    <t>CCCCCCCCOc1ccc(NC(=O)C[N+](C)(C)CC[N+](C)(C)CC(=O)Nc2ccc(OCCCCCCCC)cc2)cc1.[Br-].[Br-]</t>
  </si>
  <si>
    <t>N,N,Nâ€²,Nâ€²-tetramethyloctylenediaminewith2-bromo-N-(4-(ethyloxy)phenyl)acetamide</t>
  </si>
  <si>
    <t>InChI=1S/C38H62N4O4.2BrH/c1-7-9-11-13-15-17-29-45-35-23-19-33(20-24-35)39-37(43)31-41(3,4)27-28-42(5,6)32-38(44)40-34-21-25-36(26-22-34)46-30-18-16-14-12-10-8-2;;/h19-26H,7-18,27-32H2,1-6H3;2*1H</t>
  </si>
  <si>
    <t>WRNPLFPFGAZEGV-UHFFFAOYSA-N</t>
  </si>
  <si>
    <t>CCCCCCCCS(=O)(=O)[O-].[Na+]</t>
  </si>
  <si>
    <t>sodium-octane-1-sulfonate</t>
  </si>
  <si>
    <t>InChI=1S/C8H18O3S.Na/c1-2-3-4-5-6-7-8-12(9,10)11;/h2-8H2,1H3,(H,9,10,11);/q;+1/p-1</t>
  </si>
  <si>
    <t>HRQDCDQDOPSGBR-UHFFFAOYSA-M</t>
  </si>
  <si>
    <t>CCCCCCCCSC[C@@H]1OC([C@H](O)[C@H]1O)=O</t>
  </si>
  <si>
    <t>S-octyl5-thio-D-arabinonolactone</t>
  </si>
  <si>
    <t>InChI=1S/C13H24O5S/c1-2-3-4-5-6-7-8-19-13(17)11-9(14)10(15)12(16)18-11/h9-11,13-15,17H,2-8H2,1H3/t9-,10-,11-,13?/m0/s1</t>
  </si>
  <si>
    <t>BPBBNDZRLVSWMY-BGJXXYSSSA-N</t>
  </si>
  <si>
    <t>O[C@H]([C@@H](O1)CSCCCCCCCC)[C@H](O)C1=O</t>
  </si>
  <si>
    <t>S-octyl5-thio-D-xylonolactone</t>
  </si>
  <si>
    <t>InChI=1S/C13H24O5S/c1-2-3-4-5-6-7-8-19-13-11(16)9(14)10(15)12(17)18-13/h9-11,13-16H,2-8H2,1H3/t9-,10-,11+,13?/m1/s1</t>
  </si>
  <si>
    <t>NBMJHQDUNPDMJY-WHKIEGFNSA-N</t>
  </si>
  <si>
    <t>CCCCCCCCS[C@@H]1O[C@H]([C@@H]([C@H]([C@@H]1O)O)O)CO</t>
  </si>
  <si>
    <t>10.1021/jp0480551</t>
  </si>
  <si>
    <t>Octyl-Î²-D-thioglucoside</t>
  </si>
  <si>
    <t>InChI=1S/C14H28O5S/c1-2-3-4-5-6-7-8-20-14-13(18)12(17)11(16)10(9-15)19-14/h10-18H,2-9H2,1H3</t>
  </si>
  <si>
    <t>CGVLVOOFCGWBCS-UHFFFAOYSA-N</t>
  </si>
  <si>
    <t>CCCCCCCCSCC(CO)OCC(O)CO</t>
  </si>
  <si>
    <t>InChI=1S/C14H30O4S/c1-2-3-4-5-6-7-8-19-12-14(10-16)18-11-13(17)9-15/h13-17H,2-12H2,1H3</t>
  </si>
  <si>
    <t>OKMBDCKASPABBQ-UHFFFAOYSA-N</t>
  </si>
  <si>
    <t>CCCCCCCCSC[C@@H](O)[C@@H](O)[C@@H](O)CO</t>
  </si>
  <si>
    <t>S-octyl1-thio-L-ribitol</t>
  </si>
  <si>
    <t>InChI=1S/C13H28O4S/c1-2-3-4-5-6-7-8-18-10-12(16)13(17)11(15)9-14/h11-17H,2-10H2,1H3/t11-,12+,13-/m0/s1</t>
  </si>
  <si>
    <t>FDSWKFGOZVKWGW-XQQFMLRXSA-N</t>
  </si>
  <si>
    <t>CCCCCCCCSC[C@@H](O)[C@@H](O)[C@H](O)CO</t>
  </si>
  <si>
    <t>S-octyl1-thio-D-lyxitol</t>
  </si>
  <si>
    <t>InChI=1S/C13H28O4S/c1-2-3-4-5-6-7-8-18-10-12(16)13(17)11(15)9-14/h11-17H,2-10H2,1H3/t11-,12-,13+/m1/s1</t>
  </si>
  <si>
    <t>FDSWKFGOZVKWGW-UPJWGTAASA-N</t>
  </si>
  <si>
    <t>O[C@@H]([C@H](O)CSCCCCCCCC)[C@@H](O)CO</t>
  </si>
  <si>
    <t>S-octyl1-thio-L-xylitol</t>
  </si>
  <si>
    <t>InChI=1S/C13H28O4S/c1-2-3-4-5-6-7-8-18-10-12(16)13(17)11(15)9-14/h11-17H,2-10H2,1H3/t11-,12-,13+/m0/s1</t>
  </si>
  <si>
    <t>FDSWKFGOZVKWGW-RWMBFGLXSA-N</t>
  </si>
  <si>
    <t>CCCCCCCC[N+](C)(C)C.[Br-]</t>
  </si>
  <si>
    <t>trimethyl(octyl)azanium-bromide</t>
  </si>
  <si>
    <t>InChI=1S/C11H26N.BrH/c1-5-6-7-8-9-10-11-12(2,3)4;/h5-11H2,1-4H3;1H/q+1;/p-1</t>
  </si>
  <si>
    <t>XCOHAFVJQZPUKF-UHFFFAOYSA-M</t>
  </si>
  <si>
    <t>CCCCCCCC[N+](C)(C)CC#CC[N+](C)(C)CCCCCCCC.[Br-].[Br-]</t>
  </si>
  <si>
    <t>InChI=1S/C24H50N2.2BrH/c1-7-9-11-13-15-17-21-25(3,4)23-19-20-24-26(5,6)22-18-16-14-12-10-8-2;;/h7-18,21-24H2,1-6H3;2*1H/q+2;;/p-2</t>
  </si>
  <si>
    <t>HSRVYDZXPGSLRX-UHFFFAOYSA-L</t>
  </si>
  <si>
    <t>CCCCCCCC[N+](C)(C)CC(=O)[O-]</t>
  </si>
  <si>
    <t>2-[dimethyl(octyl)azaniumyl]acetate</t>
  </si>
  <si>
    <t>InChI=1S/C12H25NO2/c1-4-5-6-7-8-9-10-13(2,3)11-12(14)15/h4-11H2,1-3H3</t>
  </si>
  <si>
    <t>YPUUGRMTUUCONZ-UHFFFAOYSA-N</t>
  </si>
  <si>
    <t>CCCCCCCC[N+](C)(C)CC(O)COCCOCC(O)C[N+](C)(C)CCCCCCCC.[Br-].[Br-]</t>
  </si>
  <si>
    <t>InChI=1S/C28H62N2O4.2BrH/c1-7-9-11-13-15-17-19-29(3,4)23-27(31)25-33-21-22-34-26-28(32)24-30(5,6)20-18-16-14-12-10-8-2;;/h27-28,31-32H,7-26H2,1-6H3;2*1H/q+2;;/p-2</t>
  </si>
  <si>
    <t>DVPPNMGORYALIM-UHFFFAOYSA-L</t>
  </si>
  <si>
    <t>CCCCCCCC[N+](C)(C)CC(O)COCCOCCOCC(O)C[N+](C)(C)CCCCCCCC.[Br-].[Br-]</t>
  </si>
  <si>
    <t>Î±,Ï‰-Bis(octyldimethylammoniomethyl)tetraoxyethyleneglycoldibromide</t>
  </si>
  <si>
    <t>InChI=1S/C30H66N2O5.2BrH/c1-7-9-11-13-15-17-19-31(3,4)25-29(33)27-36-23-21-35-22-24-37-28-30(34)26-32(5,6)20-18-16-14-12-10-8-2;;/h29-30,33-34H,7-28H2,1-6H3;2*1H/q+2;;/p-2</t>
  </si>
  <si>
    <t>QNGZCSYTUADBGH-UHFFFAOYSA-L</t>
  </si>
  <si>
    <t>CCCCCCCC[N+](C)(C)CC(O)COCCOCCOCCOCC(O)C[N+](C)(C)CCCCCCCC.[Br-].[Br-]</t>
  </si>
  <si>
    <t>InChI=1S/C32H70N2O6.2BrH/c1-7-9-11-13-15-17-19-33(3,4)27-31(35)29-39-25-23-37-21-22-38-24-26-40-30-32(36)28-34(5,6)20-18-16-14-12-10-8-2;;/h31-32,35-36H,7-30H2,1-6H3;2*1H/q+2;;/p-2</t>
  </si>
  <si>
    <t>JINVGLCOUNDBGO-UHFFFAOYSA-L</t>
  </si>
  <si>
    <t>CCCCCCCC[N+](C)(C)CCCCCCCC.[Br-]</t>
  </si>
  <si>
    <t>InChI=1S/C18H40N.BrH/c1-5-7-9-11-13-15-17-19(3,4)18-16-14-12-10-8-6-2;/h5-18H2,1-4H3;1H/q+1;/p-1</t>
  </si>
  <si>
    <t>APTVNWGLSRAOFJ-UHFFFAOYSA-M</t>
  </si>
  <si>
    <t>CCCCCCCC[N+](C)(C)CCCCCC[N+](C)(C)CCCCCCCC.[Br-].[Br-]</t>
  </si>
  <si>
    <t>InChI=1S/C26H58N2.2BrH/c1-7-9-11-13-15-19-23-27(3,4)25-21-17-18-22-26-28(5,6)24-20-16-14-12-10-8-2;;/h7-26H2,1-6H3;2*1H/q+2;;/p-2</t>
  </si>
  <si>
    <t>QCRBRNLZCSIHJK-UHFFFAOYSA-L</t>
  </si>
  <si>
    <t>CCCCCCCC[N+](C)(C)CCCCC[N+](C)(C)CCCCCCCC.[Br-].[Br-]</t>
  </si>
  <si>
    <t>N,N'-bis(octyldimethyl)-3-methyl-1,5-pentanediammoniumdibromide</t>
  </si>
  <si>
    <t>InChI=1S/C25H56N2.2BrH/c1-7-9-11-13-15-18-22-26(3,4)24-20-17-21-25-27(5,6)23-19-16-14-12-10-8-2;;/h7-25H2,1-6H3;2*1H/q+2;;/p-2</t>
  </si>
  <si>
    <t>ZTFJLNHBYQFRRM-UHFFFAOYSA-L</t>
  </si>
  <si>
    <t>CCCCCCCC[N+](C)(C)CCCCNC[N+](C)(C)CCCCCCCC.[Br-].[Br-]</t>
  </si>
  <si>
    <t>InChI=1S/C25H57N3.2BrH/c1-7-9-11-13-15-18-22-27(3,4)23-20-17-21-26-25-28(5,6)24-19-16-14-12-10-8-2;;/h26H,7-25H2,1-6H3;2*1H/q+2;;/p-2</t>
  </si>
  <si>
    <t>IEEFTJAPTKCGFD-UHFFFAOYSA-L</t>
  </si>
  <si>
    <t>CCCCCCCC[N+](C)(C)CCCCO[N+](C)(C)CCCCCCCC.[Br-].[Br-]</t>
  </si>
  <si>
    <t>InChI=1S/C24H54N2O.2BrH/c1-7-9-11-13-15-17-21-25(3,4)22-19-20-24-27-26(5,6)23-18-16-14-12-10-8-2;;/h7-24H2,1-6H3;2*1H/q+2;;/p-2</t>
  </si>
  <si>
    <t>IGWBWFUJECEDCQ-UHFFFAOYSA-L</t>
  </si>
  <si>
    <t>CCCCCCCC[N+](C)(C)CCCC[N+](C)(C)CCCCCCCC.[Br-].[Br-]</t>
  </si>
  <si>
    <t>InChI=1S/C24H54N2.2BrH/c1-7-9-11-13-15-17-21-25(3,4)23-19-20-24-26(5,6)22-18-16-14-12-10-8-2;;/h7-24H2,1-6H3;2*1H/q+2;;/p-2</t>
  </si>
  <si>
    <t>VQBPBZFPJCJXQD-UHFFFAOYSA-L</t>
  </si>
  <si>
    <t>CCCCCCCC[N+](C)(CCCNC(N(C)C)=[NH2+])C.[Br-].[Br-]</t>
  </si>
  <si>
    <t>InChI=1S/C16H36N4.2BrH/c1-6-7-8-9-10-11-14-20(4,5)15-12-13-18-16(17)19(2)3;;/h18H,6-15H2,1-5H3;2*1H/q+2;;/p-2</t>
  </si>
  <si>
    <t>NMLKZJWAJGADAJ-UHFFFAOYSA-L</t>
  </si>
  <si>
    <t>CCCCCCCC[N+](C)(C)CCC[N+](C)(C)CCCCCCCC.[Br-].[Br-]</t>
  </si>
  <si>
    <t>InChI=1S/C23H52N2.2BrH/c1-7-9-11-13-15-17-20-24(3,4)22-19-23-25(5,6)21-18-16-14-12-10-8-2;;/h7-23H2,1-6H3;2*1H/q+2;;/p-2</t>
  </si>
  <si>
    <t>NLIITPNWOLYYBE-UHFFFAOYSA-L</t>
  </si>
  <si>
    <t>CCCCCCCC[N+](C)(C)CCN(C)CC[N+](C)(C)CCCCCCCC.[Br-].[Br-]</t>
  </si>
  <si>
    <t>N,N'-bis(octyldimethyl)-3-N-methyl-1,5-pentanediammoniumdibromide</t>
  </si>
  <si>
    <t>InChI=1S/C25H57N3.2BrH/c1-8-10-12-14-16-18-22-27(4,5)24-20-26(3)21-25-28(6,7)23-19-17-15-13-11-9-2;;/h8-25H2,1-7H3;2*1H/q+2;;/p-2</t>
  </si>
  <si>
    <t>JCHWIIPFZQNAES-UHFFFAOYSA-L</t>
  </si>
  <si>
    <t>CCCCCCCC[N+](C)(C)CCN=Cc1ccc(OC)c(OC)c1.[Br-]</t>
  </si>
  <si>
    <t>N-(2-((3,4-dimethoxybenzylidene)amino)ethyl)-N,N-dimethyloctan-1-aminiumbromide</t>
  </si>
  <si>
    <t>InChI=1S/C21H37N2O2.BrH/c1-6-7-8-9-10-11-15-23(2,3)16-14-22-18-19-12-13-20(24-4)21(17-19)25-5;/h12-13,17-18H,6-11,14-16H2,1-5H3;1H/q+1;/p-1</t>
  </si>
  <si>
    <t>YDOLNPUHQRORJP-UHFFFAOYSA-M</t>
  </si>
  <si>
    <t>CCCCCCCC[N+](C)(C)CCOC1OC(COC)C(OC)C(OC)C1OC.[Br-]</t>
  </si>
  <si>
    <t>2-bromoethyl-(2,3,4,6-tetra-O-acetyl)-Ã¢-D-glucopyranoside</t>
  </si>
  <si>
    <t>InChI=1S/C22H46NO6.BrH/c1-8-9-10-11-12-13-14-23(2,3)15-16-28-22-21(27-7)20(26-6)19(25-5)18(29-22)17-24-4;/h18-22H,8-17H2,1-7H3;1H/q+1;/p-1</t>
  </si>
  <si>
    <t>YPGJJCBRFBWFML-UHFFFAOYSA-M</t>
  </si>
  <si>
    <t>CCCCCCCC[N+](C)(C)CCOCCO.[Br-]</t>
  </si>
  <si>
    <t>N-(2-(2-hydroxyethoxy)ethyl)-N,N-dimethyldodecan-1-aminiumbromide</t>
  </si>
  <si>
    <t>InChI=1S/C14H32NO2.BrH/c1-4-5-6-7-8-9-10-15(2,3)11-13-17-14-12-16;/h16H,4-14H2,1-3H3;1H/q+1;/p-1</t>
  </si>
  <si>
    <t>SQXUZNZHNRYUEC-UHFFFAOYSA-M</t>
  </si>
  <si>
    <t>CCCCCCCC[N+](C)(C)CCOCC[N+](C)(C)CCCCCCCC.[Br-].[Br-]</t>
  </si>
  <si>
    <t>10.1016/j.crci.2019.04.002</t>
  </si>
  <si>
    <t>2-[2-[dimethyl(octyl)azaniumyl]ethoxy]ethyl-dimethyl-octylazanium-dibromide</t>
  </si>
  <si>
    <t>InChI=1S/C24H54N2O.2BrH/c1-7-9-11-13-15-17-19-25(3,4)21-23-27-24-22-26(5,6)20-18-16-14-12-10-8-2;;/h7-24H2,1-6H3;2*1H/q+2;;/p-2</t>
  </si>
  <si>
    <t>XICNBWOUXVORMU-UHFFFAOYSA-L</t>
  </si>
  <si>
    <t>CCCCCCCC[N+](C)(C)CCSCC[N+](C)(C)CCCCCCCC.[Br-].[Br-]</t>
  </si>
  <si>
    <t>InChI=1S/C24H54N2S.2BrH/c1-7-9-11-13-15-17-19-25(3,4)21-23-27-24-22-26(5,6)20-18-16-14-12-10-8-2;;/h7-24H2,1-6H3;2*1H/q+2;;/p-2</t>
  </si>
  <si>
    <t>HZCJKYVMHZSPBR-UHFFFAOYSA-L</t>
  </si>
  <si>
    <t>CCCCCCCC[N+](C)(C)CC[N+](C)(CCCCCCCC)CC[N+](C)(C)CCCCCCCC.[Br-].[Br-].[Br-]</t>
  </si>
  <si>
    <t>1,2,3-tris(octacyldimethylammonio)ethanetribromide</t>
  </si>
  <si>
    <t>InChI=1S/C33H74N3.3BrH/c1-9-12-15-18-21-24-27-34(4,5)30-32-36(8,29-26-23-20-17-14-11-3)33-31-35(6,7)28-25-22-19-16-13-10-2;;;/h9-33H2,1-8H3;3*1H/q+3;;;/p-3</t>
  </si>
  <si>
    <t>JEXWEZGWNCREAL-UHFFFAOYSA-K</t>
  </si>
  <si>
    <t>CCCCCCCC[N+](C)(C)CCc1c(CC)cccc1[N+](C)(C)CCCCCCCC.[Br-].[Br-]</t>
  </si>
  <si>
    <t>InChI=1S/C30H58N2.2BrH/c1-8-11-13-15-17-19-25-31(4,5)27-24-29-28(10-3)22-21-23-30(29)32(6,7)26-20-18-16-14-12-9-2;;/h21-23H,8-20,24-27H2,1-7H3;2*1H/q+2;;/p-2</t>
  </si>
  <si>
    <t>OWKLIIIQJDKUMK-UHFFFAOYSA-L</t>
  </si>
  <si>
    <t>CCCCCCCC[N+](C)(C)CCc1ccc(CC)cc1[N+](C)(C)CCCCCCCC.[Br-].[Br-]</t>
  </si>
  <si>
    <t>InChI=1S/C30H58N2.2BrH/c1-8-11-13-15-17-19-24-31(4,5)26-23-29-22-21-28(10-3)27-30(29)32(6,7)25-20-18-16-14-12-9-2;;/h21-22,27H,8-20,23-26H2,1-7H3;2*1H/q+2;;/p-2</t>
  </si>
  <si>
    <t>IUJOXCZAAHLWRR-UHFFFAOYSA-L</t>
  </si>
  <si>
    <t>CCCCCCCC[N+](C)(C)CCc1cccc(CC)c1[N+](C)(C)CCCCCCCC.[Br-].[Br-]</t>
  </si>
  <si>
    <t>InChI=1S/C30H58N2.2BrH/c1-8-11-13-15-17-19-25-31(4,5)27-24-29-23-21-22-28(10-3)30(29)32(6,7)26-20-18-16-14-12-9-2;;/h21-23H,8-20,24-27H2,1-7H3;2*1H/q+2;;/p-2</t>
  </si>
  <si>
    <t>RGVMCJQBHZTDBF-UHFFFAOYSA-L</t>
  </si>
  <si>
    <t>CCCCCCCC[N+](C)(C)c1ccc(C=Nc2c(C)n(C)n(-c3ccccc3)c2=O)cc1.[Br-]</t>
  </si>
  <si>
    <t>(Z)-4-(((1,5-dimethyl-3-oxo-2-phenyl-2,3-dihydro-1H-pyrazol-4-yl)imino)methyl)-N,N-dimethyl-N-octylbenzenaminiumbromide</t>
  </si>
  <si>
    <t>InChI=1S/C28H39N4O.BrH/c1-6-7-8-9-10-14-21-32(4,5)26-19-17-24(18-20-26)22-29-27-23(2)30(3)31(28(27)33)25-15-12-11-13-16-25;/h11-13,15-20,22H,6-10,14,21H2,1-5H3;1H/q+1;/p-1</t>
  </si>
  <si>
    <t>ASWVQFQDPXWAEO-UHFFFAOYSA-M</t>
  </si>
  <si>
    <t>CCCCCCCC[N+](CCCCC[N+](CCCCCCCC)(CC(C)O)CC(C)O)(CC(C)O)CC(C)O.[Br-].[Br-]</t>
  </si>
  <si>
    <t>di-2-hydroxypropyloctylamines.</t>
  </si>
  <si>
    <t>InChI=1S/C33H72N2O4.2BrH/c1-7-9-11-13-15-18-22-34(26-30(3)36,27-31(4)37)24-20-17-21-25-35(28-32(5)38,29-33(6)39)23-19-16-14-12-10-8-2;;/h30-33,36-39H,7-29H2,1-6H3;2*1H/q+2;;/p-2</t>
  </si>
  <si>
    <t>RRRIRUIKTBHBDE-UHFFFAOYSA-L</t>
  </si>
  <si>
    <t>CCCCCCCC[NH+](CC(O)C)CCCCC[NH+](CC(O)C)CCCCCCCC.[Br-].[Br-]</t>
  </si>
  <si>
    <t>2-hydroxypropyloctylamines</t>
  </si>
  <si>
    <t>InChI=1S/C27H58N2O2.2BrH/c1-5-7-9-11-13-16-20-28(24-26(3)30)22-18-15-19-23-29(25-27(4)31)21-17-14-12-10-8-6-2;;/h26-27,30-31H,5-25H2,1-4H3;2*1H/q+2;;/p-2</t>
  </si>
  <si>
    <t>ICQGJZDCUREESP-UHFFFAOYSA-L</t>
  </si>
  <si>
    <t>CCCCCCCC[N+]1(CC#CC[N+]2(CCCCCCCC)CCCC2)CCCC1.[Br-].[Br-]</t>
  </si>
  <si>
    <t>InChI=1S/C28H54N2.2BrH/c1-3-5-7-9-11-13-21-29(23-15-16-24-29)27-19-20-28-30(25-17-18-26-30)22-14-12-10-8-6-4-2;;/h3-18,21-28H2,1-2H3;2*1H/q+2;;/p-2</t>
  </si>
  <si>
    <t>AFQKYWKLEUODEO-UHFFFAOYSA-L</t>
  </si>
  <si>
    <t>CCCCCCCC[N+]1(CC#CC[N+]2(CCCCCCCC)CCCCC2)CCCCC1.[Br-].[Br-]</t>
  </si>
  <si>
    <t>InChI=1S/C30H58N2.2BrH/c1-3-5-7-9-11-15-23-31(25-17-13-18-26-31)29-21-22-30-32(27-19-14-20-28-32)24-16-12-10-8-6-4-2;;/h3-20,23-30H2,1-2H3;2*1H/q+2;;/p-2</t>
  </si>
  <si>
    <t>PZFGBEGVNHXRPX-UHFFFAOYSA-L</t>
  </si>
  <si>
    <t>CCCCCCCC[n+]1ccc(C)cc1.[Cl-]</t>
  </si>
  <si>
    <t>10.1016/j.jcis.2011.12.077</t>
  </si>
  <si>
    <t>InChI=1S/C14H24N.ClH/c1-3-4-5-6-7-8-11-15-12-9-14(2)10-13-15;/h9-10,12-13H,3-8,11H2,1-2H3;1H/q+1;/p-1</t>
  </si>
  <si>
    <t>XHEGBNCFWVDFAR-UHFFFAOYSA-M</t>
  </si>
  <si>
    <t>CCCCCCCC[n+]1cccc(C)c1.[Cl-]</t>
  </si>
  <si>
    <t>InChI=1S/C14H24N.ClH/c1-3-4-5-6-7-8-11-15-12-9-10-14(2)13-15;/h9-10,12-13H,3-8,11H2,1-2H3;1H/q+1;/p-1</t>
  </si>
  <si>
    <t>JKFPMADPTAYYER-UHFFFAOYSA-M</t>
  </si>
  <si>
    <t>CCCCCCCC[n+]1cccc(NC(=O)Nc2ccc[n+](CCCCCCCC)c2)c1.[Br-].[Br-]</t>
  </si>
  <si>
    <t>InChI=1S/C27H43N4O.2BrH/c1-3-5-7-9-11-13-19-30-21-15-17-25(23-30)28-27(32)29-26-18-16-22-31(24-26)20-14-12-10-8-6-4-2;;/h15-18,21-24H,3-14,19-20H2,1-2H3,(H-,28,29,32);2*1H/q+1;;/p-1</t>
  </si>
  <si>
    <t>IVFQJIKXKPCFEA-UHFFFAOYSA-M</t>
  </si>
  <si>
    <t>CCCCCCCC[n+]1ccccc1.[Cl-]</t>
  </si>
  <si>
    <t>InChI=1S/C13H22N.ClH/c1-2-3-4-5-6-8-11-14-12-9-7-10-13-14;/h7,9-10,12-13H,2-6,8,11H2,1H3;1H/q+1;/p-1</t>
  </si>
  <si>
    <t>OVIYAWWBKPWUOH-UHFFFAOYSA-M</t>
  </si>
  <si>
    <t>CCCCCCCC[n+]1ccccc1C.[Cl-]</t>
  </si>
  <si>
    <t>InChI=1S/C14H24N.ClH/c1-3-4-5-6-7-9-12-15-13-10-8-11-14(15)2;/h8,10-11,13H,3-7,9,12H2,1-2H3;1H/q+1;/p-1</t>
  </si>
  <si>
    <t>FLEQPJJTOUTHQM-UHFFFAOYSA-M</t>
  </si>
  <si>
    <t>CCCCCCCCc1ccc(C[C@H](Nc2ccc(S(=O)(=O)[O-])cc2)C(=O)O)cc1.[Na+]</t>
  </si>
  <si>
    <t>InChI=1S/C23H31NO5S.Na/c1-2-3-4-5-6-7-8-18-9-11-19(12-10-18)17-22(23(25)26)24-20-13-15-21(16-14-20)30(27,28)29;/h9-16,22,24H,2-8,17H2,1H3,(H,25,26)(H,27,28,29);/q;+1/p-1/t22-;/m0./s1</t>
  </si>
  <si>
    <t>LCRYOKSOYDNQCB-FTBISJDPSA-M</t>
  </si>
  <si>
    <t>CCCCCCCCc1ccc(OCCOCC)cc1</t>
  </si>
  <si>
    <t>1-(2-ethoxyethoxy)-4-octylbenzene</t>
  </si>
  <si>
    <t>InChI=1S/C18H30O2/c1-3-5-6-7-8-9-10-17-11-13-18(14-12-17)20-16-15-19-4-2/h11-14H,3-10,15-16H2,1-2H3</t>
  </si>
  <si>
    <t>CWJKJSXSRVLQOZ-UHFFFAOYSA-N</t>
  </si>
  <si>
    <t>CCCCCCCCc1ccc(OCCOCCOCC)cc1</t>
  </si>
  <si>
    <t>1-[2-(2-ethoxyethoxy)ethoxy]-4-octylbenzene</t>
  </si>
  <si>
    <t>InChI=1S/C20H34O3/c1-3-5-6-7-8-9-10-19-11-13-20(14-12-19)23-18-17-22-16-15-21-4-2/h11-14H,3-10,15-18H2,1-2H3</t>
  </si>
  <si>
    <t>WQRJYJKGYITJCM-UHFFFAOYSA-N</t>
  </si>
  <si>
    <t>CCCCCCCCc1ccc(OCCOCCOCCOCC)cc1</t>
  </si>
  <si>
    <t>InChI=1S/C22H38O4/c1-3-5-6-7-8-9-10-21-11-13-22(14-12-21)26-20-19-25-18-17-24-16-15-23-4-2/h11-14H,3-10,15-20H2,1-2H3</t>
  </si>
  <si>
    <t>AYVFCUFMMUMYCY-UHFFFAOYSA-N</t>
  </si>
  <si>
    <t>CCCCCCCCc1ccc(OCCOCCOCCOCCOCC)cc1</t>
  </si>
  <si>
    <t>InChI=1S/C24H42O5/c1-3-5-6-7-8-9-10-23-11-13-24(14-12-23)29-22-21-28-20-19-27-18-17-26-16-15-25-4-2/h11-14H,3-10,15-22H2,1-2H3</t>
  </si>
  <si>
    <t>UAODTQYGJNRHRW-UHFFFAOYSA-N</t>
  </si>
  <si>
    <t>CCCCCCCCc1ccc(OCCOCCOCCOCCOCCOCC)cc1</t>
  </si>
  <si>
    <t>InChI=1S/C26H46O6/c1-3-5-6-7-8-9-10-25-11-13-26(14-12-25)32-24-23-31-22-21-30-20-19-29-18-17-28-16-15-27-4-2/h11-14H,3-10,15-24H2,1-2H3</t>
  </si>
  <si>
    <t>MYWXPXUEYUAUBS-UHFFFAOYSA-N</t>
  </si>
  <si>
    <t>CCCCCCCCc1ccc(OCCOCCOCCOCCOCCOCCOCC)cc1</t>
  </si>
  <si>
    <t>InChI=1S/C28H50O7/c1-3-5-6-7-8-9-10-27-11-13-28(14-12-27)35-26-25-34-24-23-33-22-21-32-20-19-31-18-17-30-16-15-29-4-2/h11-14H,3-10,15-26H2,1-2H3</t>
  </si>
  <si>
    <t>SGHQVRAEJRLYPH-UHFFFAOYSA-N</t>
  </si>
  <si>
    <t>CCCCCCCCc1ccc(OCCOCCOCCOCCOCCOCCOCCO)cc1</t>
  </si>
  <si>
    <t>InChI=1S/C28H50O8/c1-2-3-4-5-6-7-8-27-9-11-28(12-10-27)36-26-25-35-24-23-34-22-21-33-20-19-32-18-17-31-16-15-30-14-13-29/h9-12,29H,2-8,13-26H2,1H3</t>
  </si>
  <si>
    <t>IZCAZGDGLZWLNZ-UHFFFAOYSA-N</t>
  </si>
  <si>
    <t>CCCCCCCCc1ccc(OCCOCCOCCOCCOCCOCCOCCOCC)cc1</t>
  </si>
  <si>
    <t>InChI=1S/C30H54O8/c1-3-5-6-7-8-9-10-29-11-13-30(14-12-29)38-28-27-37-26-25-36-24-23-35-22-21-34-20-19-33-18-17-32-16-15-31-4-2/h11-14H,3-10,15-28H2,1-2H3</t>
  </si>
  <si>
    <t>ZEVOUQLGIAZUND-UHFFFAOYSA-N</t>
  </si>
  <si>
    <t>CCCCCCCCc1ccc(OCCOCCOCCOCCOCCOCCOCCOCCO)cc1</t>
  </si>
  <si>
    <t>InChI=1S/C30H54O9/c1-2-3-4-5-6-7-8-29-9-11-30(12-10-29)39-28-27-38-26-25-37-24-23-36-22-21-35-20-19-34-18-17-33-16-15-32-14-13-31/h9-12,31H,2-8,13-28H2,1H3</t>
  </si>
  <si>
    <t>GAGGDWODDNZVFP-UHFFFAOYSA-N</t>
  </si>
  <si>
    <t>CCCCCCCCc1ccc(OCCOCCOCCOCCOCCOCCOCCOCCOCCO)cc1</t>
  </si>
  <si>
    <t>InChI=1S/C32H58O10/c1-2-3-4-5-6-7-8-31-9-11-32(12-10-31)42-30-29-41-28-27-40-26-25-39-24-23-38-22-21-37-20-19-36-18-17-35-16-15-34-14-13-33/h9-12,33H,2-8,13-30H2,1H3</t>
  </si>
  <si>
    <t>LFDLTLMEBDARLN-UHFFFAOYSA-N</t>
  </si>
  <si>
    <t>CCCCCCCCc1ccc(OCCOCCOCCOCCOCCOCCOCCOCCOCCOCCO)cc1</t>
  </si>
  <si>
    <t>InChI=1S/C34H62O11/c1-2-3-4-5-6-7-8-33-9-11-34(12-10-33)45-32-31-44-30-29-43-28-27-42-26-25-41-24-23-40-22-21-39-20-19-38-18-17-37-16-15-36-14-13-35/h9-12,35H,2-8,13-32H2,1H3</t>
  </si>
  <si>
    <t>AKBZTYMWSLYNCH-UHFFFAOYSA-N</t>
  </si>
  <si>
    <t>CCCCCCCCc1ccc(S(=O)(=O)[O-])cc1.[Na+]</t>
  </si>
  <si>
    <t>sodium-4-octylbenzenesulfonate</t>
  </si>
  <si>
    <t>InChI=1S/C14H22O3S.Na/c1-2-3-4-5-6-7-8-13-9-11-14(12-10-13)18(15,16)17;/h9-12H,2-8H2,1H3,(H,15,16,17);/q;+1/p-1</t>
  </si>
  <si>
    <t>ASJUTVUXOMPOQH-UHFFFAOYSA-M</t>
  </si>
  <si>
    <t>CC(C)(CC(C)(c1ccc(OCCOCCOCCOCCOCCOCCOCCOCCOCCO)cc1)C)C</t>
  </si>
  <si>
    <t>InChI=1S/C28H50O7/c1-2-3-4-5-6-7-10-27-11-8-9-12-28(27)13-15-30-17-19-32-21-23-34-25-26-35-24-22-33-20-18-31-16-14-29/h8-9,11-12,29H,2-7,10,13-26H2,1H3</t>
  </si>
  <si>
    <t>QXPHBICABUTDQD-UHFFFAOYSA-N</t>
  </si>
  <si>
    <t>InChI=1S/C30H54O8/c1-2-3-4-5-6-7-10-29-11-8-9-12-30(29)13-15-32-17-19-34-21-23-36-25-27-38-28-26-37-24-22-35-20-18-33-16-14-31/h8-9,11-12,31H,2-7,10,13-28H2,1H3</t>
  </si>
  <si>
    <t>QRWKPMAQGPOUOY-UHFFFAOYSA-N</t>
  </si>
  <si>
    <t>CCCCCCCCc1ccccc1OOCC</t>
  </si>
  <si>
    <t>InChI=1S/C16H26O2/c1-3-5-6-7-8-9-12-15-13-10-11-14-16(15)18-17-4-2/h10-11,13-14H,3-9,12H2,1-2H3</t>
  </si>
  <si>
    <t>YUHCFBGSUYWTKQ-UHFFFAOYSA-N</t>
  </si>
  <si>
    <t>CCCCCCCCc1ccccc1OOCCOCC</t>
  </si>
  <si>
    <t>InChI=1S/C18H30O3/c1-3-5-6-7-8-9-12-17-13-10-11-14-18(17)21-20-16-15-19-4-2/h10-11,13-14H,3-9,12,15-16H2,1-2H3</t>
  </si>
  <si>
    <t>WMDMCPXIOCLORO-UHFFFAOYSA-N</t>
  </si>
  <si>
    <t>CCCCCCCCc1ccccc1OOCCOCCOCC</t>
  </si>
  <si>
    <t>InChI=1S/C20H34O4/c1-3-5-6-7-8-9-12-19-13-10-11-14-20(19)24-23-18-17-22-16-15-21-4-2/h10-11,13-14H,3-9,12,15-18H2,1-2H3</t>
  </si>
  <si>
    <t>NEPRZIVWLVGKGU-UHFFFAOYSA-N</t>
  </si>
  <si>
    <t>CCCCCCCCc1ccccc1OOCCOCCOCCOCC</t>
  </si>
  <si>
    <t>InChI=1S/C22H38O5/c1-3-5-6-7-8-9-12-21-13-10-11-14-22(21)27-26-20-19-25-18-17-24-16-15-23-4-2/h10-11,13-14H,3-9,12,15-20H2,1-2H3</t>
  </si>
  <si>
    <t>KMXIOTNHQFONBC-UHFFFAOYSA-N</t>
  </si>
  <si>
    <t>CCCCCCCCc1ccccc1OOCCOCCOCCOCCOCC</t>
  </si>
  <si>
    <t>InChI=1S/C24H42O6/c1-3-5-6-7-8-9-12-23-13-10-11-14-24(23)30-29-22-21-28-20-19-27-18-17-26-16-15-25-4-2/h10-11,13-14H,3-9,12,15-22H2,1-2H3</t>
  </si>
  <si>
    <t>OPTXNYZEHPEONM-UHFFFAOYSA-N</t>
  </si>
  <si>
    <t>CCCCCCCCc1ccccc1OOCCOCCOCCOCCOCCOCC</t>
  </si>
  <si>
    <t>InChI=1S/C26H46O7/c1-3-5-6-7-8-9-12-25-13-10-11-14-26(25)33-32-24-23-31-22-21-30-20-19-29-18-17-28-16-15-27-4-2/h10-11,13-14H,3-9,12,15-24H2,1-2H3</t>
  </si>
  <si>
    <t>XSASEOYEMCAMIV-UHFFFAOYSA-N</t>
  </si>
  <si>
    <t>CCCCCCCCc1ccccc1OOCCOCCOCCOCCOCCOCCOCC</t>
  </si>
  <si>
    <t>InChI=1S/C28H50O8/c1-3-5-6-7-8-9-12-27-13-10-11-14-28(27)36-35-26-25-34-24-23-33-22-21-32-20-19-31-18-17-30-16-15-29-4-2/h10-11,13-14H,3-9,12,15-26H2,1-2H3</t>
  </si>
  <si>
    <t>LWLOOSJLCOBRGR-UHFFFAOYSA-N</t>
  </si>
  <si>
    <t>CCCCCCCCc1ccccc1OOCCOCCOCCOCCOCCOCCOCCOCC</t>
  </si>
  <si>
    <t>InChI=1S/C30H54O9/c1-3-5-6-7-8-9-12-29-13-10-11-14-30(29)39-38-28-27-37-26-25-36-24-23-35-22-21-34-20-19-33-18-17-32-16-15-31-4-2/h10-11,13-14H,3-9,12,15-28H2,1-2H3</t>
  </si>
  <si>
    <t>JRVZCMHEUUOCRB-UHFFFAOYSA-N</t>
  </si>
  <si>
    <t>CCCCCCCCc1ccccc1OOCCOCCOCCOCCOCCOCCOCCOCCOCC</t>
  </si>
  <si>
    <t>InChI=1S/C32H58O10/c1-3-5-6-7-8-9-12-31-13-10-11-14-32(31)42-41-30-29-40-28-27-39-26-25-38-24-23-37-22-21-36-20-19-35-18-17-34-16-15-33-4-2/h10-11,13-14H,3-9,12,15-30H2,1-2H3</t>
  </si>
  <si>
    <t>SELLQROFQFKRLG-UHFFFAOYSA-N</t>
  </si>
  <si>
    <t>CCCCCCCCc1ccccc1OOCCOCCOCCOCCOCCOCCOCCOCCOCCOCC</t>
  </si>
  <si>
    <t>InChI=1S/C34H62O11/c1-3-5-6-7-8-9-12-33-13-10-11-14-34(33)45-44-32-31-43-30-29-42-28-27-41-26-25-40-24-23-39-22-21-38-20-19-37-18-17-36-16-15-35-4-2/h10-11,13-14H,3-9,12,15-32H2,1-2H3</t>
  </si>
  <si>
    <t>IXCOEUPTHOYDFQ-UHFFFAOYSA-N</t>
  </si>
  <si>
    <t>CCCCCCCCc1ccccc1OOCCOCCOCCOCCOCCOCCOCCOCCOCCOCCOCCOCCOCCOCCOCCOCCOCCOCCOCCOCCOCCOCCOCCOCCOCCOCCOCCOCCOCCOCC</t>
  </si>
  <si>
    <t>InChI=1S/C74H142O31/c1-3-5-6-7-8-9-12-73-13-10-11-14-74(73)105-104-72-71-103-70-69-102-68-67-101-66-65-100-64-63-99-62-61-98-60-59-97-58-57-96-56-55-95-54-53-94-52-51-93-50-49-92-48-47-91-46-45-90-44-43-89-42-41-88-40-39-87-38-37-86-36-35-85-34-33-84-32-31-83-30-29-82-28-27-81-26-25-80-24-23-79-22-21-78-20-19-77-18-17-76-16-15-75-4-2/h10-11,13-14H,3-9,12,15-72H2,1-2H3</t>
  </si>
  <si>
    <t>JNRLANCUMPYQTE-UHFFFAOYSA-N</t>
  </si>
  <si>
    <t>CCCCCCCCc1ccccc1OOCCOCCOCCOCCOCCOCCOCCOCCOCCOCCOCCOCCOCCOCCOCCOCCOCCOCCOCCOCCOCCOCCOCCOCCOCCOCCOCCOCCOCCOCCOCCOCCOCCOCCOCCOCCOCCOCCOCCOCC</t>
  </si>
  <si>
    <t>InChI=1S/C94H182O41/c1-3-5-6-7-8-9-12-93-13-10-11-14-94(93)135-134-92-91-133-90-89-132-88-87-131-86-85-130-84-83-129-82-81-128-80-79-127-78-77-126-76-75-125-74-73-124-72-71-123-70-69-122-68-67-121-66-65-120-64-63-119-62-61-118-60-59-117-58-57-116-56-55-115-54-53-114-52-51-113-50-49-112-48-47-111-46-45-110-44-43-109-42-41-108-40-39-107-38-37-106-36-35-105-34-33-104-32-31-103-30-29-102-28-27-101-26-25-100-24-23-99-22-21-98-20-19-97-18-17-96-16-15-95-4-2/h10-11,13-14H,3-9,12,15-92H2,1-2H3</t>
  </si>
  <si>
    <t>YDMAQWJUZUIFAI-UHFFFAOYSA-N</t>
  </si>
  <si>
    <t>CCCCCCCCn1cc[n+](C)c1.[Cl-]</t>
  </si>
  <si>
    <t>10.1021/la035940m</t>
  </si>
  <si>
    <t>InChI=1S/C12H23N2.ClH/c1-3-4-5-6-7-8-9-14-11-10-13(2)12-14;/h10-12H,3-9H2,1-2H3;1H/q+1;/p-1</t>
  </si>
  <si>
    <t>OXFBEEDAZHXDHB-UHFFFAOYSA-M</t>
  </si>
  <si>
    <t>CCCCCCCCn1cc[n+](C)c1.[I-]</t>
  </si>
  <si>
    <t>InChI=1S/C12H23N2.HI/c1-3-4-5-6-7-8-9-14-11-10-13(2)12-14;/h10-12H,3-9H2,1-2H3;1H/q+1;/p-1</t>
  </si>
  <si>
    <t>KRLZUNVVBLGDJV-UHFFFAOYSA-M</t>
  </si>
  <si>
    <t>CCCCCCCCn1cc[n+](CC(O)C[n+]2ccn(CCCCCCCC)c2)c1.[Cl-].[Cl-]</t>
  </si>
  <si>
    <t>InChI=1S/C25H46N4O.2ClH/c1-3-5-7-9-11-13-15-26-17-19-28(23-26)21-25(30)22-29-20-18-27(24-29)16-14-12-10-8-6-4-2;;/h17-20,23-25,30H,3-16,21-22H2,1-2H3;2*1H/q+2;;/p-2</t>
  </si>
  <si>
    <t>NTGFXHRUTZNVSO-UHFFFAOYSA-L</t>
  </si>
  <si>
    <t>CCCCCCCCn1cc[n+](COCCCCCCOC[n+]2ccn(CCCCCCCC)c2)c1.[Cl-].[Cl-]</t>
  </si>
  <si>
    <t>InChI=1S/C30H56N4O2.2ClH/c1-3-5-7-9-11-15-19-31-21-23-33(27-31)29-35-25-17-13-14-18-26-36-30-34-24-22-32(28-34)20-16-12-10-8-6-4-2;;/h21-24,27-28H,3-20,25-26,29-30H2,1-2H3;2*1H/q+2;;/p-2</t>
  </si>
  <si>
    <t>XOAPOFCTZOMPTR-UHFFFAOYSA-L</t>
  </si>
  <si>
    <t>CCCCCCCCn1cc[n+](COCCCCCOC[n+]2ccn(CCCCCCCC)c2)c1.[Cl-].[Cl-]</t>
  </si>
  <si>
    <t>InChI=1S/C29H54N4O2.2ClH/c1-3-5-7-9-11-14-18-30-20-22-32(26-30)28-34-24-16-13-17-25-35-29-33-23-21-31(27-33)19-15-12-10-8-6-4-2;;/h20-23,26-27H,3-19,24-25,28-29H2,1-2H3;2*1H/q+2;;/p-2</t>
  </si>
  <si>
    <t>JFHDNOYHPGTIEI-UHFFFAOYSA-L</t>
  </si>
  <si>
    <t>CCCCCCCCn1cc[n+](COCCCCOC[n+]2ccn(CCCCCCCC)c2)c1.[Cl-].[Cl-]</t>
  </si>
  <si>
    <t>InChI=1S/C28H52N4O2.2ClH/c1-3-5-7-9-11-13-17-29-19-21-31(25-29)27-33-23-15-16-24-34-28-32-22-20-30(26-32)18-14-12-10-8-6-4-2;;/h19-22,25-26H,3-18,23-24,27-28H2,1-2H3;2*1H/q+2;;/p-2</t>
  </si>
  <si>
    <t>UQEBYOQZGJGCRR-UHFFFAOYSA-L</t>
  </si>
  <si>
    <t>CCCCCCCCn1cc[n+](COCCCOC[n+]2ccn(CCCCCCCC)c2)c1.[Cl-].[Cl-]</t>
  </si>
  <si>
    <t>InChI=1S/C27H50N4O2.2ClH/c1-3-5-7-9-11-13-16-28-18-20-30(24-28)26-32-22-15-23-33-27-31-21-19-29(25-31)17-14-12-10-8-6-4-2;;/h18-21,24-25H,3-17,22-23,26-27H2,1-2H3;2*1H/q+2;;/p-2</t>
  </si>
  <si>
    <t>GEWBMOPVGHHPHB-UHFFFAOYSA-L</t>
  </si>
  <si>
    <t>CCCCCCCCn1cc[n+](COCCOC[n+]2ccn(CCCCCCCC)c2)c1.[Cl-].[Cl-]</t>
  </si>
  <si>
    <t>InChI=1S/C26H48N4O2.2ClH/c1-3-5-7-9-11-13-15-27-17-19-29(23-27)25-31-21-22-32-26-30-20-18-28(24-30)16-14-12-10-8-6-4-2;;/h17-20,23-24H,3-16,21-22,25-26H2,1-2H3;2*1H/q+2;;/p-2</t>
  </si>
  <si>
    <t>BJPBJWCQYSHTJP-UHFFFAOYSA-L</t>
  </si>
  <si>
    <t>CCCCCCNC(C(C(C(C(CO)O)OC1OC(C(C(C1O)O)O)CO)O)O)=O</t>
  </si>
  <si>
    <t>Hexyl-D-maltonamide</t>
  </si>
  <si>
    <t>InChI=1S/C19H37NO11/c1-2-3-4-5-6-7-20-18(29)15(27)14(26)17(10(23)8-21)31-19-16(28)13(25)12(24)11(9-22)30-19/h10-17,19,21-28H,2-9H2,1H3,(H,20,29)</t>
  </si>
  <si>
    <t>VWHIVVZUAGRPOH-UHFFFAOYSA-N</t>
  </si>
  <si>
    <t>O[C@@H](COC(CCCCCC)=O)[C@@H](O)[C@H](O)CO</t>
  </si>
  <si>
    <t>1-O-heptanoyl-D,L-xylitol</t>
  </si>
  <si>
    <t>InChI=1S/C15H30O8/c1-2-3-4-5-6-7-23-15(22)12(10(18)8-16)14(21)13(20)11(19)9-17/h10-14,16-21H,2-9H2,1H3/t10-,11-,12?,13?,14+/m0/s1</t>
  </si>
  <si>
    <t>CMGJISWXBIHQAC-HRDMENRUSA-N</t>
  </si>
  <si>
    <t>OC[C@H]([C@@H]([C@@H](O)COCCCCCCC)O)O</t>
  </si>
  <si>
    <t>1-O-heptyl-D,L-xylitol</t>
  </si>
  <si>
    <t>InChI=1S/C14H30O7/c1-2-3-4-5-6-7-21-14(11(18)9-16)13(20)12(19)10(17)8-15/h10-20H,2-9H2,1H3/t10-,11-,12?,13-,14?/m0/s1</t>
  </si>
  <si>
    <t>FZVMQUZFSLAALX-YCQMLSDISA-N</t>
  </si>
  <si>
    <t>CCCCCCCOCC(C(C(CO)O)O)O</t>
  </si>
  <si>
    <t>InChI=1S/C12H23O5/c1-2-3-4-5-6-7-16-10-8-9(13)11(14)12(15)17-10/h8-15H,2-7H2,1H3/t9-,10?,11+,12?/m0/s1</t>
  </si>
  <si>
    <t>OCFXLWXOAJKJGQ-UZEXVOJHSA-N</t>
  </si>
  <si>
    <t>CCCCCCCC(OCC(O)C(O)C(O)CO)=O</t>
  </si>
  <si>
    <t>InChI=1S/C13H25O6/c1-2-3-4-5-6-7-17-9-18-11-8-10(14)12(15)13(16)19-11/h8,10-16H,2-7,9H2,1H3/t10-,11?,12+,13?/m0/s1</t>
  </si>
  <si>
    <t>AUTPIJGALPTCFX-GMKTYKIGSA-N</t>
  </si>
  <si>
    <t>CCCCCCCOS(=O)(=O)[O-].[Na+]</t>
  </si>
  <si>
    <t>sodium-heptyl-sulfate</t>
  </si>
  <si>
    <t>InChI=1S/C7H16O4S.Na/c1-2-3-4-5-6-7-11-12(8,9)10;/h2-7H2,1H3,(H,8,9,10);/q;+1/p-1</t>
  </si>
  <si>
    <t>GRNNMEITWDFPOL-UHFFFAOYSA-M</t>
  </si>
  <si>
    <t>CCCCCCCc1ccc(S(=O)(=O)[O-])cc1.[Na+]</t>
  </si>
  <si>
    <t>sodium-4-heptylbenzenesulfonate</t>
  </si>
  <si>
    <t>InChI=1S/C13H20O3S.Na/c1-2-3-4-5-6-7-12-8-10-13(11-9-12)17(14,15)16;/h8-11H,2-7H2,1H3,(H,14,15,16);/q;+1/p-1</t>
  </si>
  <si>
    <t>DBAKYVUEBDXQGD-UHFFFAOYSA-M</t>
  </si>
  <si>
    <t>CCCCCCCn1cc[n+](COCCCCCCOC[n+]2ccn(CCCCCCC)c2)c1.[Cl-].[Cl-]</t>
  </si>
  <si>
    <t>InChI=1S/C28H52N4O2.2ClH/c1-3-5-7-9-13-17-29-19-21-31(25-29)27-33-23-15-11-12-16-24-34-28-32-22-20-30(26-32)18-14-10-8-6-4-2;;/h19-22,25-26H,3-18,23-24,27-28H2,1-2H3;2*1H/q+2;;/p-2</t>
  </si>
  <si>
    <t>TXXHNSAIROUHRQ-UHFFFAOYSA-L</t>
  </si>
  <si>
    <t>CCCCCCCn1cc[n+](COCCCCCOC[n+]2ccn(CCCCCCC)c2)c1.[Cl-].[Cl-]</t>
  </si>
  <si>
    <t>InChI=1S/C27H50N4O2.2ClH/c1-3-5-7-9-12-16-28-18-20-30(24-28)26-32-22-14-11-15-23-33-27-31-21-19-29(25-31)17-13-10-8-6-4-2;;/h18-21,24-25H,3-17,22-23,26-27H2,1-2H3;2*1H/q+2;;/p-2</t>
  </si>
  <si>
    <t>JHMYCPUATZKGOP-UHFFFAOYSA-L</t>
  </si>
  <si>
    <t>CCCCCCCn1cc[n+](COCCCCOC[n+]2ccn(CCCCCCC)c2)c1.[Cl-].[Cl-]</t>
  </si>
  <si>
    <t>InChI=1S/C26H48N4O2.2ClH/c1-3-5-7-9-11-15-27-17-19-29(23-27)25-31-21-13-14-22-32-26-30-20-18-28(24-30)16-12-10-8-6-4-2;;/h17-20,23-24H,3-16,21-22,25-26H2,1-2H3;2*1H/q+2;;/p-2</t>
  </si>
  <si>
    <t>HILQFLANIMFRPX-UHFFFAOYSA-L</t>
  </si>
  <si>
    <t>CCCCCCCn1cc[n+](COCCCOC[n+]2ccn(CCCCCCC)c2)c1.[Cl-].[Cl-]</t>
  </si>
  <si>
    <t>InChI=1S/C25H46N4O2.2ClH/c1-3-5-7-9-11-14-26-16-18-28(22-26)24-30-20-13-21-31-25-29-19-17-27(23-29)15-12-10-8-6-4-2;;/h16-19,22-23H,3-15,20-21,24-25H2,1-2H3;2*1H/q+2;;/p-2</t>
  </si>
  <si>
    <t>QLTVPBHEHGSLMA-UHFFFAOYSA-L</t>
  </si>
  <si>
    <t>CCCCCCCn1cc[n+](COCCOC[n+]2ccn(CCCCCCC)c2)c1.[Cl-].[Cl-]</t>
  </si>
  <si>
    <t>InChI=1S/C24H44N4O2.2ClH/c1-3-5-7-9-11-13-25-15-17-27(21-25)23-29-19-20-30-24-28-18-16-26(22-28)14-12-10-8-6-4-2;;/h15-18,21-22H,3-14,19-20,23-24H2,1-2H3;2*1H/q+2;;/p-2</t>
  </si>
  <si>
    <t>AILQTXPRCUIMQM-UHFFFAOYSA-L</t>
  </si>
  <si>
    <t>O[C@@H](COC(CCCCC)=O)[C@@H](O)[C@H](O)CO</t>
  </si>
  <si>
    <t>1-O-hexanoyl-D,L-xylitol</t>
  </si>
  <si>
    <t>InChI=1S/C14H28O8/c1-2-3-4-5-6-22-14(21)11(9(17)7-15)13(20)12(19)10(18)8-16/h9-13,15-20H,2-8H2,1H3/t9-,10-,11?,12?,13+/m0/s1</t>
  </si>
  <si>
    <t>NNEZMCGMULUGKV-YJEBHAJESA-N</t>
  </si>
  <si>
    <t>CCCCCCOC(=O)CC(C(=O)OCCCCCC)S(=O)(=O)[O-].[Na+]</t>
  </si>
  <si>
    <t>sodium-1,4-dihexoxy-1,4-dioxobutane-2-sulfonate</t>
  </si>
  <si>
    <t>InChI=1S/C16H30O7S.Na/c1-3-5-7-9-11-22-15(17)13-14(24(19,20)21)16(18)23-12-10-8-6-4-2;/h14H,3-13H2,1-2H3,(H,19,20,21);/q;+1/p-1</t>
  </si>
  <si>
    <t>WVFDILODTFJAPA-UHFFFAOYSA-M</t>
  </si>
  <si>
    <t>CCCCCCOC(=O)CC([N+])C(=O)OCCCCCC.[Cl-]</t>
  </si>
  <si>
    <t>InChI=1S/C16H29NO4.ClH/c1-3-5-7-9-11-20-15(18)13-14(17)16(19)21-12-10-8-6-4-2;/h14H,3-13H2,1-2H3;1H/q+1;/p-1</t>
  </si>
  <si>
    <t>VTJODAQBTAIMGO-UHFFFAOYSA-M</t>
  </si>
  <si>
    <t>CCCCCCOC(=O)CS(=O)(=O)[O-].[Na+]</t>
  </si>
  <si>
    <t>InChI=1S/C8H16O5S.Na/c1-2-3-4-5-6-13-8(9)7-14(10,11)12;/h2-7H2,1H3,(H,10,11,12);/q;+1/p-1</t>
  </si>
  <si>
    <t>LVHAGLUZNVJZMN-UHFFFAOYSA-M</t>
  </si>
  <si>
    <t>O[C@@H](COCCCCCC)[C@@H](O)[C@H](O)CO</t>
  </si>
  <si>
    <t>1-O-hexyl-D-L-xylitol</t>
  </si>
  <si>
    <t>InChI=1S/C13H28O7/c1-2-3-4-5-6-20-13(10(17)8-15)12(19)11(18)9(16)7-14/h9-19H,2-8H2,1H3/t9-,10-,11?,12-,13?/m0/s1</t>
  </si>
  <si>
    <t>ZGWQBDYPUJLHQK-ZTXIBQBTSA-N</t>
  </si>
  <si>
    <t>OC(COCCCCCC)C(O)C(O)CO</t>
  </si>
  <si>
    <t>InChI=1S/C11H21O5/c1-2-3-4-5-6-15-9-7-8(12)10(13)11(14)16-9/h7-14H,2-6H2,1H3/t8-,9?,10+,11?/m0/s1</t>
  </si>
  <si>
    <t>BGEUMORYMQPOIJ-QPBDYMMBSA-N</t>
  </si>
  <si>
    <t>CCCCCCOCCOCCOCCO</t>
  </si>
  <si>
    <t>10.1021/acs.jpcc.9b01522</t>
  </si>
  <si>
    <t>2-[2-(2-hexoxyethoxy)ethoxy]ethanol</t>
  </si>
  <si>
    <t>InChI=1S/C12H26O4/c1-2-3-4-5-7-14-9-11-16-12-10-15-8-6-13/h13H,2-12H2,1H3</t>
  </si>
  <si>
    <t>RGICCULPCWNRAB-UHFFFAOYSA-N</t>
  </si>
  <si>
    <t>CCCCCCOCCOCCOCCOCCO</t>
  </si>
  <si>
    <t>10.1016/0095-8522(62)90020-X</t>
  </si>
  <si>
    <t>InChI=1S/C14H30O5/c1-2-3-4-5-7-16-9-11-18-13-14-19-12-10-17-8-6-15/h15H,2-14H2,1H3</t>
  </si>
  <si>
    <t>VUEUVIPIBVJLCY-UHFFFAOYSA-N</t>
  </si>
  <si>
    <t>CCCCCCOCCOCCOCCOCCOCCO</t>
  </si>
  <si>
    <t>InChI=1S/C16H34O6/c1-2-3-4-5-7-18-9-11-20-13-15-22-16-14-21-12-10-19-8-6-17/h17H,2-16H2,1H3</t>
  </si>
  <si>
    <t>SCRHZMGASXVJSJ-UHFFFAOYSA-N</t>
  </si>
  <si>
    <t>InChI=1S/C18H38O7/c1-2-3-4-5-7-20-9-11-22-13-15-24-17-18-25-16-14-23-12-10-21-8-6-19/h19H,2-18H2,1H3</t>
  </si>
  <si>
    <t>ONRPEGOPOCAWTH-UHFFFAOYSA-N</t>
  </si>
  <si>
    <t>CCCCCCC(OCC(O)C(O)C(O)CO)=O</t>
  </si>
  <si>
    <t>InChI=1S/C12H23O6/c1-2-3-4-5-6-16-8-17-10-7-9(13)11(14)12(15)18-10/h7,9-15H,2-6,8H2,1H3/t9-,10?,11+,12?/m0/s1</t>
  </si>
  <si>
    <t>CVPLMFWVTAMUGQ-UZEXVOJHSA-N</t>
  </si>
  <si>
    <t>CCCCCCOOCCOCCOCC</t>
  </si>
  <si>
    <t>InChI=1S/C12H26O4/c1-3-5-6-7-8-15-16-12-11-14-10-9-13-4-2/h3-12H2,1-2H3</t>
  </si>
  <si>
    <t>VVUNHXSCHYJKKZ-UHFFFAOYSA-N</t>
  </si>
  <si>
    <t>CCCCCCOOCCOCCOCCOCC</t>
  </si>
  <si>
    <t>InChI=1S/C14H30O5/c1-3-5-6-7-8-18-19-14-13-17-12-11-16-10-9-15-4-2/h3-14H2,1-2H3</t>
  </si>
  <si>
    <t>AITJLHMYADIDBW-UHFFFAOYSA-N</t>
  </si>
  <si>
    <t>CCCCCCOOCCOCCOCCOCCOCC</t>
  </si>
  <si>
    <t>InChI=1S/C16H34O6/c1-3-5-6-7-8-21-22-16-15-20-14-13-19-12-11-18-10-9-17-4-2/h3-16H2,1-2H3</t>
  </si>
  <si>
    <t>TYHNFKQHSLFCDE-UHFFFAOYSA-N</t>
  </si>
  <si>
    <t>CCCCCCOOCCOCCOCCOCCOCCOCC</t>
  </si>
  <si>
    <t>InChI=1S/C18H38O7/c1-3-5-6-7-8-24-25-18-17-23-16-15-22-14-13-21-12-11-20-10-9-19-4-2/h3-18H2,1-2H3</t>
  </si>
  <si>
    <t>KZOURRNTLXIRJC-UHFFFAOYSA-N</t>
  </si>
  <si>
    <t>CCCCCCOS(=O)(=O)[O-].[Na+]</t>
  </si>
  <si>
    <t>sodium-hexyl-sulfate</t>
  </si>
  <si>
    <t>InChI=1S/C6H14O4S.Na/c1-2-3-4-5-6-10-11(7,8)9;/h2-6H2,1H3,(H,7,8,9);/q;+1/p-1</t>
  </si>
  <si>
    <t>WSVLUYNDHYCZGD-UHFFFAOYSA-M</t>
  </si>
  <si>
    <t>CCCCCCS(=O)(=O)[O-].[Na+]</t>
  </si>
  <si>
    <t>sodium-hexane-1-sulfonate</t>
  </si>
  <si>
    <t>InChI=1S/C6H14O3S.Na/c1-2-3-4-5-6-10(7,8)9;/h2-6H2,1H3,(H,7,8,9);/q;+1/p-1</t>
  </si>
  <si>
    <t>QWSZRRAAFHGKCH-UHFFFAOYSA-M</t>
  </si>
  <si>
    <t>CCCCCCSC[C@@H]1OC([C@H](O)[C@H]1O)=O</t>
  </si>
  <si>
    <t>S-hexyl5-thio-D-arabinonolactone</t>
  </si>
  <si>
    <t>InChI=1S/C11H20O5S/c1-2-3-4-5-6-17-11(15)9-7(12)8(13)10(14)16-9/h7-9,11-13,15H,2-6H2,1H3/t7-,8-,9-,11?/m0/s1</t>
  </si>
  <si>
    <t>DLXAUAIGCODHJZ-QEJLEMLZSA-N</t>
  </si>
  <si>
    <t>CCCCCCSC[C@@H]1OC([C@H]([C@@H]1O)O)=O</t>
  </si>
  <si>
    <t>S-hexyl5-thio-D-xylonolactone</t>
  </si>
  <si>
    <t>InChI=1S/C11H20O5S/c1-2-3-4-5-6-17-11-9(14)7(12)8(13)10(15)16-11/h7-9,11-14H,2-6H2,1H3/t7-,8-,9+,11?/m1/s1</t>
  </si>
  <si>
    <t>YJEWEYUHTYSYQK-OEJXEDHQSA-N</t>
  </si>
  <si>
    <t>OC(C(C(CO)O)O)CSCCCCCC</t>
  </si>
  <si>
    <t>InChI=1S/C11H21O4S/c1-2-3-4-5-6-16-9-7-8(12)10(13)11(14)15-9/h7-14H,2-6H2,1H3/t8-,9?,10+,11?/m0/s1</t>
  </si>
  <si>
    <t>UJSKXIICWYVJEZ-QPBDYMMBSA-N</t>
  </si>
  <si>
    <t>CCCCCCSC[C@@H](O)[C@@H](O)[C@@H](O)CO</t>
  </si>
  <si>
    <t>S-hexyl1-thio-L-ribitol</t>
  </si>
  <si>
    <t>InChI=1S/C11H24O4S/c1-2-3-4-5-6-16-8-10(14)11(15)9(13)7-12/h9-15H,2-8H2,1H3/t9-,10+,11-/m0/s1</t>
  </si>
  <si>
    <t>CWIYBVFBJJTFPA-AXFHLTTASA-N</t>
  </si>
  <si>
    <t>CCCCCCSC[C@@H](O)[C@@H](O)[C@H](O)CO</t>
  </si>
  <si>
    <t>S-hexyl1-thio-D-lyxitol</t>
  </si>
  <si>
    <t>InChI=1S/C11H24O4S/c1-2-3-4-5-6-16-8-10(14)11(15)9(13)7-12/h9-15H,2-8H2,1H3/t9-,10-,11+/m1/s1</t>
  </si>
  <si>
    <t>CWIYBVFBJJTFPA-MXWKQRLJSA-N</t>
  </si>
  <si>
    <t>O[C@@H]([C@H](O)CSCCCCCC)[C@@H](O)CO</t>
  </si>
  <si>
    <t>S-hexyl1-thio-L-xylitol</t>
  </si>
  <si>
    <t>InChI=1S/C11H24O4S/c1-2-3-4-5-6-16-8-10(14)11(15)9(13)7-12/h9-15H,2-8H2,1H3/t9-,10-,11+/m0/s1</t>
  </si>
  <si>
    <t>CWIYBVFBJJTFPA-GARJFASQSA-N</t>
  </si>
  <si>
    <t>CCCCCC[N+](C)(C)CCCCC[N+](C)(C)CCCCCC.[Br-].[Br-]</t>
  </si>
  <si>
    <t>InChI=1S/C21H48N2.2BrH/c1-7-9-11-14-18-22(3,4)20-16-13-17-21-23(5,6)19-15-12-10-8-2;;/h7-21H2,1-6H3;2*1H/q+2;;/p-2</t>
  </si>
  <si>
    <t>KBKNITJCEFVXGH-UHFFFAOYSA-L</t>
  </si>
  <si>
    <t>CCCCCC[N+](C)(C)CCOCC[N+](C)(C)CCCCCC.[Br-].[Br-]</t>
  </si>
  <si>
    <t>butyl-[2-[2-[butyl(dimethyl)azaniumyl]ethoxy]ethyl]-dimethylazanium,dibromide</t>
  </si>
  <si>
    <t>InChI=1S/C20H46N2O.2BrH/c1-7-9-11-13-15-21(3,4)17-19-23-20-18-22(5,6)16-14-12-10-8-2;;/h7-20H2,1-6H3;2*1H/q+2;;/p-2</t>
  </si>
  <si>
    <t>IMHZMIYNZYBQBA-UHFFFAOYSA-L</t>
  </si>
  <si>
    <t>CCCCCC[N+](C)(C)CCSCC[N+](C)(C)CCCCCC.[Br-].[Br-]</t>
  </si>
  <si>
    <t>N,N'-bis(hexyldimethyl)-3-S-1,5-pentanediammoniumdibromide</t>
  </si>
  <si>
    <t>InChI=1S/C20H46N2S.2BrH/c1-7-9-11-13-15-21(3,4)17-19-23-20-18-22(5,6)16-14-12-10-8-2;;/h7-20H2,1-6H3;2*1H/q+2;;/p-2</t>
  </si>
  <si>
    <t>TWWWZZXHSACEON-UHFFFAOYSA-L</t>
  </si>
  <si>
    <t>CCCCCC[n+]1cccc(COC(=O)CC(O)(CC(=O)OCc2ccc[n+](CCCCCC)c2)C(=O)OCc2ccc[n+](CCCCCC)c2)c1.[Br-].[Br-].[Br-]</t>
  </si>
  <si>
    <t>3,3â€²-(((2-(2-((1-hexylpyridin-1-ium-3-yl)methoxy)-2-oxoethyl)-2-hydroxysuccinyl)bis(oxy))bis(methylene))bis(1-hexylpyridin-1-ium)bromide</t>
  </si>
  <si>
    <t>InChI=1S/C42H62N3O7.3BrH/c1-4-7-10-13-22-43-25-16-19-36(30-43)33-50-39(46)28-42(49,41(48)52-35-38-21-18-27-45(32-38)24-15-12-9-6-3)29-40(47)51-34-37-20-17-26-44(31-37)23-14-11-8-5-2;;;/h16-21,25-27,30-32,49H,4-15,22-24,28-29,33-35H2,1-3H3;3*1H/q+3;;;/p-3</t>
  </si>
  <si>
    <t>QRDBSAQATCPSPY-UHFFFAOYSA-K</t>
  </si>
  <si>
    <t>CCCCCC[n+]1ccccc1.[Cl-]</t>
  </si>
  <si>
    <t>InChI=1S/C11H18N.ClH/c1-2-3-4-6-9-12-10-7-5-8-11-12;/h5,7-8,10-11H,2-4,6,9H2,1H3;1H/q+1;/p-1</t>
  </si>
  <si>
    <t>JEOSMYVMLZTQOH-UHFFFAOYSA-M</t>
  </si>
  <si>
    <t>CCCCCCn1cc[n+](COCCCCCCOC[n+]2ccn(CCCCCC)c2)c1.[Cl-].[Cl-]</t>
  </si>
  <si>
    <t>InChI=1S/C26H48N4O2.2ClH/c1-3-5-7-11-15-27-17-19-29(23-27)25-31-21-13-9-10-14-22-32-26-30-20-18-28(24-30)16-12-8-6-4-2;;/h17-20,23-24H,3-16,21-22,25-26H2,1-2H3;2*1H/q+2;;/p-2</t>
  </si>
  <si>
    <t>RZFCPBOCUAVUHS-UHFFFAOYSA-L</t>
  </si>
  <si>
    <t>CCCCCCn1cc[n+](COCCCCCOC[n+]2ccn(CCCCCC)c2)c1.[Cl-].[Cl-]</t>
  </si>
  <si>
    <t>InChI=1S/C25H46N4O2.2ClH/c1-3-5-7-10-14-26-16-18-28(22-26)24-30-20-12-9-13-21-31-25-29-19-17-27(23-29)15-11-8-6-4-2;;/h16-19,22-23H,3-15,20-21,24-25H2,1-2H3;2*1H/q+2;;/p-2</t>
  </si>
  <si>
    <t>GWCIDWSZXQKEMJ-UHFFFAOYSA-L</t>
  </si>
  <si>
    <t>CCCCCCn1cc[n+](COCCCCOC[n+]2ccn(CCCCCC)c2)c1.[Cl-].[Cl-]</t>
  </si>
  <si>
    <t>InChI=1S/C24H44N4O2.2ClH/c1-3-5-7-9-13-25-15-17-27(21-25)23-29-19-11-12-20-30-24-28-18-16-26(22-28)14-10-8-6-4-2;;/h15-18,21-22H,3-14,19-20,23-24H2,1-2H3;2*1H/q+2;;/p-2</t>
  </si>
  <si>
    <t>AUCFRJWOXBGUAK-UHFFFAOYSA-L</t>
  </si>
  <si>
    <t>CCCCCCn1cc[n+](COCCCOC[n+]2ccn(CCCCCC)c2)c1.[Cl-].[Cl-]</t>
  </si>
  <si>
    <t>InChI=1S/C23H42N4O2.2ClH/c1-3-5-7-9-12-24-14-16-26(20-24)22-28-18-11-19-29-23-27-17-15-25(21-27)13-10-8-6-4-2;;/h14-17,20-21H,3-13,18-19,22-23H2,1-2H3;2*1H/q+2;;/p-2</t>
  </si>
  <si>
    <t>INVVMGURGKYZGW-UHFFFAOYSA-L</t>
  </si>
  <si>
    <t>CCCCCCn1cc[n+](COCCOC[n+]2ccn(CCCCCC)c2)c1.[Cl-].[Cl-]</t>
  </si>
  <si>
    <t>InChI=1S/C22H40N4O2.2ClH/c1-3-5-7-9-11-23-13-15-25(19-23)21-27-17-18-28-22-26-16-14-24(20-26)12-10-8-6-4-2;;/h13-16,19-20H,3-12,17-18,21-22H2,1-2H3;2*1H/q+2;;/p-2</t>
  </si>
  <si>
    <t>ADOXHQYKHFGIJL-UHFFFAOYSA-L</t>
  </si>
  <si>
    <t>O[C@@H](COC(CCCC)=O)[C@@H](O)[C@H](O)CO</t>
  </si>
  <si>
    <t>1-O-pentanoyl-D,L-xylitol</t>
  </si>
  <si>
    <t>InChI=1S/C13H26O8/c1-2-3-4-5-21-13(20)10(8(16)6-14)12(19)11(18)9(17)7-15/h8-12,14-19H,2-7H2,1H3/t8-,9-,10?,11?,12+/m0/s1</t>
  </si>
  <si>
    <t>PSEMGHOBJYBSGB-KCULMAPZSA-N</t>
  </si>
  <si>
    <t>CCCCCOC(=O)CC(C(=O)OCCCCC)S(=O)(=O)[O-].[Na+]</t>
  </si>
  <si>
    <t>sodium-1,4-dioxo-1,4-dipentoxybutane-2-sulfonate</t>
  </si>
  <si>
    <t>InChI=1S/C14H26O7S.Na/c1-3-5-7-9-20-13(15)11-12(22(17,18)19)14(16)21-10-8-6-4-2;/h12H,3-11H2,1-2H3,(H,17,18,19);/q;+1/p-1</t>
  </si>
  <si>
    <t>UMEWSJNRBXKWKZ-UHFFFAOYSA-M</t>
  </si>
  <si>
    <t>OC[C@H]([C@@H]([C@@H](O)COC(CCCCC)=O)O)O</t>
  </si>
  <si>
    <t>1-O-pentyl-D-L-xylitol</t>
  </si>
  <si>
    <t>InChI=1S/C12H26O7/c1-2-3-4-5-19-12(9(16)7-14)11(18)10(17)8(15)6-13/h8-18H,2-7H2,1H3/t8-,9-,10?,11-,12?/m0/s1</t>
  </si>
  <si>
    <t>JADUAINFTCXVKL-YJDKOSLUSA-N</t>
  </si>
  <si>
    <t>OC(C(C(CO)O)O)COCCCCC</t>
  </si>
  <si>
    <t>InChI=1S/C10H19O5/c1-2-3-4-5-14-8-6-7(11)9(12)10(13)15-8/h6-13H,2-5H2,1H3/t7-,8?,9+,10?/m0/s1</t>
  </si>
  <si>
    <t>XTRHYGHEHQPBSH-QGVKSAJWSA-N</t>
  </si>
  <si>
    <t>CCCCCOCCOCCOCCOCCOCCOCCO</t>
  </si>
  <si>
    <t>InChI=1S/C17H36O7/c1-2-3-4-6-19-8-10-21-12-14-23-16-17-24-15-13-22-11-9-20-7-5-18/h18H,2-17H2,1H3</t>
  </si>
  <si>
    <t>CZCNKIPWHIURMJ-UHFFFAOYSA-N</t>
  </si>
  <si>
    <t>CCCCCC(OCC(O)C(O)C(O)CO)=O</t>
  </si>
  <si>
    <t>InChI=1S/C11H21O6/c1-2-3-4-5-15-7-16-9-6-8(12)10(13)11(14)17-9/h6,8-14H,2-5,7H2,1H3/t8-,9?,10+,11?/m0/s1</t>
  </si>
  <si>
    <t>ZZUJSAMBMCNXDF-QPBDYMMBSA-N</t>
  </si>
  <si>
    <t>OC[C@H]([C@@H]([C@@H](O)CSCCCCC)O)O</t>
  </si>
  <si>
    <t>S-pentyl-1-thio-D-L-xylitol</t>
  </si>
  <si>
    <t>InChI=1S/C12H26O6S/c1-2-3-4-5-19-12(9(16)7-14)11(18)10(17)8(15)6-13/h8-18H,2-7H2,1H3/t8-,9-,10?,11-,12?/m0/s1</t>
  </si>
  <si>
    <t>ILMIGYOKNXIUEA-YJDKOSLUSA-N</t>
  </si>
  <si>
    <t>OC(CSCCCCC)C(O)C(O)CO</t>
  </si>
  <si>
    <t>InChI=1S/C10H19O4S/c1-2-3-4-5-15-8-6-7(11)9(12)10(13)14-8/h6-13H,2-5H2,1H3/t7-,8?,9+,10?/m0/s1</t>
  </si>
  <si>
    <t>SFXRQCBHSVXWGJ-QGVKSAJWSA-N</t>
  </si>
  <si>
    <t>CCCCCc1ccc(C[C@H](Nc2ccc(S(=O)(=O)[O-])cc2)C(=O)O)cc1.[Na+]</t>
  </si>
  <si>
    <t>InChI=1S/C20H25NO5S.Na/c1-2-3-4-5-15-6-8-16(9-7-15)14-19(20(22)23)21-17-10-12-18(13-11-17)27(24,25)26;/h6-13,19,21H,2-5,14H2,1H3,(H,22,23)(H,24,25,26);/q;+1/p-1/t19-;/m0./s1</t>
  </si>
  <si>
    <t>QNEDORZCARSQIG-FYZYNONXSA-M</t>
  </si>
  <si>
    <t>CCCCCn1cc[n+](COCCCCCCOC[n+]2ccn(CCCCC)c2)c1.[Cl-].[Cl-]</t>
  </si>
  <si>
    <t>InChI=1S/C24H44N4O2.2ClH/c1-3-5-9-13-25-15-17-27(21-25)23-29-19-11-7-8-12-20-30-24-28-18-16-26(22-28)14-10-6-4-2;;/h15-18,21-22H,3-14,19-20,23-24H2,1-2H3;2*1H/q+2;;/p-2</t>
  </si>
  <si>
    <t>GIAKWFVRHKJPFE-UHFFFAOYSA-L</t>
  </si>
  <si>
    <t>CCCCCn1cc[n+](COCCCCCOC[n+]2ccn(CCCCC)c2)c1.[Cl-].[Cl-]</t>
  </si>
  <si>
    <t>InChI=1S/C23H42N4O2.2ClH/c1-3-5-8-12-24-14-16-26(20-24)22-28-18-10-7-11-19-29-23-27-17-15-25(21-27)13-9-6-4-2;;/h14-17,20-21H,3-13,18-19,22-23H2,1-2H3;2*1H/q+2;;/p-2</t>
  </si>
  <si>
    <t>YDVKSYSYUJTQQS-UHFFFAOYSA-L</t>
  </si>
  <si>
    <t>CCCCCn1cc[n+](COCCCCOC[n+]2ccn(CCCCC)c2)c1.[Cl-].[Cl-]</t>
  </si>
  <si>
    <t>InChI=1S/C22H40N4O2.2ClH/c1-3-5-7-11-23-13-15-25(19-23)21-27-17-9-10-18-28-22-26-16-14-24(20-26)12-8-6-4-2;;/h13-16,19-20H,3-12,17-18,21-22H2,1-2H3;2*1H/q+2;;/p-2</t>
  </si>
  <si>
    <t>XEINVCGJHWMNOX-UHFFFAOYSA-L</t>
  </si>
  <si>
    <t>CCCCCn1cc[n+](COCCCOC[n+]2ccn(CCCCC)c2)c1.[Cl-].[Cl-]</t>
  </si>
  <si>
    <t>InChI=1S/C21H38N4O2.2ClH/c1-3-5-7-10-22-12-14-24(18-22)20-26-16-9-17-27-21-25-15-13-23(19-25)11-8-6-4-2;;/h12-15,18-19H,3-11,16-17,20-21H2,1-2H3;2*1H/q+2;;/p-2</t>
  </si>
  <si>
    <t>RMWJUURZDWGVOP-UHFFFAOYSA-L</t>
  </si>
  <si>
    <t>CCCCCn1cc[n+](COCCOC[n+]2ccn(CCCCC)c2)c1.[Cl-].[Cl-]</t>
  </si>
  <si>
    <t>InChI=1S/C20H36N4O2.2ClH/c1-3-5-7-9-21-11-13-23(17-21)19-25-15-16-26-20-24-14-12-22(18-24)10-8-6-4-2;;/h11-14,17-18H,3-10,15-16,19-20H2,1-2H3;2*1H/q+2;;/p-2</t>
  </si>
  <si>
    <t>GGQHXPOVEIXIBH-UHFFFAOYSA-L</t>
  </si>
  <si>
    <t>CCCCOC(=O)CC(C(=O)OCCCC)S(=O)(=O)[O-].[Na+]</t>
  </si>
  <si>
    <t>sodium-1,4-dibutoxy-1,4-dioxobutane-2-sulfonate</t>
  </si>
  <si>
    <t>InChI=1S/C12H22O7S.Na/c1-3-5-7-18-11(13)9-10(20(15,16)17)12(14)19-8-6-4-2;/h10H,3-9H2,1-2H3,(H,15,16,17);/q;+1/p-1</t>
  </si>
  <si>
    <t>JLABKOUORPVZCA-UHFFFAOYSA-M</t>
  </si>
  <si>
    <t>O[C@@H](COCCCC)[C@@H](O)[C@H](O)CO</t>
  </si>
  <si>
    <t>1-O-butyl-D-L-xylitol</t>
  </si>
  <si>
    <t>InChI=1S/C11H24O7/c1-2-3-4-18-11(8(15)6-13)10(17)9(16)7(14)5-12/h7-17H,2-6H2,1H3/t7-,8-,9?,10-,11?/m0/s1</t>
  </si>
  <si>
    <t>OKGFEDAFKIUHFQ-LUZJOVDZSA-N</t>
  </si>
  <si>
    <t>OC(COCCCC)C(O)C(O)CO</t>
  </si>
  <si>
    <t>InChI=1S/C9H17O5/c1-2-3-4-13-7-5-6(10)8(11)9(12)14-7/h5-12H,2-4H2,1H3/t6-,7?,8+,9?/m0/s1</t>
  </si>
  <si>
    <t>GHGSEPUWBNBOBK-YRXIUSAGSA-N</t>
  </si>
  <si>
    <t>CCCCC(OCC(O)C(O)C(O)CO)=O</t>
  </si>
  <si>
    <t>InChI=1S/C10H19O6/c1-2-3-4-14-6-15-8-5-7(11)9(12)10(13)16-8/h5,7-13H,2-4,6H2,1H3/t7-,8?,9+,10?/m0/s1</t>
  </si>
  <si>
    <t>UJDMIWJYQKOGSP-QGVKSAJWSA-N</t>
  </si>
  <si>
    <t>CCCCOOCC</t>
  </si>
  <si>
    <t>1-ethylperoxybutane</t>
  </si>
  <si>
    <t>InChI=1S/C6H14O2/c1-3-5-6-8-7-4-2/h3-6H2,1-2H3</t>
  </si>
  <si>
    <t>OZCXMZAXJKGAIW-UHFFFAOYSA-N</t>
  </si>
  <si>
    <t>CCCCOOCCOCCOCCOCCOCCOCC</t>
  </si>
  <si>
    <t>InChI=1S/C16H34O7/c1-3-5-6-22-23-16-15-21-14-13-20-12-11-19-10-9-18-8-7-17-4-2/h3-16H2,1-2H3</t>
  </si>
  <si>
    <t>NHNPHBUGWKHDEM-UHFFFAOYSA-N</t>
  </si>
  <si>
    <t>O[C@@H](CSCCCC)[C@@H](O)[C@H](O)CO</t>
  </si>
  <si>
    <t>S-butyl-1-thio-D-L-xylitol</t>
  </si>
  <si>
    <t>InChI=1S/C11H24O6S/c1-2-3-4-18-11(8(15)6-13)10(17)9(16)7(14)5-12/h7-17H,2-6H2,1H3/t7-,8-,9?,10-,11?/m0/s1</t>
  </si>
  <si>
    <t>OVMAXAFAWSAZQJ-LUZJOVDZSA-N</t>
  </si>
  <si>
    <t>OC(C(C(CO)O)O)CSCCCC</t>
  </si>
  <si>
    <t>InChI=1S/C9H17O4S/c1-2-3-4-14-7-5-6(10)8(11)9(12)13-7/h5-12H,2-4H2,1H3/t6-,7?,8+,9?/m0/s1</t>
  </si>
  <si>
    <t>YGPZEUNKOMWKAP-YRXIUSAGSA-N</t>
  </si>
  <si>
    <t>CCCC[N+](C)(C)CCOCC[N+](C)(C)CCCC.[Br-].[Br-]</t>
  </si>
  <si>
    <t>InChI=1S/C16H38N2O.2BrH/c1-7-9-11-17(3,4)13-15-19-16-14-18(5,6)12-10-8-2;;/h7-16H2,1-6H3;2*1H/q+2;;/p-2</t>
  </si>
  <si>
    <t>NXMGHXWDIYVXFB-UHFFFAOYSA-L</t>
  </si>
  <si>
    <t>OCC(OCC(OCC(OCC(OCC(OCC(OCCOCCOCCOCCOCCOCCOCCOCCOCCOCCOCCOCCOCCOCCOCCOCCOCCOCCOCCOCCOCCOCCOCCOCCOCCOCCOCCOCCCSCCC[Si](O[Si](C)(C)CCCC)(C)O[Si](CCCC)(C)C)C)C)C)C)C)C</t>
  </si>
  <si>
    <t>InChI=1S/C89H184O36SSi3/c1-10-12-73-127(91)82-129(9,83-128(92)74-13-11-2)75-15-72-126-71-14-16-93-17-18-94-19-20-95-21-22-96-23-24-97-25-26-98-27-28-99-29-30-100-31-32-101-33-34-102-35-36-103-37-38-104-39-40-105-41-42-106-43-44-107-45-46-108-47-48-109-49-50-110-51-52-111-53-54-112-55-56-113-57-58-114-59-60-115-61-62-116-63-64-117-65-66-118-67-68-119-69-70-120-85(4)77-122-87(6)79-124-89(8)81-125-88(7)80-123-86(5)78-121-84(3)76-90/h84-92H,10-83H2,1-9H3</t>
  </si>
  <si>
    <t>LEDWKTOZRQNBQN-UHFFFAOYSA-N</t>
  </si>
  <si>
    <t>CCCC[n+]1ccccc1.[Cl-]</t>
  </si>
  <si>
    <t>InChI=1S/C9H14N.ClH/c1-2-3-7-10-8-5-4-6-9-10;/h4-6,8-9H,2-3,7H2,1H3;1H/q+1;/p-1</t>
  </si>
  <si>
    <t>POKOASTYJWUQJG-UHFFFAOYSA-M</t>
  </si>
  <si>
    <t>CCCCn1cc[n+](COCCCCCCOC[n+]2ccn(CCCC)c2)c1.[Cl-].[Cl-]</t>
  </si>
  <si>
    <t>InChI=1S/C22H40N4O2.2ClH/c1-3-5-11-23-13-15-25(19-23)21-27-17-9-7-8-10-18-28-22-26-16-14-24(20-26)12-6-4-2;;/h13-16,19-20H,3-12,17-18,21-22H2,1-2H3;2*1H/q+2;;/p-2</t>
  </si>
  <si>
    <t>HLDKCXWFKPRJHZ-UHFFFAOYSA-L</t>
  </si>
  <si>
    <t>CCCCn1cc[n+](COCCCCCOC[n+]2ccn(CCCC)c2)c1.[Cl-].[Cl-]</t>
  </si>
  <si>
    <t>InChI=1S/C21H38N4O2.2ClH/c1-3-5-10-22-12-14-24(18-22)20-26-16-8-7-9-17-27-21-25-15-13-23(19-25)11-6-4-2;;/h12-15,18-19H,3-11,16-17,20-21H2,1-2H3;2*1H/q+2;;/p-2</t>
  </si>
  <si>
    <t>QMEVHKCLKZWIDW-UHFFFAOYSA-L</t>
  </si>
  <si>
    <t>CCCCn1cc[n+](COCCCCOC[n+]2ccn(CCCC)c2)c1.[Cl-].[Cl-]</t>
  </si>
  <si>
    <t>InChI=1S/C20H36N4O2.2ClH/c1-3-5-9-21-11-13-23(17-21)19-25-15-7-8-16-26-20-24-14-12-22(18-24)10-6-4-2;;/h11-14,17-18H,3-10,15-16,19-20H2,1-2H3;2*1H/q+2;;/p-2</t>
  </si>
  <si>
    <t>DPZYALSUBPPDPL-UHFFFAOYSA-L</t>
  </si>
  <si>
    <t>CCCCn1cc[n+](COCCCOC[n+]2ccn(CCCC)c2)c1.[Cl-].[Cl-]</t>
  </si>
  <si>
    <t>InChI=1S/C19H34N4O2.2ClH/c1-3-5-8-20-10-12-22(16-20)18-24-14-7-15-25-19-23-13-11-21(17-23)9-6-4-2;;/h10-13,16-17H,3-9,14-15,18-19H2,1-2H3;2*1H/q+2;;/p-2</t>
  </si>
  <si>
    <t>JHLSMPPJIBVWCR-UHFFFAOYSA-L</t>
  </si>
  <si>
    <t>CCCCn1cc[n+](COCCOC[n+]2ccn(CCCC)c2)c1.[Cl-].[Cl-]</t>
  </si>
  <si>
    <t>InChI=1S/C18H32N4O2.2ClH/c1-3-5-7-19-9-11-21(15-19)17-23-13-14-24-18-22-12-10-20(16-22)8-6-4-2;;/h9-12,15-16H,3-8,13-14,17-18H2,1-2H3;2*1H/q+2;;/p-2</t>
  </si>
  <si>
    <t>ZXTAFFWTBDIOHV-UHFFFAOYSA-L</t>
  </si>
  <si>
    <t>CCCOCCOC(=O)C(N)CCC(F)(F)C(F)(F)C(F)(F)C(F)(F)C(F)(F)C(F)(F)C(F)(F)C(F)(F)F</t>
  </si>
  <si>
    <t>InChI=1S/C17H18F17NO3/c1-2-5-37-6-7-38-9(36)8(35)3-4-10(18,19)11(20,21)12(22,23)13(24,25)14(26,27)15(28,29)16(30,31)17(32,33)34/h8H,2-7,35H2,1H3</t>
  </si>
  <si>
    <t>WJLKAXYQQVNPBX-UHFFFAOYSA-N</t>
  </si>
  <si>
    <t>CCCOCCOC(=O)C(N)CCC(F)(F)C(F)(F)C(F)(F)C(F)(F)C(F)(F)C(F)(F)F</t>
  </si>
  <si>
    <t>InChI=1S/C15H18F13NO3/c1-2-5-31-6-7-32-9(30)8(29)3-4-10(16,17)11(18,19)12(20,21)13(22,23)14(24,25)15(26,27)28/h8H,2-7,29H2,1H3</t>
  </si>
  <si>
    <t>LQTDTQHKXSDCNK-UHFFFAOYSA-N</t>
  </si>
  <si>
    <t>CCCOCCOC(=O)C(N)CCC(F)(F)C(F)(F)C(F)(F)C(F)(F)F</t>
  </si>
  <si>
    <t>InChI=1S/C13H18F9NO3/c1-2-5-25-6-7-26-9(24)8(23)3-4-10(14,15)11(16,17)12(18,19)13(20,21)22/h8H,2-7,23H2,1H3</t>
  </si>
  <si>
    <t>UMRCFBTWPYLEND-UHFFFAOYSA-N</t>
  </si>
  <si>
    <t>CCCOCCOCCOC(=O)C(N)CCC(F)(F)C(F)(F)C(F)(F)C(F)(F)C(F)(F)C(F)(F)C(F)(F)C(F)(F)F</t>
  </si>
  <si>
    <t>InChI=1S/C19H22F17NO4/c1-2-5-39-6-7-40-8-9-41-11(38)10(37)3-4-12(20,21)13(22,23)14(24,25)15(26,27)16(28,29)17(30,31)18(32,33)19(34,35)36/h10H,2-9,37H2,1H3</t>
  </si>
  <si>
    <t>UOKYYWAKJSJXHP-UHFFFAOYSA-N</t>
  </si>
  <si>
    <t>CCCOCCOCCOC(=O)C(N)CCC(F)(F)C(F)(F)C(F)(F)C(F)(F)C(F)(F)C(F)(F)F</t>
  </si>
  <si>
    <t>InChI=1S/C17H22F13NO4/c1-2-5-33-6-7-34-8-9-35-11(32)10(31)3-4-12(18,19)13(20,21)14(22,23)15(24,25)16(26,27)17(28,29)30/h10H,2-9,31H2,1H3</t>
  </si>
  <si>
    <t>QEUDXYQRHICBMV-UHFFFAOYSA-N</t>
  </si>
  <si>
    <t>CCCOCCOCCOC(=O)C(N)CCC(F)(F)C(F)(F)C(F)(F)C(F)(F)F</t>
  </si>
  <si>
    <t>InChI=1S/C15H22F9NO4/c1-2-5-27-6-7-28-8-9-29-11(26)10(25)3-4-12(16,17)13(18,19)14(20,21)15(22,23)24/h10H,2-9,25H2,1H3</t>
  </si>
  <si>
    <t>DBHIZXBLUNJVKN-UHFFFAOYSA-N</t>
  </si>
  <si>
    <t>C[Si](O[Si](CCC)(C)C)(CCCSCCCOCCOCCOCCOCCOCCOCCOCCOCCOCCOCCOCCOCCOCCOCCOCCOCCOCCOCCOCCOCCOCCOCCOCCOCCOCCOCCOCCOC(COC(COC(COC(COC(COC(CO)C)C)C)C)C)C)O[Si](C)(CCC)C</t>
  </si>
  <si>
    <t>InChI=1S/C87H180O36SSi3/c1-10-71-125(89)80-127(9,81-126(90)72-11-2)73-13-70-124-69-12-14-91-15-16-92-17-18-93-19-20-94-21-22-95-23-24-96-25-26-97-27-28-98-29-30-99-31-32-100-33-34-101-35-36-102-37-38-103-39-40-104-41-42-105-43-44-106-45-46-107-47-48-108-49-50-109-51-52-110-53-54-111-55-56-112-57-58-113-59-60-114-61-62-115-63-64-116-65-66-117-67-68-118-83(4)75-120-85(6)77-122-87(8)79-123-86(7)78-121-84(5)76-119-82(3)74-88/h82-90H,10-81H2,1-9H3</t>
  </si>
  <si>
    <t>IIARIWXFSUSQSM-UHFFFAOYSA-N</t>
  </si>
  <si>
    <t>OCC(OCC(OCC(OCC(OCC(OCC(OCCOCCOCCOCCOCCOCCOCCOCCOCCOCCOCCOCCOCCOCCOCCOCCOCCOCCOCCOCCOCCOCCOCCOCCOCCOCCOCCOCCCSCCC[Si](O[Si](CC)(CC)CC)(C)O[Si](CC)(CC)CC)C)C)C)C)C)C</t>
  </si>
  <si>
    <t>InChI=1S/C89H184O36SSi3/c1-10-72-127(91)82-129(74-12-3,83-128(92)73-11-2)75-14-71-126-70-13-15-93-16-17-94-18-19-95-20-21-96-22-23-97-24-25-98-26-27-99-28-29-100-30-31-101-32-33-102-34-35-103-36-37-104-38-39-105-40-41-106-42-43-107-44-45-108-46-47-109-48-49-110-50-51-111-52-53-112-54-55-113-56-57-114-58-59-115-60-61-116-62-63-117-64-65-118-66-67-119-68-69-120-85(5)77-122-87(7)79-124-89(9)81-125-88(8)80-123-86(6)78-121-84(4)76-90/h84-92H,10-83H2,1-9H3</t>
  </si>
  <si>
    <t>HSRUSQRTUJUDSX-UHFFFAOYSA-N</t>
  </si>
  <si>
    <t>CCCn1cc[n+](COCCCCCCOC[n+]2ccn(CCC)c2)c1.[Cl-].[Cl-]</t>
  </si>
  <si>
    <t>InChI=1S/C20H36N4O2.2ClH/c1-3-9-21-11-13-23(17-21)19-25-15-7-5-6-8-16-26-20-24-14-12-22(18-24)10-4-2;;/h11-14,17-18H,3-10,15-16,19-20H2,1-2H3;2*1H/q+2;;/p-2</t>
  </si>
  <si>
    <t>UBYVHXYYTJUQKD-UHFFFAOYSA-L</t>
  </si>
  <si>
    <t>CCCn1cc[n+](COCCCCCOC[n+]2ccn(CCC)c2)c1.[Cl-].[Cl-]</t>
  </si>
  <si>
    <t>InChI=1S/C19H34N4O2.2ClH/c1-3-8-20-10-12-22(16-20)18-24-14-6-5-7-15-25-19-23-13-11-21(17-23)9-4-2;;/h10-13,16-17H,3-9,14-15,18-19H2,1-2H3;2*1H/q+2;;/p-2</t>
  </si>
  <si>
    <t>CDCGSFBFXLPLHA-UHFFFAOYSA-L</t>
  </si>
  <si>
    <t>CCCn1cc[n+](COCCCCOC[n+]2ccn(CCC)c2)c1.[Cl-].[Cl-]</t>
  </si>
  <si>
    <t>InChI=1S/C18H32N4O2.2ClH/c1-3-7-19-9-11-21(15-19)17-23-13-5-6-14-24-18-22-12-10-20(16-22)8-4-2;;/h9-12,15-16H,3-8,13-14,17-18H2,1-2H3;2*1H/q+2;;/p-2</t>
  </si>
  <si>
    <t>JMBCISNUIZRMDE-UHFFFAOYSA-L</t>
  </si>
  <si>
    <t>CCCn1cc[n+](COCCCOC[n+]2ccn(CCC)c2)c1.[Cl-].[Cl-]</t>
  </si>
  <si>
    <t>InChI=1S/C17H30N4O2.2ClH/c1-3-6-18-8-10-20(14-18)16-22-12-5-13-23-17-21-11-9-19(15-21)7-4-2;;/h8-11,14-15H,3-7,12-13,16-17H2,1-2H3;2*1H/q+2;;/p-2</t>
  </si>
  <si>
    <t>HWKGGCKSJFVWTI-UHFFFAOYSA-L</t>
  </si>
  <si>
    <t>CCCn1cc[n+](COCCOC[n+]2ccn(CCC)c2)c1.[Cl-].[Cl-]</t>
  </si>
  <si>
    <t>InChI=1S/C16H28N4O2.2ClH/c1-3-5-17-7-9-19(13-17)15-21-11-12-22-16-20-10-8-18(14-20)6-4-2;;/h7-10,13-14H,3-6,11-12,15-16H2,1-2H3;2*1H/q+2;;/p-2</t>
  </si>
  <si>
    <t>OVRGBYODZGUYFZ-UHFFFAOYSA-L</t>
  </si>
  <si>
    <t>InChI=1S/C16H34O7/c1-4-18-5-6-19-7-8-20-9-10-21-11-12-22-13-14-23-16(17)15(2)3/h15-17H,4-14H2,1-3H3</t>
  </si>
  <si>
    <t>BFMJNSUYSUWDOQ-UHFFFAOYSA-N</t>
  </si>
  <si>
    <t>InChI=1S/C18H38O7/c1-4-17(5-2)18(19)25-16-15-24-14-13-23-12-11-22-10-9-21-8-7-20-6-3/h17-19H,4-16H2,1-3H3</t>
  </si>
  <si>
    <t>UJFNPJIFGCCIEJ-UHFFFAOYSA-N</t>
  </si>
  <si>
    <t>CCOCCOCCOCCOCCOCCOCCOCCOCCOCCOCCOCCOCCOCCOCCOCCSCC[Si](C)(O[Si](C)(C)C)O[Si](C)(C)C</t>
  </si>
  <si>
    <t>10.1016/j.molliq.2019.111158</t>
  </si>
  <si>
    <t>InChI=1S/C41H90O17SSi3/c1-9-42-10-11-43-12-13-44-14-15-45-16-17-46-18-19-47-20-21-48-22-23-49-24-25-50-26-27-51-28-29-52-30-31-53-32-33-54-34-35-55-36-37-56-38-39-59-40-41-62(8,57-60(2,3)4)58-61(5,6)7/h9-41H2,1-8H3</t>
  </si>
  <si>
    <t>NAWOMHQONYIBKI-UHFFFAOYSA-N</t>
  </si>
  <si>
    <t>CCOCCOCCOCCOCCOCCOCCOCCOCCOCCOCCOCCOCCOCCOCCOCCSCC[Si](O[Si](C)(C1=CC=CC=C1)C)(O[Si](C)(C2=CC=CC=C2)C)C</t>
  </si>
  <si>
    <t>InChI=1S/C51H92O17SSi3/c1-7-52-18-19-53-20-21-54-22-23-55-24-25-56-26-27-57-28-29-58-30-31-59-32-33-60-34-35-61-36-37-62-38-39-63-40-41-64-42-43-65-44-45-66-46-47-69-48-49-72(6,67-70(2,3)50-14-10-8-11-15-50)68-71(4,5)51-16-12-9-13-17-51/h10-17H,7,18-49H2,1-6H3</t>
  </si>
  <si>
    <t>CKTGZYPNQCUNGO-UHFFFAOYSA-N</t>
  </si>
  <si>
    <t>CCOCCOCCOCCOCCOCCOCCOCCOCCOCCOCCOCCOCCOCCOCCOCCSCC[Si](O[Si](C)(C)C)(O[Si](C)(C)C)O[Si](C)(C)C</t>
  </si>
  <si>
    <t>InChI=1S/C43H96O18SSi4/c1-11-44-12-13-45-14-15-46-16-17-47-18-19-48-20-21-49-22-23-50-24-25-51-26-27-52-28-29-53-30-31-54-32-33-55-34-35-56-36-37-57-38-39-58-40-41-62-42-43-66(59-63(2,3)4,60-64(5,6)7)61-65(8,9)10/h11-43H2,1-10H3</t>
  </si>
  <si>
    <t>YSFVUBURGQVLDX-UHFFFAOYSA-N</t>
  </si>
  <si>
    <t>CCOCCOCCOCCOCCOCCOCCOCCOCCOCCOCCOCCOCCOCCOCCOCCSCC[Si](O[Si](C)(C1=CC=CC=C1)C)(O[Si](C)(C2=CC=CC=C2)C)O[Si](C)(C3=CC=CC=C3)C</t>
  </si>
  <si>
    <t>InChI=1S/C58H99O18SSi4/c1-8-59-24-25-60-26-27-61-28-29-62-30-31-63-32-33-64-34-35-65-36-37-66-38-39-67-40-41-68-42-43-69-44-45-70-46-47-71-48-49-72-50-51-73-52-53-77-54-55-81(74-78(2,3)56-18-12-9-13-19-56,75-79(4,5)57-20-14-10-15-21-57)76-80(6,7)58-22-16-11-17-23-58/h12-23H,8,24-55H2,1-7H3</t>
  </si>
  <si>
    <t>OPDSKSCGZVUCIJ-UHFFFAOYSA-N</t>
  </si>
  <si>
    <t>OCC(OCC(OCC(OCC(OCC(OCC(OCCOCCOCCOCCOCCOCCOCCOCCOCCOCCOCCOCCOCCOCCOCCOCCOCCOCCOCCOCCOCCOCCOCCOCCOCCOCCOCCOCCCSCCC[Si](O[Si](CC)(C)C)(C)O[Si](C)(C)CC)C)C)C)C)C)C</t>
  </si>
  <si>
    <t>InChI=1S/C85H176O36SSi3/c1-10-123(87)78-125(9,79-124(88)11-2)71-13-70-122-69-12-14-89-15-16-90-17-18-91-19-20-92-21-22-93-23-24-94-25-26-95-27-28-96-29-30-97-31-32-98-33-34-99-35-36-100-37-38-101-39-40-102-41-42-103-43-44-104-45-46-105-47-48-106-49-50-107-51-52-108-53-54-109-55-56-110-57-58-111-59-60-112-61-62-113-63-64-114-65-66-115-67-68-116-81(4)73-118-83(6)75-120-85(8)77-121-84(7)76-119-82(5)74-117-80(3)72-86/h80-88H,10-79H2,1-9H3</t>
  </si>
  <si>
    <t>VXFAECFMCFBVAS-UHFFFAOYSA-N</t>
  </si>
  <si>
    <t>OCC(OCC(OCC(OCC(OCC(OCC(OCCOCCOCCOCCOCCOCCOCCOCCOCCOCCOCCOCCOCCOCCOCCOCCOCCOCCOCCOCCOCCOCCOCCOCCOCCOCCOCCOCCCSCCC[Si](O[Si](CC)(C)CC)(C)O[Si](CC)(C)CC)C)C)C)C)C)C</t>
  </si>
  <si>
    <t>InChI=1S/C86H178O36SSi3/c1-10-124(88)79-126(12-3,80-125(89)11-2)72-14-71-123-70-13-15-90-16-17-91-18-19-92-20-21-93-22-23-94-24-25-95-26-27-96-28-29-97-30-31-98-32-33-99-34-35-100-36-37-101-38-39-102-40-41-103-42-43-104-44-45-105-46-47-106-48-49-107-50-51-108-52-53-109-54-55-110-56-57-111-58-59-112-60-61-113-62-63-114-64-65-115-66-67-116-68-69-117-82(5)74-119-84(7)76-121-86(9)78-122-85(8)77-120-83(6)75-118-81(4)73-87/h81-89H,10-80H2,1-9H3</t>
  </si>
  <si>
    <t>HHWPPQHZGLJRIK-UHFFFAOYSA-N</t>
  </si>
  <si>
    <t>CCn1cc[n+](COCCCCCCOC[n+]2ccn(CC)c2)c1.[Cl-].[Cl-]</t>
  </si>
  <si>
    <t>InChI=1S/C18H32N4O2.2ClH/c1-3-19-9-11-21(15-19)17-23-13-7-5-6-8-14-24-18-22-12-10-20(4-2)16-22;;/h9-12,15-16H,3-8,13-14,17-18H2,1-2H3;2*1H/q+2;;/p-2</t>
  </si>
  <si>
    <t>RMKRFZOKKJWWME-UHFFFAOYSA-L</t>
  </si>
  <si>
    <t>CCn1cc[n+](COCCCCCOC[n+]2ccn(CC)c2)c1.[Cl-].[Cl-]</t>
  </si>
  <si>
    <t>InChI=1S/C17H30N4O2.2ClH/c1-3-18-8-10-20(14-18)16-22-12-6-5-7-13-23-17-21-11-9-19(4-2)15-21;;/h8-11,14-15H,3-7,12-13,16-17H2,1-2H3;2*1H/q+2;;/p-2</t>
  </si>
  <si>
    <t>AHGGFNSFRDRBGY-UHFFFAOYSA-L</t>
  </si>
  <si>
    <t>CCn1cc[n+](COCCCCOC[n+]2ccn(CC)c2)c1.[Cl-].[Cl-]</t>
  </si>
  <si>
    <t>InChI=1S/C16H28N4O2.2ClH/c1-3-17-7-9-19(13-17)15-21-11-5-6-12-22-16-20-10-8-18(4-2)14-20;;/h7-10,13-14H,3-6,11-12,15-16H2,1-2H3;2*1H/q+2;;/p-2</t>
  </si>
  <si>
    <t>BNLQCXTYQYJIBN-UHFFFAOYSA-L</t>
  </si>
  <si>
    <t>CCn1cc[n+](COCCCOC[n+]2ccn(CC)c2)c1.[Cl-].[Cl-]</t>
  </si>
  <si>
    <t>InChI=1S/C15H26N4O2.2ClH/c1-3-16-6-8-18(12-16)14-20-10-5-11-21-15-19-9-7-17(4-2)13-19;;/h6-9,12-13H,3-5,10-11,14-15H2,1-2H3;2*1H/q+2;;/p-2</t>
  </si>
  <si>
    <t>XYUYHYIMHDAXMC-UHFFFAOYSA-L</t>
  </si>
  <si>
    <t>CCn1cc[n+](COCCOC[n+]2ccn(CC)c2)c1.[Cl-].[Cl-]</t>
  </si>
  <si>
    <t>InChI=1S/C14H24N4O2.2ClH/c1-3-15-5-7-17(11-15)13-19-9-10-20-14-18-8-6-16(4-2)12-18;;/h5-8,11-12H,3-4,9-10,13-14H2,1-2H3;2*1H/q+2;;/p-2</t>
  </si>
  <si>
    <t>YLALXAUFDRBFJK-UHFFFAOYSA-L</t>
  </si>
  <si>
    <t>COCCCOCCNC(=O)CC(F)(F)C(F)(F)C(F)(F)C(F)(F)C(F)(F)C(F)(F)C(F)(F)C(F)(F)C(F)(F)C(F)(F)F</t>
  </si>
  <si>
    <t>InChI=1S/C18H16F21NO3/c1-42-4-2-5-43-6-3-40-8(41)7-9(19,20)10(21,22)11(23,24)12(25,26)13(27,28)14(29,30)15(31,32)16(33,34)17(35,36)18(37,38)39/h2-7H2,1H3,(H,40,41)</t>
  </si>
  <si>
    <t>YMKGRTYFCALSJE-UHFFFAOYSA-N</t>
  </si>
  <si>
    <t>COCCOCCOCCCC(F)(F)C(F)(F)C(F)(F)C(F)(F)C(F)(F)C(F)(F)F</t>
  </si>
  <si>
    <t>InChI=1S/C14H17F13O3/c1-28-5-6-30-8-7-29-4-2-3-9(15,16)10(17,18)11(19,20)12(21,22)13(23,24)14(25,26)27/h2-8H2,1H3</t>
  </si>
  <si>
    <t>BSRCKKYFWMIYFL-UHFFFAOYSA-N</t>
  </si>
  <si>
    <t>COCCOCCOCCCC(F)(F)C(F)(F)C(F)(F)C(F)(F)C(F)(F)C(F)F</t>
  </si>
  <si>
    <t>InChI=1S/C14H18F12O3/c1-27-5-6-29-8-7-28-4-2-3-10(17,18)12(21,22)14(25,26)13(23,24)11(19,20)9(15)16/h9H,2-8H2,1H3</t>
  </si>
  <si>
    <t>NZZWJHBDYMOPKT-UHFFFAOYSA-N</t>
  </si>
  <si>
    <t>COCCOCCOCCCC(F)(F)C(F)(F)C(F)(F)C(F)(F)F</t>
  </si>
  <si>
    <t>InChI=1S/C12H17F9O3/c1-22-5-6-24-8-7-23-4-2-3-9(13,14)10(15,16)11(17,18)12(19,20)21/h2-8H2,1H3</t>
  </si>
  <si>
    <t>PDICJEQLYFBTQA-UHFFFAOYSA-N</t>
  </si>
  <si>
    <t>COCCOCCOCCCC(F)(F)C(F)(F)C(F)(F)C(F)F</t>
  </si>
  <si>
    <t>InChI=1S/C12H18F8O3/c1-21-5-6-23-8-7-22-4-2-3-10(15,16)12(19,20)11(17,18)9(13)14/h9H,2-8H2,1H3</t>
  </si>
  <si>
    <t>OQDILVOUWJFZCH-UHFFFAOYSA-N</t>
  </si>
  <si>
    <t>COCCOCCOCCCOCCOCCOCCNC(=O)CC(F)(F)C(F)(F)C(F)(F)C(F)(F)C(F)(F)C(F)(F)C(F)(F)C(F)(F)F</t>
  </si>
  <si>
    <t>InChI=1S/C24H32F17NO7/c1-44-7-8-48-12-9-45-4-2-5-46-10-13-49-14-11-47-6-3-42-16(43)15-17(25,26)18(27,28)19(29,30)20(31,32)21(33,34)22(35,36)23(37,38)24(39,40)41/h2-15H2,1H3,(H,42,43)</t>
  </si>
  <si>
    <t>MJXNQMVALZBNLX-UHFFFAOYSA-N</t>
  </si>
  <si>
    <t>COCCOCCOCCCOCCOCCOCCNC(=O)CC(F)(F)C(F)(F)C(F)(F)C(F)(F)C(F)(F)C(F)(F)F</t>
  </si>
  <si>
    <t>InChI=1S/C22H32F13NO7/c1-38-7-8-42-12-9-39-4-2-5-40-10-13-43-14-11-41-6-3-36-16(37)15-17(23,24)18(25,26)19(27,28)20(29,30)21(31,32)22(33,34)35/h2-15H2,1H3,(H,36,37)</t>
  </si>
  <si>
    <t>JFJYMZSHOZXOEV-UHFFFAOYSA-N</t>
  </si>
  <si>
    <t>COCCOCCOCCOCCOCCOCCOCCCSCCC[Si](C)(O[Si](C)(C)C)O[Si](C)(C)C</t>
  </si>
  <si>
    <t>10.1080/01932691.2018.1561303</t>
  </si>
  <si>
    <t>InChI=1S/C26H60O9SSi3/c1-27-12-13-29-16-17-31-20-21-33-23-22-32-19-18-30-15-14-28-11-9-24-36-25-10-26-39(8,34-37(2,3)4)35-38(5,6)7/h9-26H2,1-8H3</t>
  </si>
  <si>
    <t>LORUOSGNHBXLCT-UHFFFAOYSA-N</t>
  </si>
  <si>
    <t>COCCOCCOCCOCCOCCOCCOCCOCCCSCCC[Si](C)(O[Si](C)(C)C)O[Si](C)(C)C</t>
  </si>
  <si>
    <t>InChI=1S/C28H64O10SSi3/c1-29-12-13-31-16-17-33-20-21-35-24-25-36-23-22-34-19-18-32-15-14-30-11-9-26-39-27-10-28-42(8,37-40(2,3)4)38-41(5,6)7/h9-28H2,1-8H3</t>
  </si>
  <si>
    <t>MGKHFLDIFSBFKF-UHFFFAOYSA-N</t>
  </si>
  <si>
    <t>COCCOCCOCCOCCOCCOCCOCCOCCOCCCSCCC[Si](C)(O[Si](C)(C)C)O[Si](C)(C)C</t>
  </si>
  <si>
    <t>InChI=1S/C30H68O11SSi3/c1-31-12-13-33-16-17-35-20-21-37-24-25-39-27-26-38-23-22-36-19-18-34-15-14-32-11-9-28-42-29-10-30-45(8,40-43(2,3)4)41-44(5,6)7/h9-30H2,1-8H3</t>
  </si>
  <si>
    <t>WYXUDJQUUPLLTB-UHFFFAOYSA-N</t>
  </si>
  <si>
    <t>COCCOCCOCCOCCOCCOCCOCCOCCOCCCSCCC[Si](O[Si]C(C)C)(O[Si](C)(C)C)O[Si](C)(C)C</t>
  </si>
  <si>
    <t>InChI=1S/C32H72O12SSi4/c1-32(2)46-42-49(43-47(4,5)6,44-48(7,8)9)31-11-30-45-29-10-12-34-15-16-36-19-20-38-23-24-40-27-28-41-26-25-39-22-21-37-18-17-35-14-13-33-3/h32H,10-31H2,1-9H3</t>
  </si>
  <si>
    <t>JCSWYLCETDFTCM-UHFFFAOYSA-N</t>
  </si>
  <si>
    <t>COCCOCCOCCOCCOCCOCCOCCOCCOCCO</t>
  </si>
  <si>
    <t>2-[2-[2-[2-[2-[2-[2-[2-(2-methoxyethoxy)ethoxy]ethoxy]ethoxy]ethoxy]ethoxy]ethoxy]ethoxy]ethanol</t>
  </si>
  <si>
    <t>InChI=1S/C19H40O10/c1-21-4-5-23-8-9-25-12-13-27-16-17-29-19-18-28-15-14-26-11-10-24-7-6-22-3-2-20/h20H,2-19H2,1H3</t>
  </si>
  <si>
    <t>VVHAVLIDQNWEKF-UHFFFAOYSA-N</t>
  </si>
  <si>
    <t>COCCOCCOCCOCCOCCOCCOCCOCCOCCOCCOCCCSCCC[Si](C)(O[Si](C)(C)C)O[Si](C)(C)C</t>
  </si>
  <si>
    <t>InChI=1S/C34H76O13SSi3/c1-35-12-13-37-16-17-39-20-21-41-24-25-43-28-29-45-31-30-44-27-26-42-23-22-40-19-18-38-15-14-36-11-9-32-48-33-10-34-51(8,46-49(2,3)4)47-50(5,6)7/h9-34H2,1-8H3</t>
  </si>
  <si>
    <t>MZMPWNHDMJUKRW-UHFFFAOYSA-N</t>
  </si>
  <si>
    <t>COCCOCCOCCOCCOCCOCCOCCOCCOCCOCCOCCCSCCC[Si](O[Si]C(C)C)(O[Si](C)(C)C)O[Si](C)(C)C</t>
  </si>
  <si>
    <t>InChI=1S/C36H80O14SSi4/c1-36(2)52-48-55(49-53(4,5)6,50-54(7,8)9)35-11-34-51-33-10-12-38-15-16-40-19-20-42-23-24-44-27-28-46-31-32-47-30-29-45-26-25-43-22-21-41-18-17-39-14-13-37-3/h36H,10-35H2,1-9H3</t>
  </si>
  <si>
    <t>WJGHZQCYGFOJSJ-UHFFFAOYSA-N</t>
  </si>
  <si>
    <t>CS(=O)(=O)[O-].CS(=O)(=O)[O-].FC(F)(F)C(F)(F)C(F)(F)C(F)(F)C(F)(F)C(F)(F)CC[n+]1ccccc1CCCCCCCCCCCCc1cccc[n+]1CCC(F)(F)C(F)(F)C(F)(F)C(F)(F)C(F)(F)C(F)(F)F</t>
  </si>
  <si>
    <t>methanesulfonate-1-(3,3,4,4,5,5,6,6,7,7,8,8,8-tridecafluorooctyl)-2-[12-[1-(3,3,4,4,5,5,6,6,7,7,8,8,8-tridecafluorooctyl)pyridin-1-ium-2-yl]dodecyl]pyridin-1-ium</t>
  </si>
  <si>
    <t>InChI=1S/C38H40F26N2.2CH4O3S/c39-27(40,29(43,44)31(47,48)33(51,52)35(55,56)37(59,60)61)19-23-65-21-13-11-17-25(65)15-9-7-5-3-1-2-4-6-8-10-16-26-18-12-14-22-66(26)24-20-28(41,42)30(45,46)32(49,50)34(53,54)36(57,58)38(62,63)64;2*1-5(2,3)4/h11-14,17-18,21-22H,1-10,15-16,19-20,23-24H2;2*1H3,(H,2,3,4)/q+2;;/p-2</t>
  </si>
  <si>
    <t>VWLVRYOEHANMEG-UHFFFAOYSA-L</t>
  </si>
  <si>
    <t>CS(=O)(=O)[O-].CS(=O)(=O)[O-].FC(F)(F)C(F)(F)C(F)(F)C(F)(F)C(F)(F)C(F)(F)CC[n+]1ccccc1CCCCCCCCc1cccc[n+]1CCC(F)(F)C(F)(F)C(F)(F)C(F)(F)C(F)(F)C(F)(F)F</t>
  </si>
  <si>
    <t>methanesulfonate-1-(3,3,4,4,5,5,6,6,7,7,8,8,8-tridecafluorooctyl)-2-[8-[1-(3,3,4,4,5,5,6,6,7,7,8,8,8-tridecafluorooctyl)pyridin-1-ium-2-yl]octyl]pyridin-1-ium</t>
  </si>
  <si>
    <t>InChI=1S/C34H32F26N2.2CH4O3S/c35-23(36,25(39,40)27(43,44)29(47,48)31(51,52)33(55,56)57)15-19-61-17-9-7-13-21(61)11-5-3-1-2-4-6-12-22-14-8-10-18-62(22)20-16-24(37,38)26(41,42)28(45,46)30(49,50)32(53,54)34(58,59)60;2*1-5(2,3)4/h7-10,13-14,17-18H,1-6,11-12,15-16,19-20H2;2*1H3,(H,2,3,4)/q+2;;/p-2</t>
  </si>
  <si>
    <t>AZTXRWCAKCPDBC-UHFFFAOYSA-L</t>
  </si>
  <si>
    <t>CS(=O)(=O)[O-].CS(=O)(=O)[O-].FC(F)(F)C(F)(F)C(F)(F)C(F)(F)C(F)(F)C(F)(F)CC[n+]1ccccc1CCCCc1cccc[n+]1CCC(F)(F)C(F)(F)C(F)(F)C(F)(F)C(F)(F)C(F)(F)F</t>
  </si>
  <si>
    <t>methanesulfonate;1-(3,3,4,4,5,5,6,6,7,7,8,8,8-tridecafluorooctyl)-2-[4-[1-(3,3,4,4,5,5,6,6,7,7,8,8,8-tridecafluorooctyl)pyridin-1-ium-2-yl]butyl]pyridin-1-ium</t>
  </si>
  <si>
    <t>InChI=1S/C30H24F26N2.2CH4O3S/c31-19(32,21(35,36)23(39,40)25(43,44)27(47,48)29(51,52)53)11-15-57-13-5-3-9-17(57)7-1-2-8-18-10-4-6-14-58(18)16-12-20(33,34)22(37,38)24(41,42)26(45,46)28(49,50)30(54,55)56;2*1-5(2,3)4/h3-6,9-10,13-14H,1-2,7-8,11-12,15-16H2;2*1H3,(H,2,3,4)/q+2;;/p-2</t>
  </si>
  <si>
    <t>BFGSIVAAWGNGKE-UHFFFAOYSA-L</t>
  </si>
  <si>
    <t>C[N+](C)(CCO)CCC[Si](O[Si](C)(C)C)(O[Si](C)(C)C)O[Si](C)(C)C.[Cl-]</t>
  </si>
  <si>
    <t>10.1016/j.colsurfa.2012.10.041</t>
  </si>
  <si>
    <t>InChI=1S/C16H44NO4Si4.ClH/c1-17(2,14-15-18)13-12-16-25(19-22(3,4)5,20-23(6,7)8)21-24(9,10)11;/h18H,12-16H2,1-11H3;1H/q+1;/p-1</t>
  </si>
  <si>
    <t>OZJSHMHJJJMBAP-UHFFFAOYSA-M</t>
  </si>
  <si>
    <t>C[N+]1(CCC[Si](O[Si](C)(C)C)(O[Si](C)(C)C)O[Si](C)(C)C)CCCC1.[Cl-]</t>
  </si>
  <si>
    <t>InChI=1S/C17H44NO3Si4.ClH/c1-18(14-11-12-15-18)16-13-17-25(19-22(2,3)4,20-23(5,6)7)21-24(8,9)10;/h11-17H2,1-10H3;1H/q+1;/p-1</t>
  </si>
  <si>
    <t>ABTMLUPPYJEYDV-UHFFFAOYSA-M</t>
  </si>
  <si>
    <t>C[SiH](O[SiH](C)O[SiH](C)O[Si](C)(CCCOCC1CO1)O[Si](C)(C)C)O[SiH](C)O[Si](C)(C)C</t>
  </si>
  <si>
    <t>10.1016/j.molliq.2019.112073</t>
  </si>
  <si>
    <t>InChI=1S/C17H48O8Si7/c1-26(21-28(3)23-30(5,6)7)20-27(2)22-29(4)24-32(11,25-31(8,9)10)14-12-13-18-15-17-16-19-17/h17,26-29H,12-16H2,1-11H3</t>
  </si>
  <si>
    <t>QGQDYOVZHANEHD-UHFFFAOYSA-N</t>
  </si>
  <si>
    <t>C[SiH](O[SiH](C)O[SiH](C)O[Si](C)(CCCOCC1CO1)O[Si](C)(C)C)O[SiH](C)O[Si](C)(C)O[Si](C)(C)O[Si](C)(C)O[Si](C)(C)O[Si](C)(C)C</t>
  </si>
  <si>
    <t>InChI=1S/C25H72O12Si11/c1-38(28-39(2)30-41(4)32-48(19,34-43(8,9)10)22-20-21-26-23-25-24-27-25)29-40(3)31-44(11,12)35-46(15,16)37-47(17,18)36-45(13,14)33-42(5,6)7/h25,38-41H,20-24H2,1-19H3</t>
  </si>
  <si>
    <t>YOUDPMBKNPCPMZ-UHFFFAOYSA-N</t>
  </si>
  <si>
    <t>C[SiH](O[SiH](C)O[SiH](C)O[Si](C)(CCCOCC1CO1)O[Si](C)(C)C)O[SiH](C)O[Si](C)(C)O[Si](C)(C)O[Si](C)(C)O[Si](C)(C)O[Si](C)(C)O[Si](C)(C)O[Si](C)(C)O[Si](C)(C)O[Si](C)(C)C</t>
  </si>
  <si>
    <t>InChI=1S/C33H96O16Si15/c1-50(36-51(2)38-53(4)40-64(27,42-55(8,9)10)30-28-29-34-31-33-32-35-33)37-52(3)39-56(11,12)43-58(15,16)45-60(19,20)47-62(23,24)49-63(25,26)48-61(21,22)46-59(17,18)44-57(13,14)41-54(5,6)7/h33,50-53H,28-32H2,1-27H3</t>
  </si>
  <si>
    <t>MJGKYWCJMBPWAH-UHFFFAOYSA-N</t>
  </si>
  <si>
    <t>CCCCCCCCCCCC(N(CC(O)C(O)C(CO)O)C)=O</t>
  </si>
  <si>
    <t>Dodecanoyl-N-methylxylamine</t>
  </si>
  <si>
    <t>InChI=1S/C22H35NO2/c1-19-15-14-16-21(20(19)2)22(25)23(3)17-12-10-8-6-4-5-7-9-11-13-18-24/h14-16,18H,4-13,17H2,1-3H3</t>
  </si>
  <si>
    <t>USHISIRZJIGIFG-UHFFFAOYSA-N</t>
  </si>
  <si>
    <t>Cn1cc[n+](CCC[Si](O[Si](C)(C)C)(O[Si](C)(C)C)O[Si](C)(C)C)c1.[Cl-]</t>
  </si>
  <si>
    <t>InChI=1S/C16H39N2O3Si4.ClH/c1-17-13-14-18(16-17)12-11-15-25(19-22(2,3)4,20-23(5,6)7)21-24(8,9)10;/h13-14,16H,11-12,15H2,1-10H3;1H/q+1;/p-1</t>
  </si>
  <si>
    <t>XCTISACBUSSCPD-UHFFFAOYSA-M</t>
  </si>
  <si>
    <t>Cn1cc[n+](COCCCCCCOC[n+]2ccn(C)c2)c1.[Cl-].[Cl-]</t>
  </si>
  <si>
    <t>InChI=1S/C16H28N4O2.2ClH/c1-17-7-9-19(13-17)15-21-11-5-3-4-6-12-22-16-20-10-8-18(2)14-20;;/h7-10,13-14H,3-6,11-12,15-16H2,1-2H3;2*1H/q+2;;/p-2</t>
  </si>
  <si>
    <t>NEAZIPFOEQEWKS-UHFFFAOYSA-L</t>
  </si>
  <si>
    <t>Cn1cc[n+](COCCCCCOC[n+]2ccn(C)c2)c1.[Cl-].[Cl-]</t>
  </si>
  <si>
    <t>InChI=1S/C15H26N4O2.2ClH/c1-16-6-8-18(12-16)14-20-10-4-3-5-11-21-15-19-9-7-17(2)13-19;;/h6-9,12-13H,3-5,10-11,14-15H2,1-2H3;2*1H/q+2;;/p-2</t>
  </si>
  <si>
    <t>CDGXBNBUQJARMG-UHFFFAOYSA-L</t>
  </si>
  <si>
    <t>Cn1cc[n+](COCCCCOC[n+]2ccn(C)c2)c1.[Cl-].[Cl-]</t>
  </si>
  <si>
    <t>InChI=1S/C14H24N4O2.2ClH/c1-15-5-7-17(11-15)13-19-9-3-4-10-20-14-18-8-6-16(2)12-18;;/h5-8,11-12H,3-4,9-10,13-14H2,1-2H3;2*1H/q+2;;/p-2</t>
  </si>
  <si>
    <t>ZLPWXGPWJQCLHZ-UHFFFAOYSA-L</t>
  </si>
  <si>
    <t>Cn1cc[n+](COCCCOC[n+]2ccn(C)c2)c1.[Cl-].[Cl-]</t>
  </si>
  <si>
    <t>InChI=1S/C13H22N4O2.2ClH/c1-14-4-6-16(10-14)12-18-8-3-9-19-13-17-7-5-15(2)11-17;;/h4-7,10-11H,3,8-9,12-13H2,1-2H3;2*1H/q+2;;/p-2</t>
  </si>
  <si>
    <t>IGXCJBKWRKZRHN-UHFFFAOYSA-L</t>
  </si>
  <si>
    <t>CN(C[C@@H]([C@H]([C@@H]([C@@H](CO)O)O[C@@H]1O[C@H](CO)[C@@H](O)[C@H](O)[C@H]1O)O)O)C(CCCCCCCCCCCCCCC)=O</t>
  </si>
  <si>
    <t>Cn1cc[n+](COCCOC[n+]2ccn(C)c2)c1.[Cl-].[Cl-]</t>
  </si>
  <si>
    <t>InChI=1S/C12H20N4O2.2ClH/c1-13-3-5-15(9-13)11-17-7-8-18-12-16-6-4-14(2)10-16;;/h3-6,9-10H,7-8,11-12H2,1-2H3;2*1H/q+2;;/p-2</t>
  </si>
  <si>
    <t>WCQQREQAFFKMKJ-UHFFFAOYSA-L</t>
  </si>
  <si>
    <t>FC(F)(F)C(F)(F)C(F)(F)C(F)(F)C(F)(F)C(F)(F)CC[n+]1ccccc1CCCCCCCCCCCCc1cccc[n+]1CCC(F)(F)C(F)(F)C(F)(F)C(F)(F)C(F)(F)C(F)(F)F.[Cl-].[Cl-]</t>
  </si>
  <si>
    <t>1-(3,3,4,4,5,5,6,6,7,7,8,8,8-tridecafluorooctyl)-2-[12-[1-(3,3,4,4,5,5,6,6,7,7,8,8,8-tridecafluorooctyl)pyridin-1-ium-2-yl]dodecyl]pyridin-1-ium-dichloride</t>
  </si>
  <si>
    <t>InChI=1S/C38H40F26N2.2ClH/c39-27(40,29(43,44)31(47,48)33(51,52)35(55,56)37(59,60)61)19-23-65-21-13-11-17-25(65)15-9-7-5-3-1-2-4-6-8-10-16-26-18-12-14-22-66(26)24-20-28(41,42)30(45,46)32(49,50)34(53,54)36(57,58)38(62,63)64;;/h11-14,17-18,21-22H,1-10,15-16,19-20,23-24H2;2*1H/q+2;;/p-2</t>
  </si>
  <si>
    <t>BHASMBWBSQVGPB-UHFFFAOYSA-L</t>
  </si>
  <si>
    <t>CN(C[C@@H]([C@H]([C@@H]([C@@H](CO)O)O[C@@H]1O[C@H](CO)[C@@H](O)[C@H](O)[C@H]1O)O)O)C(CCCCCCCCCCCCCCCCC)=O</t>
  </si>
  <si>
    <t>FC(F)(F)C(F)(F)C(F)(F)C(F)(F)C(F)(F)C(F)(F)CC[n+]1ccccc1CCCCCCCCc1cccc[n+]1CCC(F)(F)C(F)(F)C(F)(F)C(F)(F)C(F)(F)C(F)(F)F.[Cl-].[Cl-]</t>
  </si>
  <si>
    <t>InChI=1S/C34H32F26N2.2ClH/c35-23(36,25(39,40)27(43,44)29(47,48)31(51,52)33(55,56)57)15-19-61-17-9-7-13-21(61)11-5-3-1-2-4-6-12-22-14-8-10-18-62(22)20-16-24(37,38)26(41,42)28(45,46)30(49,50)32(53,54)34(58,59)60;;/h7-10,13-14,17-18H,1-6,11-12,15-16,19-20H2;2*1H/q+2;;/p-2</t>
  </si>
  <si>
    <t>RXFRSSKCKPJVAX-UHFFFAOYSA-L</t>
  </si>
  <si>
    <t>O=C(CCCCCCCCCCCC)N(CC(O)C(O)C(O)C(CO)O)C</t>
  </si>
  <si>
    <t>FC(F)(F)C(F)(F)C(F)(F)C(F)(F)C(F)(F)C(F)(F)CC[n+]1ccccc1CCCCc1cccc[n+]1CCC(F)(F)C(F)(F)C(F)(F)C(F)(F)C(F)(F)C(F)(F)F.[Cl-].[Cl-]</t>
  </si>
  <si>
    <t>1-(3,3,4,4,5,5,6,6,7,7,8,8,8-tridecafluorooctyl)-2-[4-[1-(3,3,4,4,5,5,6,6,7,7,8,8,8-tridecafluorooctyl)pyridin-1-ium-2-yl]butyl]pyridin-1-ium-dichloride</t>
  </si>
  <si>
    <t>InChI=1S/C30H24F26N2.2ClH/c31-19(32,21(35,36)23(39,40)25(43,44)27(47,48)29(51,52)53)11-15-57-13-5-3-9-17(57)7-1-2-8-18-10-4-6-14-58(18)16-12-20(33,34)22(37,38)24(41,42)26(45,46)28(49,50)30(54,55)56;;/h3-6,9-10,13-14H,1-2,7-8,11-12,15-16H2;2*1H/q+2;;/p-2</t>
  </si>
  <si>
    <t>ODUPVCLKXWHTLX-UHFFFAOYSA-L</t>
  </si>
  <si>
    <t>O=C(CCCCCCCCCCCCC)N(CC(O)C(O)C(O)C(CO)O)C</t>
  </si>
  <si>
    <t>FC(F)(F)C(F)(F)C(F)(F)C(F)(F)C(F)(F)C(F)(F)CC[n+]1ccccc1CCCc1cccc[n+]1CCC(F)(F)C(F)(F)C(F)(F)C(F)(F)C(F)(F)C(F)(F)F.[Cl-].[Cl-]</t>
  </si>
  <si>
    <t>1-(3,3,4,4,5,5,6,6,7,7,8,8,8-tridecafluorooctyl)-2-[3-[1-(3,3,4,4,5,5,6,6,7,7,8,8,8-tridecafluorooctyl)pyridin-1-ium-2-yl]propyl]pyridin-1-ium-dichloride</t>
  </si>
  <si>
    <t>InChI=1S/C29H22F26N2.2ClH/c30-18(31,20(34,35)22(38,39)24(42,43)26(46,47)28(50,51)52)10-14-56-12-3-1-6-16(56)8-5-9-17-7-2-4-13-57(17)15-11-19(32,33)21(36,37)23(40,41)25(44,45)27(48,49)29(53,54)55;;/h1-4,6-7,12-13H,5,8-11,14-15H2;2*1H/q+2;;/p-2</t>
  </si>
  <si>
    <t>IHUWMNHGXGYPNX-UHFFFAOYSA-L</t>
  </si>
  <si>
    <t>FC(F)(C(F)(C(F)(C(F)(C(F)(C(F)(C(F)(F)C([O-])=O)F)F)F)F)F)F.[Na+]</t>
  </si>
  <si>
    <t>10.1021/j100650a021</t>
  </si>
  <si>
    <t>InChI=1S/C8H2F14O2.Na/c9-1(10)4(11,12)6(15,16)5(13,14)3(2(23)24,7(17,18)19)8(20,21)22;/h1H,(H,23,24);/q;+1/p-1</t>
  </si>
  <si>
    <t>XDJIDDKBILYUBG-UHFFFAOYSA-M</t>
  </si>
  <si>
    <t>O=C([O-])C(F)(F)C(F)(F)C(F)(F)C(F)(F)C(F)(C(F)(F)F)C(F)(F)F.[Na+]</t>
  </si>
  <si>
    <t>sodium-2,2,3,3,4,4,5,5,6,7,7,7-dodecafluoro-6-(trifluoromethyl)heptanoate</t>
  </si>
  <si>
    <t>InChI=1S/C8HF15O2.Na/c9-2(10,1(24)25)4(12,13)6(16,17)5(14,15)3(11,7(18,19)20)8(21,22)23;/h(H,24,25);/q;+1/p-1</t>
  </si>
  <si>
    <t>BPXXAVYRMUUMMP-UHFFFAOYSA-M</t>
  </si>
  <si>
    <t>O=C([O-])C(F)(F)C(F)(F)C(F)(F)C(F)(F)C(F)(F)C(F)(F)C(F)(F)C(F)(F)F.[Li+]</t>
  </si>
  <si>
    <t>lithium-2,2,3,3,4,4,5,5,6,6,7,7,8,8,9,9,9-heptadecafluorononanoate</t>
  </si>
  <si>
    <t>InChI=1S/C9HF17O2.Li/c10-2(11,1(27)28)3(12,13)4(14,15)5(16,17)6(18,19)7(20,21)8(22,23)9(24,25)26;/h(H,27,28);/q;+1/p-1</t>
  </si>
  <si>
    <t>KHEDTTZLTBNBRP-UHFFFAOYSA-M</t>
  </si>
  <si>
    <t>O=C([O-])C(F)(F)C(F)(F)C(F)(F)C(F)(F)C(F)(F)C(F)(F)C(F)(F)F.[K+]</t>
  </si>
  <si>
    <t>potassium-2,2,3,3,4,4,5,5,6,6,7,7,8,8,8-pentadecafluorooctanoate</t>
  </si>
  <si>
    <t>InChI=1S/C8HF15O2.K/c9-2(10,1(24)25)3(11,12)4(13,14)5(15,16)6(17,18)7(19,20)8(21,22)23;/h(H,24,25);/q;+1/p-1</t>
  </si>
  <si>
    <t>WPDDXKNWUVLZMQ-UHFFFAOYSA-M</t>
  </si>
  <si>
    <t>O=C([O-])C(F)(F)C(F)(F)C(F)(F)C(F)(F)C(F)(F)C(F)(F)C(F)(F)F.[Li+]</t>
  </si>
  <si>
    <t>lithium-2,2,3,3,4,4,5,5,6,6,7,7,8,8,8-pentadecafluorooctanoate</t>
  </si>
  <si>
    <t>InChI=1S/C8HF15O2.Li/c9-2(10,1(24)25)3(11,12)4(13,14)5(15,16)6(17,18)7(19,20)8(21,22)23;/h(H,24,25);/q;+1/p-1</t>
  </si>
  <si>
    <t>DGPVEYAYQQVGGL-UHFFFAOYSA-M</t>
  </si>
  <si>
    <t>O=C([O-])C(F)(F)C(F)(F)C(F)(F)C(F)(F)C(F)(F)C(F)(F)C(F)(F)F.[Na+]</t>
  </si>
  <si>
    <t>sodium-2,2,3,3,4,4,5,5,6,6,7,7,8,8,8-pentadecafluorooctanoate</t>
  </si>
  <si>
    <t>InChI=1S/C8HF15O2.Na/c9-2(10,1(24)25)3(11,12)4(13,14)5(15,16)6(17,18)7(19,20)8(21,22)23;/h(H,24,25);/q;+1/p-1</t>
  </si>
  <si>
    <t>LWHQXUODFPPQTL-UHFFFAOYSA-M</t>
  </si>
  <si>
    <t>10.1016/0927-7757(95)03268-7</t>
  </si>
  <si>
    <t>lithium-2,2,3,3,4,4,5,5,6,6,7,7,7-tridecafluoroheptanoate</t>
  </si>
  <si>
    <t>InChI=1S/C7HF13O2.Li/c8-2(9,1(21)22)3(10,11)4(12,13)5(14,15)6(16,17)7(18,19)20;/h(H,21,22);/q;+1/p-1</t>
  </si>
  <si>
    <t>YJVWHJIWMHRFMN-UHFFFAOYSA-M</t>
  </si>
  <si>
    <t>OCCN(CCO)CCC(F)(F)C(F)(F)C(F)(F)C(F)(F)C(F)(F)C(F)(F)C(F)(F)C(F)(F)F</t>
  </si>
  <si>
    <t>2-[3,3,4,4,5,5,6,6,7,7,8,8,9,9,10,10,10-heptadecafluorodecyl(2-hydroxyethyl)amino]ethanol</t>
  </si>
  <si>
    <t>InChI=1S/C14H14F17NO2/c15-7(16,1-2-32(3-5-33)4-6-34)8(17,18)9(19,20)10(21,22)11(23,24)12(25,26)13(27,28)14(29,30)31/h33-34H,1-6H2</t>
  </si>
  <si>
    <t>MOUDFVMYURTYQA-UHFFFAOYSA-N</t>
  </si>
  <si>
    <t>OCCOCCOCCOCCOCCOCCOCCOCCOCCOCCOCCOCCOCCOCCOCCC(F)(F)C(F)(F)C(F)(F)C(F)(F)C(F)(F)C(F)(F)F</t>
  </si>
  <si>
    <t>2-[2-[2-[2-[2-[2-[2-[2-[2-[2-[2-[2-[2-[2-(3,3,4,4,5,5,6,6,7,7,8,8,8-tridecafluorooctoxy)ethoxy]ethoxy]ethoxy]ethoxy]ethoxy]ethoxy]ethoxy]ethoxy]ethoxy]ethoxy]ethoxy]ethoxy]ethoxy]ethanol</t>
  </si>
  <si>
    <t>InChI=1S/C36H61F13O15/c37-31(38,32(39,40)33(41,42)34(43,44)35(45,46)36(47,48)49)1-3-51-5-7-53-9-11-55-13-15-57-17-19-59-21-23-61-25-27-63-29-30-64-28-26-62-24-22-60-20-18-58-16-14-56-12-10-54-8-6-52-4-2-50/h50H,1-30H2</t>
  </si>
  <si>
    <t>CNSCOBFDJJVZFM-UHFFFAOYSA-N</t>
  </si>
  <si>
    <t>O=C(C(F)(C(F)(C(F)(C(F)(C(F)(C(F)(C(F)(F)F)F)F)F)F)F)F)[O-].[K+]</t>
  </si>
  <si>
    <t>potassium-2,2,3,3,4,4,5,5,6,6,6-undecafluorohexanoate</t>
  </si>
  <si>
    <t>InChI=1S/C6HF11O2.K/c7-2(8,1(18)19)3(9,10)4(11,12)5(13,14)6(15,16)17;/h(H,18,19);/q;+1/p-1</t>
  </si>
  <si>
    <t>IABQBQMLCJSMAR-UHFFFAOYSA-M</t>
  </si>
  <si>
    <t>O=C(C(F)(C(F)(C(F)(C(F)(C(F)(C(F)(C(F)(F)F)F)F)F)F)F)F)[O-].[Li+]</t>
  </si>
  <si>
    <t>lithium-2,2,3,3,4,4,5,5,6,6,6-undecafluorohexanoate</t>
  </si>
  <si>
    <t>InChI=1S/C6HF11O2.Li/c7-2(8,1(18)19)3(9,10)4(11,12)5(13,14)6(15,16)17;/h(H,18,19);/q;+1/p-1</t>
  </si>
  <si>
    <t>QYBZJIFKYIEKBM-UHFFFAOYSA-M</t>
  </si>
  <si>
    <t>O=C(C(F)(C(F)(C(F)(C(F)(C(C(F)(F)F)(C(F)(F)F)F)F)F)F)F)[O-].[Na+]</t>
  </si>
  <si>
    <t>sodium-2,2,3,3,4,4,5,5,6,6,6-undecafluorohexanoate</t>
  </si>
  <si>
    <t>InChI=1S/C6HF11O2.Na/c7-2(8,1(18)19)3(9,10)4(11,12)5(13,14)6(15,16)17;/h(H,18,19);/q;+1/p-1</t>
  </si>
  <si>
    <t>UIMRWXUIVFZGSD-UHFFFAOYSA-M</t>
  </si>
  <si>
    <t>O=S(=O)([O-])C(F)(F)C(F)(F)C(F)(F)C(F)(F)C(F)(F)C(F)(F)C(F)(F)C(F)(F)F.[Li+]</t>
  </si>
  <si>
    <t>lithium-1,1,2,2,3,3,4,4,5,5,6,6,7,7,8,8,8-heptadecafluorooctane-1-sulfonate</t>
  </si>
  <si>
    <t>InChI=1S/C8HF17O3S.Li/c9-1(10,3(13,14)5(17,18)7(21,22)23)2(11,12)4(15,16)6(19,20)8(24,25)29(26,27)28;/h(H,26,27,28);/q;+1/p-1</t>
  </si>
  <si>
    <t>XVCUGNWRDDNCRD-UHFFFAOYSA-M</t>
  </si>
  <si>
    <t>OCCOCCOCCOCCOCCOCCOCCOCCSCCC(F)(F)C(F)(F)C(F)(F)C(F)(F)C(F)(F)C(F)(F)F</t>
  </si>
  <si>
    <t>2-[2-[2-[2-[2-[2-[2-[2-(3,3,4,4,5,5,6,6,7,7,8,8,8-tridecafluorooctylsulfanyl)ethoxy]ethoxy]ethoxy]ethoxy]ethoxy]ethoxy]ethoxy]ethanol</t>
  </si>
  <si>
    <t>InChI=1S/C24H37F13O8S/c25-19(26,20(27,28)21(29,30)22(31,32)23(33,34)24(35,36)37)1-17-46-18-16-45-15-14-44-13-12-43-11-10-42-9-8-41-7-6-40-5-4-39-3-2-38/h38H,1-18H2</t>
  </si>
  <si>
    <t>UTBHOMLNGKNDLS-UHFFFAOYSA-N</t>
  </si>
  <si>
    <t>OCCOCCOCCOCCOCCOCCSCCC(F)(F)C(F)(F)C(F)(F)C(F)(F)C(F)(F)C(F)(F)F</t>
  </si>
  <si>
    <t>InChI=1S/C20H29F13O6S/c21-15(22,16(23,24)17(25,26)18(27,28)19(29,30)20(31,32)33)1-13-40-14-12-39-11-10-38-9-8-37-7-6-36-5-4-35-3-2-34/h34H,1-14H2</t>
  </si>
  <si>
    <t>VOCCWGUEVZCMEP-UHFFFAOYSA-N</t>
  </si>
  <si>
    <t>OCCOCCOCCOCCSCCC(F)(F)C(F)(F)C(F)(F)C(F)(F)C(F)(F)C(F)(F)F</t>
  </si>
  <si>
    <t>2-[2-[2-[2-(3,3,4,4,5,5,6,6,7,7,8,8,8-tridecafluorooctylsulfanyl)ethoxy]ethoxy]ethoxy]ethanol</t>
  </si>
  <si>
    <t>InChI=1S/C16H21F13O4S/c17-11(18,1-9-34-10-8-33-7-6-32-5-4-31-3-2-30)12(19,20)13(21,22)14(23,24)15(25,26)16(27,28)29/h30H,1-10H2</t>
  </si>
  <si>
    <t>HVOWVEVSZCKCCE-UHFFFAOYSA-N</t>
  </si>
  <si>
    <t>OCCOCCOCCSCCC(F)(F)C(F)(F)C(F)(F)C(F)(F)C(F)(F)C(F)(F)F</t>
  </si>
  <si>
    <t>2-[2-[2-(3,3,4,4,5,5,6,6,7,7,8,8,8-tridecafluorooctylsulfanyl)ethoxy]ethoxy]ethanol</t>
  </si>
  <si>
    <t>InChI=1S/C14H17F13O3S/c15-9(16,1-7-31-8-6-30-5-4-29-3-2-28)10(17,18)11(19,20)12(21,22)13(23,24)14(25,26)27/h28H,1-8H2</t>
  </si>
  <si>
    <t>IOGSRXKLAFCVIR-UHFFFAOYSA-N</t>
  </si>
  <si>
    <t>OCCOCCSCCOCCSCCOCCSCCC(F)(F)C(F)(F)C(F)(F)C(F)(F)C(F)(F)C(F)(F)F</t>
  </si>
  <si>
    <t>InChI=1S/C20H29F13O4S3/c21-15(22,16(23,24)17(25,26)18(27,28)19(29,30)20(31,32)33)1-9-38-10-5-36-6-13-40-14-8-37-7-12-39-11-4-35-3-2-34/h34H,1-14H2</t>
  </si>
  <si>
    <t>LPHAEYJKVNLDKF-UHFFFAOYSA-N</t>
  </si>
  <si>
    <t>OCCOCCSCCOCCSCCOCCSCCOCCSCCC(F)(F)C(F)(F)C(F)(F)C(F)(F)C(F)(F)C(F)(F)F</t>
  </si>
  <si>
    <t>InChI=1S/C24H37F13O5S4/c25-19(26,20(27,28)21(29,30)22(31,32)23(33,34)24(35,36)37)1-11-43-12-5-40-6-15-45-16-9-42-10-18-46-17-8-41-7-14-44-13-4-39-3-2-38/h38H,1-18H2</t>
  </si>
  <si>
    <t>IZARRBSFJXIHLZ-UHFFFAOYSA-N</t>
  </si>
  <si>
    <t>O=C(/C=C/C(OC1=CC=C(CCCNCC[N+](C)(C)CCCCCCCC)C=C1)=O)OC2=CC=C(CCC(C[N+](C)(C)CCCCCCCC)=O)C=C2.[Br-].[Br-]</t>
  </si>
  <si>
    <t>O=C(/C=C/C(OC1=CC=C(CCCNCC[N+](C)(C)CCCCCCCCCCCC)C=C1)=O)OC2=CC=C(CCC(C[N+](C)(C)CCCCCCCCCCCC)=O)C=C2.[Br-].[Br-]</t>
  </si>
  <si>
    <t>O=C(OC1=CC=C(C=C1)CCC(C[N+](C)(CCCCCCCCCCCCCCCC)C)=O)/C=C/C(OC2=CC=C(C=C2)CCCNCC[N+](C)(CCCCCCCCCCCCCCCC)C)=O.[Br-].[Br-]</t>
  </si>
  <si>
    <t>NC(NCCCC([NH3+])C(NCCCCCCCCCCCC)=O)=[NH2+].[Cl-].[Cl-]</t>
  </si>
  <si>
    <t>NC(NCCCC(C(OCCCCCCCCCCCC)=O)[NH3+])=[NH2+].[Cl-].[Cl-]</t>
  </si>
  <si>
    <t>CC([O-])=O.CCCCCCCCCCCC[NH2+]CC(C)O</t>
  </si>
  <si>
    <t>[O-]C(CC)=O.CCCCCCCCCCCC[NH2+]CC(O)C</t>
  </si>
  <si>
    <t>CC(CCCC(C)C)CCC(COCC(C)OCC(C)OCC(C)OCC(C)OCC(C)OCC(C)OCC(OS(=O)([O-])=O)C)C.[Na+]</t>
  </si>
  <si>
    <t>10.1039/d1sm00557j</t>
  </si>
  <si>
    <t>CC(CCCC(C)C)CCC(COCC(C)OCC(C)OCC(C)OCC(C)OCC(C)OCC(C)OCC(C)OCC(C)OCC(C)OCC(C)OCC(C)OCC(C)OCC(OS(=O)([O-])=O)C)C.[Na+]</t>
  </si>
  <si>
    <t>CCCCCCCCCCCCOCC(C)OCC(C)OCC(C)OCC(OS(=O)([O-])=O)C.[Na+]</t>
  </si>
  <si>
    <t>10.1016/j.molliq.2021.118465</t>
  </si>
  <si>
    <t>CCCCCCCCCCCCOCC(C)OCC(C)OCC(C)OCC(C)OCC(C)OCC(C)OCC(C)OCC(C)OCC(C)OCC(C)OCC(OS(=O)([O-])=O)C.[Na+]</t>
  </si>
  <si>
    <t>CC(COC1=CC=C(C=C1)CCCCCCCCC)OCC(C)OCC(OS(=O)([O-])=O)C.[Na+]</t>
  </si>
  <si>
    <t>CC(COC1=CC=C(C=C1)CCCCCCCCC)OCC(C)OCC(C)OCC(C)OCC(C)OCC(OS(=O)([O-])=O)C.[Na+]</t>
  </si>
  <si>
    <t>10.1016/j.colsurfa.2014.03.013</t>
  </si>
  <si>
    <t>C[Si](C)(O[Si](C)(O[Si](C)(C)C)CCCOCCOCCOCCOCCOCCOCCOCCOCCOCCOCCO)C</t>
  </si>
  <si>
    <t>C[Si](C)(O[Si](C)(O[Si](C)(C)C)CCCOCCOCCOCCOCCOCCOCCOCCOCCOCCOCCOCCOCCOCCOCCO)C</t>
  </si>
  <si>
    <t>C[Si](C)(O[Si](C)(O[Si](C)(C)C)CCCOCCOCCOCCOCCOCCOCCOCCOCCOCCOCCOCCOCCOCCOCCOCCOCCO)C</t>
  </si>
  <si>
    <t>C[Si](C)(O[Si](C)(O[Si](C)(C)C)CCCOCCOCCOCCOCCOCCOCCOCCOCCOCCOCCOCCOCCOCCOCCOCCOCCOCCOCCO)C</t>
  </si>
  <si>
    <t>C[Si](C)(O[Si](C)(O[Si](C)(C)C)CCCOCCOCCOCCOCCOCCOCCOCCOCCOCCOCCOCCOCCOCCOCCOCCOCCOCCOCCOCCOCCO)C</t>
  </si>
  <si>
    <t>OC[C@@H](O)[C@@H](O)[C@H](O)[C@@H](O)C(N(C)CCCCCCCCCCCCCCCC)=O</t>
  </si>
  <si>
    <t>OC[C@H]([C@H]([C@@H]([C@H](C(N(CCCCCCCCCCCCCCCCCC)C)=O)O)O)O)O</t>
  </si>
  <si>
    <t>OC[C@@H](O)[C@@H](O[C@@H]1O[C@H](CO)[C@@H](O)[C@H](O)[C@H]1O)[C@H](O)[C@@H](O)C(N(C)CCCCCCCC/C=C/CCCCCCCC)=O</t>
  </si>
  <si>
    <t>CC(COC1=CC=C(C=C1)CCCCCCCCC)OCC(C)OCC(C)OCC(C)OCC(C)OCC(C)OCC(C)OCC(C)OCC(OS(=O)([O-])=O)C.[Na+]</t>
  </si>
  <si>
    <t>10.1016/j.colsurfa.2014.03.014</t>
  </si>
  <si>
    <t>CC(COC1=CC=C(C=C1)CCCCCCCCC)OCC(C)OCC(C)OCC(C)OCC(C)OCC(C)OCC(C)OCC(C)OCC(C)OCC(C)OCC(C)OCC(OS(=O)([O-])=O)C.[Na+]</t>
  </si>
  <si>
    <t>10.1016/j.colsurfa.2014.03.015</t>
  </si>
  <si>
    <t>OC(C[N+](C)(CCCCCCCCCCCC)C)C[N+](C)(CCCCCCCCCCCC)C.[Cl-].[Cl-]</t>
  </si>
  <si>
    <t>C[N+](C)(CCCCCCCCCCCC)CCC[N+](C)(CCCCCCCCCCCC)C.[Br-].[Br-]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</si>
</sst>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Segoe UI"/>
      <family val="2"/>
    </font>
    <font>
      <strike/>
      <sz val="11"/>
      <color rgb="FFFF000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rgb="FFFF0000"/>
      <name val="Arial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/>
    <xf numFmtId="11" fontId="1" fillId="0" borderId="0" xfId="0" applyNumberFormat="1" applyFont="1"/>
    <xf numFmtId="11" fontId="0" fillId="0" borderId="0" xfId="0" applyNumberFormat="1"/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2" fillId="0" borderId="0" xfId="0" applyFont="1"/>
    <xf numFmtId="0" fontId="5" fillId="0" borderId="0" xfId="0" applyFont="1"/>
    <xf numFmtId="11" fontId="7" fillId="0" borderId="0" xfId="0" applyNumberFormat="1" applyFont="1"/>
    <xf numFmtId="0" fontId="4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wrapText="1"/>
    </xf>
    <xf numFmtId="0" fontId="0" fillId="3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Gabriela C Theis Marchan" id="{5395B55A-C747-4CF1-BA64-A95F33CD90B4}" userId="S::gtheis2@lsu.edu::fbc37486-d936-4cb0-9a5d-d4f1e4057e4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972" dT="2025-12-09T02:48:24.05" personId="{5395B55A-C747-4CF1-BA64-A95F33CD90B4}" id="{05CC7677-5D12-422C-8F16-B1920524B0A8}">
    <text>Not in H2O ( in 0.1 M NaCl)</text>
  </threadedComment>
  <threadedComment ref="B1639" dT="2025-11-20T22:23:23.29" personId="{5395B55A-C747-4CF1-BA64-A95F33CD90B4}" id="{FD0644BC-0748-4C38-B51F-B33A94450772}">
    <text>Completed data with paper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BA499-6FA0-47B9-8B71-0F26E6C515BB}">
  <sheetPr filterMode="1"/>
  <dimension ref="A1:AC1654"/>
  <sheetViews>
    <sheetView tabSelected="1" zoomScale="175" zoomScaleNormal="175" workbookViewId="0">
      <pane xSplit="3" ySplit="1" topLeftCell="D1645" activePane="bottomRight" state="frozenSplit"/>
      <selection pane="bottomRight" activeCell="B2" sqref="B2:B1654"/>
      <selection pane="bottomLeft" activeCell="A7" sqref="A7"/>
      <selection pane="topRight" activeCell="R1" sqref="R1"/>
    </sheetView>
  </sheetViews>
  <sheetFormatPr defaultRowHeight="15"/>
  <cols>
    <col min="1" max="1" width="5.28515625" customWidth="1"/>
    <col min="2" max="3" width="9.7109375" customWidth="1"/>
    <col min="4" max="4" width="5" customWidth="1"/>
    <col min="5" max="5" width="9.7109375" customWidth="1"/>
    <col min="7" max="7" width="11" customWidth="1"/>
    <col min="8" max="8" width="14" customWidth="1"/>
    <col min="9" max="10" width="9.42578125" bestFit="1" customWidth="1"/>
    <col min="11" max="11" width="6.42578125" customWidth="1"/>
    <col min="12" max="12" width="8.7109375" customWidth="1"/>
    <col min="13" max="13" width="4.5703125" customWidth="1"/>
    <col min="14" max="14" width="9.42578125" customWidth="1"/>
    <col min="15" max="15" width="4.85546875" customWidth="1"/>
    <col min="16" max="16" width="3.85546875" customWidth="1"/>
    <col min="17" max="17" width="4.7109375" customWidth="1"/>
    <col min="23" max="23" width="0" hidden="1" customWidth="1"/>
    <col min="24" max="24" width="4.28515625" customWidth="1"/>
    <col min="25" max="25" width="4.140625" customWidth="1"/>
    <col min="26" max="26" width="16.5703125" hidden="1" customWidth="1"/>
  </cols>
  <sheetData>
    <row r="1" spans="1:28" ht="9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B1" t="s">
        <v>26</v>
      </c>
    </row>
    <row r="2" spans="1:28">
      <c r="A2">
        <v>1</v>
      </c>
      <c r="B2" t="s">
        <v>27</v>
      </c>
      <c r="C2" t="s">
        <v>28</v>
      </c>
      <c r="D2" s="1" t="b">
        <v>1</v>
      </c>
      <c r="E2" s="3">
        <v>2.7999999999999998E-4</v>
      </c>
      <c r="F2" s="2">
        <f>-LOG10(E2)</f>
        <v>3.552841968657781</v>
      </c>
      <c r="G2">
        <v>41</v>
      </c>
      <c r="H2" s="3">
        <v>2.4699999999999998E-7</v>
      </c>
      <c r="I2" s="2">
        <v>67.400000000000006</v>
      </c>
      <c r="J2" s="2">
        <v>30.8</v>
      </c>
      <c r="K2" s="2">
        <f>-LOG10(L2)</f>
        <v>5.4122890349810886</v>
      </c>
      <c r="L2" s="3">
        <v>3.8700000000000002E-6</v>
      </c>
      <c r="M2" s="2">
        <v>25</v>
      </c>
      <c r="N2" s="2"/>
      <c r="O2" t="s">
        <v>29</v>
      </c>
      <c r="P2" s="2" t="s">
        <v>30</v>
      </c>
      <c r="Q2" t="s">
        <v>30</v>
      </c>
      <c r="R2" s="2" t="s">
        <v>30</v>
      </c>
      <c r="S2" s="2" t="s">
        <v>30</v>
      </c>
      <c r="T2" s="2" t="s">
        <v>30</v>
      </c>
      <c r="U2" s="2" t="s">
        <v>31</v>
      </c>
      <c r="V2" s="2" t="s">
        <v>30</v>
      </c>
      <c r="X2" t="s">
        <v>32</v>
      </c>
      <c r="Y2" t="s">
        <v>33</v>
      </c>
      <c r="Z2">
        <v>690.1932716</v>
      </c>
    </row>
    <row r="3" spans="1:28">
      <c r="A3">
        <v>2</v>
      </c>
      <c r="B3" t="s">
        <v>34</v>
      </c>
      <c r="C3" t="s">
        <v>28</v>
      </c>
      <c r="D3" s="1" t="b">
        <v>1</v>
      </c>
      <c r="E3" s="3">
        <v>6.0999999999999997E-4</v>
      </c>
      <c r="F3" s="2">
        <f>-LOG10(E3)</f>
        <v>3.2146701649892329</v>
      </c>
      <c r="G3">
        <v>47</v>
      </c>
      <c r="H3" s="3">
        <v>2.9400000000000001E-7</v>
      </c>
      <c r="I3" s="2">
        <v>56.5</v>
      </c>
      <c r="J3" s="2">
        <v>24.8</v>
      </c>
      <c r="K3" s="2">
        <f>-LOG10(L3)</f>
        <v>4.1752235375244542</v>
      </c>
      <c r="L3" s="3">
        <v>6.6799999999999997E-5</v>
      </c>
      <c r="M3" s="2">
        <v>25</v>
      </c>
      <c r="N3" s="2"/>
      <c r="O3" t="s">
        <v>29</v>
      </c>
      <c r="P3" s="2" t="s">
        <v>30</v>
      </c>
      <c r="Q3" t="s">
        <v>30</v>
      </c>
      <c r="R3" s="2" t="s">
        <v>30</v>
      </c>
      <c r="S3" s="2" t="s">
        <v>30</v>
      </c>
      <c r="T3" s="2" t="s">
        <v>30</v>
      </c>
      <c r="U3" s="2" t="s">
        <v>31</v>
      </c>
      <c r="V3" s="2" t="s">
        <v>30</v>
      </c>
      <c r="X3" t="s">
        <v>35</v>
      </c>
      <c r="Y3" t="s">
        <v>36</v>
      </c>
      <c r="Z3">
        <v>606.09937119999995</v>
      </c>
    </row>
    <row r="4" spans="1:28">
      <c r="A4">
        <v>3</v>
      </c>
      <c r="B4" t="s">
        <v>37</v>
      </c>
      <c r="C4" t="s">
        <v>28</v>
      </c>
      <c r="D4" s="1" t="b">
        <v>1</v>
      </c>
      <c r="E4" s="3">
        <v>1.33E-3</v>
      </c>
      <c r="F4" s="2">
        <f>-LOG10(E4)</f>
        <v>2.8761483590329142</v>
      </c>
      <c r="G4">
        <v>50</v>
      </c>
      <c r="H4" s="3">
        <v>3.72E-7</v>
      </c>
      <c r="I4" s="2">
        <v>44.6</v>
      </c>
      <c r="J4" s="2">
        <v>21.8</v>
      </c>
      <c r="K4" s="2">
        <f>-LOG10(L4)</f>
        <v>3.5003129173815961</v>
      </c>
      <c r="L4" s="3">
        <v>3.1599999999999998E-4</v>
      </c>
      <c r="M4" s="2">
        <v>25</v>
      </c>
      <c r="N4" s="2"/>
      <c r="O4" t="s">
        <v>29</v>
      </c>
      <c r="P4" s="2" t="s">
        <v>30</v>
      </c>
      <c r="Q4" t="s">
        <v>30</v>
      </c>
      <c r="R4" s="2" t="s">
        <v>30</v>
      </c>
      <c r="S4" s="2" t="s">
        <v>30</v>
      </c>
      <c r="T4" s="2" t="s">
        <v>30</v>
      </c>
      <c r="U4" s="2" t="s">
        <v>31</v>
      </c>
      <c r="V4" s="2" t="s">
        <v>30</v>
      </c>
      <c r="X4" t="s">
        <v>38</v>
      </c>
      <c r="Y4" t="s">
        <v>39</v>
      </c>
      <c r="Z4">
        <v>550.03677100000004</v>
      </c>
    </row>
    <row r="5" spans="1:28">
      <c r="A5">
        <v>4</v>
      </c>
      <c r="B5" t="s">
        <v>40</v>
      </c>
      <c r="C5" t="s">
        <v>28</v>
      </c>
      <c r="D5" s="1" t="b">
        <v>1</v>
      </c>
      <c r="E5">
        <v>7.9000000000000001E-4</v>
      </c>
      <c r="F5">
        <v>3.1023729090000001</v>
      </c>
      <c r="G5">
        <v>33.4</v>
      </c>
      <c r="H5">
        <v>1.48E-6</v>
      </c>
      <c r="I5">
        <v>1.1200000000000001</v>
      </c>
      <c r="J5">
        <v>38.6</v>
      </c>
      <c r="K5">
        <v>3.83615488</v>
      </c>
      <c r="L5">
        <v>2.1576405999999999E-2</v>
      </c>
      <c r="M5">
        <v>25</v>
      </c>
      <c r="N5" t="s">
        <v>41</v>
      </c>
      <c r="O5" t="s">
        <v>29</v>
      </c>
      <c r="Q5" t="s">
        <v>41</v>
      </c>
      <c r="R5" t="s">
        <v>41</v>
      </c>
      <c r="T5" t="s">
        <v>41</v>
      </c>
      <c r="U5" t="s">
        <v>31</v>
      </c>
      <c r="V5" t="s">
        <v>31</v>
      </c>
      <c r="W5" t="s">
        <v>42</v>
      </c>
      <c r="X5" t="s">
        <v>43</v>
      </c>
      <c r="Y5" t="s">
        <v>44</v>
      </c>
      <c r="Z5">
        <v>696.38040369999999</v>
      </c>
    </row>
    <row r="6" spans="1:28">
      <c r="A6">
        <v>5</v>
      </c>
      <c r="B6" t="s">
        <v>45</v>
      </c>
      <c r="C6" t="s">
        <v>28</v>
      </c>
      <c r="D6" s="1" t="b">
        <v>1</v>
      </c>
      <c r="E6">
        <v>2.4000000000000001E-4</v>
      </c>
      <c r="F6">
        <v>3.6197887579999999</v>
      </c>
      <c r="G6">
        <v>31.3</v>
      </c>
      <c r="H6">
        <v>1.3999999999999999E-6</v>
      </c>
      <c r="I6">
        <v>1.19</v>
      </c>
      <c r="J6">
        <v>40.700000000000003</v>
      </c>
      <c r="K6">
        <v>4.4830815570000002</v>
      </c>
      <c r="L6">
        <v>1.1298542E-2</v>
      </c>
      <c r="M6">
        <v>25</v>
      </c>
      <c r="N6" t="s">
        <v>41</v>
      </c>
      <c r="O6" t="s">
        <v>29</v>
      </c>
      <c r="Q6" t="s">
        <v>41</v>
      </c>
      <c r="R6" t="s">
        <v>41</v>
      </c>
      <c r="T6" t="s">
        <v>41</v>
      </c>
      <c r="U6" t="s">
        <v>31</v>
      </c>
      <c r="V6" t="s">
        <v>31</v>
      </c>
      <c r="W6" t="s">
        <v>46</v>
      </c>
      <c r="X6" t="s">
        <v>47</v>
      </c>
      <c r="Y6" t="s">
        <v>48</v>
      </c>
      <c r="Z6">
        <v>752.44300390000001</v>
      </c>
    </row>
    <row r="7" spans="1:28">
      <c r="A7">
        <v>6</v>
      </c>
      <c r="B7" t="s">
        <v>49</v>
      </c>
      <c r="C7" t="s">
        <v>28</v>
      </c>
      <c r="D7" s="1" t="b">
        <v>1</v>
      </c>
      <c r="E7">
        <v>3.1000000000000001E-5</v>
      </c>
      <c r="F7">
        <v>4.5086383059999999</v>
      </c>
      <c r="G7">
        <v>32.5</v>
      </c>
      <c r="H7">
        <v>1.59E-6</v>
      </c>
      <c r="I7">
        <v>1.05</v>
      </c>
      <c r="J7">
        <v>39.5</v>
      </c>
      <c r="K7">
        <v>5.2247047059999998</v>
      </c>
      <c r="L7">
        <v>5.3819489999999996E-3</v>
      </c>
      <c r="M7">
        <v>25</v>
      </c>
      <c r="N7" t="s">
        <v>41</v>
      </c>
      <c r="O7" t="s">
        <v>29</v>
      </c>
      <c r="Q7" t="s">
        <v>41</v>
      </c>
      <c r="R7" t="s">
        <v>41</v>
      </c>
      <c r="T7" t="s">
        <v>41</v>
      </c>
      <c r="U7" t="s">
        <v>31</v>
      </c>
      <c r="V7" t="s">
        <v>31</v>
      </c>
      <c r="W7" t="s">
        <v>50</v>
      </c>
      <c r="X7" t="s">
        <v>51</v>
      </c>
      <c r="Y7" t="s">
        <v>52</v>
      </c>
      <c r="Z7">
        <v>808.50560419999999</v>
      </c>
    </row>
    <row r="8" spans="1:28">
      <c r="A8">
        <v>7</v>
      </c>
      <c r="B8" t="s">
        <v>53</v>
      </c>
      <c r="C8" t="s">
        <v>54</v>
      </c>
      <c r="D8" s="1" t="b">
        <v>1</v>
      </c>
      <c r="E8">
        <v>4.13E-3</v>
      </c>
      <c r="F8">
        <v>2.3840499479999999</v>
      </c>
      <c r="G8">
        <v>43.1</v>
      </c>
      <c r="H8">
        <v>2.34E-6</v>
      </c>
      <c r="I8">
        <v>0.72</v>
      </c>
      <c r="J8">
        <v>28.9</v>
      </c>
      <c r="K8">
        <v>2.7171549979999998</v>
      </c>
      <c r="L8">
        <v>6.6062435000000003E-2</v>
      </c>
      <c r="M8">
        <v>25</v>
      </c>
      <c r="N8" t="s">
        <v>41</v>
      </c>
      <c r="O8" t="s">
        <v>29</v>
      </c>
      <c r="Q8" t="s">
        <v>41</v>
      </c>
      <c r="R8" t="s">
        <v>41</v>
      </c>
      <c r="T8" t="s">
        <v>41</v>
      </c>
      <c r="U8" t="s">
        <v>31</v>
      </c>
      <c r="V8" t="s">
        <v>31</v>
      </c>
      <c r="W8" t="s">
        <v>55</v>
      </c>
      <c r="X8" t="s">
        <v>56</v>
      </c>
      <c r="Y8" t="s">
        <v>57</v>
      </c>
      <c r="Z8">
        <v>391.20859159999998</v>
      </c>
    </row>
    <row r="9" spans="1:28">
      <c r="A9">
        <v>8</v>
      </c>
      <c r="B9" t="s">
        <v>58</v>
      </c>
      <c r="C9" t="s">
        <v>54</v>
      </c>
      <c r="D9" s="1" t="b">
        <v>1</v>
      </c>
      <c r="E9">
        <v>1.2600000000000001E-3</v>
      </c>
      <c r="F9">
        <v>2.8996294549999999</v>
      </c>
      <c r="G9">
        <v>42.8</v>
      </c>
      <c r="H9">
        <v>2.3099999999999999E-6</v>
      </c>
      <c r="I9">
        <v>0.72</v>
      </c>
      <c r="J9">
        <v>29.2</v>
      </c>
      <c r="K9">
        <v>3.2484346259999999</v>
      </c>
      <c r="L9">
        <v>3.8834950999999999E-2</v>
      </c>
      <c r="M9">
        <v>25</v>
      </c>
      <c r="N9" t="s">
        <v>41</v>
      </c>
      <c r="O9" t="s">
        <v>29</v>
      </c>
      <c r="Q9" t="s">
        <v>41</v>
      </c>
      <c r="R9" t="s">
        <v>41</v>
      </c>
      <c r="T9" t="s">
        <v>41</v>
      </c>
      <c r="U9" t="s">
        <v>31</v>
      </c>
      <c r="V9" t="s">
        <v>31</v>
      </c>
      <c r="W9" t="s">
        <v>59</v>
      </c>
      <c r="X9" t="s">
        <v>60</v>
      </c>
      <c r="Y9" t="s">
        <v>61</v>
      </c>
      <c r="Z9">
        <v>419.23989169999999</v>
      </c>
    </row>
    <row r="10" spans="1:28">
      <c r="A10">
        <v>9</v>
      </c>
      <c r="B10" t="s">
        <v>62</v>
      </c>
      <c r="C10" t="s">
        <v>54</v>
      </c>
      <c r="D10" s="1" t="b">
        <v>1</v>
      </c>
      <c r="E10">
        <v>8.4000000000000003E-4</v>
      </c>
      <c r="F10">
        <v>3.075720714</v>
      </c>
      <c r="G10">
        <v>43.2</v>
      </c>
      <c r="H10">
        <v>2.3099999999999999E-6</v>
      </c>
      <c r="I10">
        <v>0.72</v>
      </c>
      <c r="J10">
        <v>28.8</v>
      </c>
      <c r="K10">
        <v>3.4093604430000002</v>
      </c>
      <c r="L10">
        <v>3.3062339000000003E-2</v>
      </c>
      <c r="M10">
        <v>25</v>
      </c>
      <c r="N10" t="s">
        <v>41</v>
      </c>
      <c r="O10" t="s">
        <v>29</v>
      </c>
      <c r="Q10" t="s">
        <v>41</v>
      </c>
      <c r="R10" t="s">
        <v>41</v>
      </c>
      <c r="T10" t="s">
        <v>41</v>
      </c>
      <c r="U10" t="s">
        <v>31</v>
      </c>
      <c r="V10" t="s">
        <v>31</v>
      </c>
      <c r="W10" t="s">
        <v>63</v>
      </c>
      <c r="X10" t="s">
        <v>64</v>
      </c>
      <c r="Y10" t="s">
        <v>65</v>
      </c>
      <c r="Z10">
        <v>447.2711918</v>
      </c>
    </row>
    <row r="11" spans="1:28">
      <c r="A11">
        <v>10</v>
      </c>
      <c r="B11" s="2" t="s">
        <v>66</v>
      </c>
      <c r="C11" t="s">
        <v>28</v>
      </c>
      <c r="D11" s="1" t="b">
        <v>1</v>
      </c>
      <c r="E11" s="3">
        <v>4.6000000000000001E-4</v>
      </c>
      <c r="F11" s="2">
        <f>-LOG10(E11)</f>
        <v>3.3372421683184261</v>
      </c>
      <c r="G11">
        <v>31.6</v>
      </c>
      <c r="H11" s="3">
        <v>3.3799999999999998E-6</v>
      </c>
      <c r="I11" s="2">
        <v>0.45100000000000001</v>
      </c>
      <c r="J11" s="2">
        <f>72-G11</f>
        <v>40.4</v>
      </c>
      <c r="K11" s="2">
        <f>-LOG10(L11)</f>
        <v>4.7351821769904632</v>
      </c>
      <c r="L11" s="3">
        <f>E11/25</f>
        <v>1.84E-5</v>
      </c>
      <c r="M11" s="2">
        <v>25</v>
      </c>
      <c r="O11" t="s">
        <v>29</v>
      </c>
      <c r="P11" s="2" t="s">
        <v>67</v>
      </c>
      <c r="Q11" t="s">
        <v>67</v>
      </c>
      <c r="R11" s="2" t="s">
        <v>67</v>
      </c>
      <c r="S11" s="2" t="s">
        <v>31</v>
      </c>
      <c r="T11" s="2" t="s">
        <v>67</v>
      </c>
      <c r="U11" s="2" t="s">
        <v>31</v>
      </c>
      <c r="V11" s="2" t="s">
        <v>68</v>
      </c>
      <c r="X11" t="s">
        <v>69</v>
      </c>
      <c r="Y11" t="s">
        <v>70</v>
      </c>
      <c r="Z11">
        <v>610.4970849</v>
      </c>
      <c r="AB11" t="s">
        <v>71</v>
      </c>
    </row>
    <row r="12" spans="1:28">
      <c r="A12">
        <v>11</v>
      </c>
      <c r="B12" t="s">
        <v>72</v>
      </c>
      <c r="C12" t="s">
        <v>54</v>
      </c>
      <c r="D12" s="1" t="b">
        <v>1</v>
      </c>
      <c r="E12" s="3">
        <v>8.8400000000000006E-3</v>
      </c>
      <c r="F12" s="2">
        <f>-LOG10(E12)</f>
        <v>2.0535477349869269</v>
      </c>
      <c r="G12">
        <v>39.5</v>
      </c>
      <c r="H12" s="3">
        <v>2.9299999999999999E-6</v>
      </c>
      <c r="I12" s="2">
        <v>0.56000000000000005</v>
      </c>
      <c r="J12" s="2">
        <f>72-G12</f>
        <v>32.5</v>
      </c>
      <c r="K12" s="2"/>
      <c r="L12" s="2"/>
      <c r="M12" s="2">
        <v>25</v>
      </c>
      <c r="N12" s="2" t="s">
        <v>73</v>
      </c>
      <c r="O12" t="s">
        <v>29</v>
      </c>
      <c r="Q12" t="s">
        <v>73</v>
      </c>
      <c r="R12" s="2" t="s">
        <v>73</v>
      </c>
      <c r="S12" s="2" t="s">
        <v>31</v>
      </c>
      <c r="T12" s="2" t="s">
        <v>73</v>
      </c>
      <c r="X12" t="s">
        <v>74</v>
      </c>
      <c r="Y12" t="s">
        <v>75</v>
      </c>
      <c r="Z12">
        <v>333.20311229999999</v>
      </c>
    </row>
    <row r="13" spans="1:28">
      <c r="A13">
        <v>12</v>
      </c>
      <c r="B13" t="s">
        <v>76</v>
      </c>
      <c r="C13" t="s">
        <v>54</v>
      </c>
      <c r="D13" s="1" t="b">
        <v>1</v>
      </c>
      <c r="E13" s="3">
        <v>6.4000000000000005E-4</v>
      </c>
      <c r="F13" s="2">
        <f>-LOG10(E13)</f>
        <v>3.1938200260161129</v>
      </c>
      <c r="G13">
        <v>34</v>
      </c>
      <c r="H13" s="3">
        <v>2.6400000000000001E-6</v>
      </c>
      <c r="I13" s="2">
        <v>0.63</v>
      </c>
      <c r="J13" s="2">
        <f>72-G13</f>
        <v>38</v>
      </c>
      <c r="K13" s="2"/>
      <c r="L13" s="2"/>
      <c r="M13" s="2">
        <v>25</v>
      </c>
      <c r="N13" s="2" t="s">
        <v>73</v>
      </c>
      <c r="O13" t="s">
        <v>29</v>
      </c>
      <c r="Q13" t="s">
        <v>73</v>
      </c>
      <c r="R13" s="2" t="s">
        <v>73</v>
      </c>
      <c r="S13" s="2" t="s">
        <v>31</v>
      </c>
      <c r="T13" s="2" t="s">
        <v>73</v>
      </c>
      <c r="X13" t="s">
        <v>77</v>
      </c>
      <c r="Y13" t="s">
        <v>78</v>
      </c>
      <c r="Z13">
        <v>389.26571250000001</v>
      </c>
    </row>
    <row r="14" spans="1:28">
      <c r="A14">
        <v>13</v>
      </c>
      <c r="B14" t="s">
        <v>79</v>
      </c>
      <c r="C14" t="s">
        <v>54</v>
      </c>
      <c r="D14" s="1" t="b">
        <v>1</v>
      </c>
      <c r="E14" s="3">
        <v>1.9000000000000001E-4</v>
      </c>
      <c r="F14" s="2">
        <f>-LOG10(E14)</f>
        <v>3.7212463990471711</v>
      </c>
      <c r="G14">
        <v>33.200000000000003</v>
      </c>
      <c r="H14" s="3">
        <v>1.44E-6</v>
      </c>
      <c r="I14" s="2">
        <v>1.1399999999999999</v>
      </c>
      <c r="J14" s="2">
        <f>72-G14</f>
        <v>38.799999999999997</v>
      </c>
      <c r="K14" s="2"/>
      <c r="L14" s="2"/>
      <c r="M14" s="2">
        <v>25</v>
      </c>
      <c r="N14" s="2" t="s">
        <v>73</v>
      </c>
      <c r="O14" t="s">
        <v>29</v>
      </c>
      <c r="Q14" t="s">
        <v>73</v>
      </c>
      <c r="R14" s="2" t="s">
        <v>73</v>
      </c>
      <c r="S14" s="2" t="s">
        <v>31</v>
      </c>
      <c r="T14" s="2" t="s">
        <v>73</v>
      </c>
      <c r="X14" t="s">
        <v>80</v>
      </c>
      <c r="Y14" t="s">
        <v>81</v>
      </c>
      <c r="Z14">
        <v>417.29701260000002</v>
      </c>
    </row>
    <row r="15" spans="1:28">
      <c r="A15">
        <v>14</v>
      </c>
      <c r="B15" t="s">
        <v>82</v>
      </c>
      <c r="C15" t="s">
        <v>83</v>
      </c>
      <c r="D15" s="1" t="b">
        <v>1</v>
      </c>
      <c r="E15" s="3">
        <v>5.0000000000000002E-5</v>
      </c>
      <c r="F15" s="2">
        <f>-LOG10(E15)</f>
        <v>4.3010299956639813</v>
      </c>
      <c r="G15">
        <v>35</v>
      </c>
      <c r="H15" s="3">
        <v>5.2000000000000002E-6</v>
      </c>
      <c r="I15" s="3">
        <v>0.32029999999999997</v>
      </c>
      <c r="J15" s="2">
        <f>72-G15</f>
        <v>37</v>
      </c>
      <c r="K15" s="2"/>
      <c r="L15" s="3"/>
      <c r="M15" s="2">
        <v>25</v>
      </c>
      <c r="N15" s="2" t="s">
        <v>84</v>
      </c>
      <c r="O15" t="s">
        <v>29</v>
      </c>
      <c r="P15" s="2" t="s">
        <v>84</v>
      </c>
      <c r="Q15" t="s">
        <v>84</v>
      </c>
      <c r="R15" s="2" t="s">
        <v>31</v>
      </c>
      <c r="S15" s="2" t="s">
        <v>31</v>
      </c>
      <c r="T15" s="2" t="s">
        <v>85</v>
      </c>
      <c r="X15" t="s">
        <v>86</v>
      </c>
      <c r="Y15" t="s">
        <v>87</v>
      </c>
      <c r="Z15">
        <v>250.19328010000001</v>
      </c>
      <c r="AB15" t="s">
        <v>71</v>
      </c>
    </row>
    <row r="16" spans="1:28">
      <c r="A16">
        <v>15</v>
      </c>
      <c r="B16" t="s">
        <v>88</v>
      </c>
      <c r="C16" t="s">
        <v>83</v>
      </c>
      <c r="D16" s="1" t="b">
        <v>1</v>
      </c>
      <c r="E16" s="3">
        <v>1.2999999999999999E-4</v>
      </c>
      <c r="F16" s="2">
        <f>-LOG10(E16)</f>
        <v>3.8860566476931631</v>
      </c>
      <c r="G16" s="2">
        <v>30.3</v>
      </c>
      <c r="H16" s="3">
        <f>1/(I16*0.000000000000000001*6.022E+23)</f>
        <v>4.2039946357028434E-6</v>
      </c>
      <c r="I16" s="3">
        <v>0.39500000000000002</v>
      </c>
      <c r="J16" s="2">
        <f>72-G16</f>
        <v>41.7</v>
      </c>
      <c r="K16" s="2"/>
      <c r="L16" s="2"/>
      <c r="M16" s="2">
        <v>25</v>
      </c>
      <c r="N16" s="2" t="s">
        <v>89</v>
      </c>
      <c r="O16" t="s">
        <v>29</v>
      </c>
      <c r="P16" s="2" t="s">
        <v>84</v>
      </c>
      <c r="Q16" s="2" t="s">
        <v>84</v>
      </c>
      <c r="R16" s="2" t="s">
        <v>31</v>
      </c>
      <c r="S16" s="2" t="s">
        <v>31</v>
      </c>
      <c r="T16" s="2" t="s">
        <v>85</v>
      </c>
      <c r="X16" t="s">
        <v>90</v>
      </c>
      <c r="Y16" t="s">
        <v>91</v>
      </c>
      <c r="Z16">
        <v>294.21949480000001</v>
      </c>
      <c r="AB16" t="s">
        <v>71</v>
      </c>
    </row>
    <row r="17" spans="1:28">
      <c r="A17">
        <v>16</v>
      </c>
      <c r="B17" t="s">
        <v>92</v>
      </c>
      <c r="C17" t="s">
        <v>83</v>
      </c>
      <c r="D17" s="1" t="b">
        <v>1</v>
      </c>
      <c r="E17" s="3">
        <v>9.7E-5</v>
      </c>
      <c r="F17" s="2">
        <f>-LOG10(E17)</f>
        <v>4.0132282657337548</v>
      </c>
      <c r="G17" s="2">
        <v>28</v>
      </c>
      <c r="H17" s="3">
        <f>1/(I17*0.000000000000000001*6.022E+23)</f>
        <v>3.6819908671898528E-6</v>
      </c>
      <c r="I17" s="3">
        <v>0.45100000000000001</v>
      </c>
      <c r="J17" s="2">
        <f>72-G17</f>
        <v>44</v>
      </c>
      <c r="K17" s="2"/>
      <c r="L17" s="2"/>
      <c r="M17" s="2">
        <v>25</v>
      </c>
      <c r="N17" s="2" t="s">
        <v>89</v>
      </c>
      <c r="O17" t="s">
        <v>29</v>
      </c>
      <c r="P17" s="2" t="s">
        <v>84</v>
      </c>
      <c r="Q17" s="2" t="s">
        <v>84</v>
      </c>
      <c r="R17" s="2" t="s">
        <v>31</v>
      </c>
      <c r="S17" s="2" t="s">
        <v>31</v>
      </c>
      <c r="T17" s="2" t="s">
        <v>85</v>
      </c>
      <c r="X17" t="s">
        <v>93</v>
      </c>
      <c r="Y17" t="s">
        <v>94</v>
      </c>
      <c r="Z17">
        <v>338.2457096</v>
      </c>
      <c r="AB17" t="s">
        <v>71</v>
      </c>
    </row>
    <row r="18" spans="1:28">
      <c r="A18">
        <v>17</v>
      </c>
      <c r="B18" t="s">
        <v>95</v>
      </c>
      <c r="C18" t="s">
        <v>83</v>
      </c>
      <c r="D18" s="1" t="b">
        <v>1</v>
      </c>
      <c r="E18" s="3">
        <v>1.2999999999999999E-4</v>
      </c>
      <c r="F18" s="2">
        <f>-LOG10(E18)</f>
        <v>3.8860566476931631</v>
      </c>
      <c r="G18" s="2">
        <v>27.4</v>
      </c>
      <c r="H18" s="3">
        <f>1/(I18*0.000000000000000001*6.022E+23)</f>
        <v>3.3614936864425574E-6</v>
      </c>
      <c r="I18" s="3">
        <v>0.49399999999999999</v>
      </c>
      <c r="J18" s="2">
        <f>72-G18</f>
        <v>44.6</v>
      </c>
      <c r="K18" s="2"/>
      <c r="L18" s="2"/>
      <c r="M18" s="2">
        <v>25</v>
      </c>
      <c r="N18" s="2" t="s">
        <v>89</v>
      </c>
      <c r="O18" t="s">
        <v>29</v>
      </c>
      <c r="P18" s="2" t="s">
        <v>84</v>
      </c>
      <c r="Q18" s="2" t="s">
        <v>84</v>
      </c>
      <c r="R18" s="2" t="s">
        <v>31</v>
      </c>
      <c r="S18" s="2" t="s">
        <v>31</v>
      </c>
      <c r="T18" s="2" t="s">
        <v>85</v>
      </c>
      <c r="X18" t="s">
        <v>96</v>
      </c>
      <c r="Y18" t="s">
        <v>97</v>
      </c>
      <c r="Z18">
        <v>382.27192430000002</v>
      </c>
      <c r="AB18" t="s">
        <v>71</v>
      </c>
    </row>
    <row r="19" spans="1:28">
      <c r="A19">
        <v>18</v>
      </c>
      <c r="B19" t="s">
        <v>98</v>
      </c>
      <c r="C19" t="s">
        <v>83</v>
      </c>
      <c r="D19" s="1" t="b">
        <v>1</v>
      </c>
      <c r="E19" s="3">
        <v>1.4999999999999999E-4</v>
      </c>
      <c r="F19" s="2">
        <f>-LOG10(E19)</f>
        <v>3.8239087409443187</v>
      </c>
      <c r="G19" s="2">
        <v>28.3</v>
      </c>
      <c r="H19" s="3">
        <f>1/(I19*0.000000000000000001*6.022E+23)</f>
        <v>3.1331658134011763E-6</v>
      </c>
      <c r="I19" s="3">
        <v>0.53</v>
      </c>
      <c r="J19" s="2">
        <f>72-G19</f>
        <v>43.7</v>
      </c>
      <c r="K19" s="2"/>
      <c r="L19" s="2"/>
      <c r="M19" s="2">
        <v>25</v>
      </c>
      <c r="N19" s="2" t="s">
        <v>89</v>
      </c>
      <c r="O19" t="s">
        <v>29</v>
      </c>
      <c r="P19" s="2" t="s">
        <v>84</v>
      </c>
      <c r="Q19" s="2" t="s">
        <v>84</v>
      </c>
      <c r="R19" s="2" t="s">
        <v>31</v>
      </c>
      <c r="S19" s="2" t="s">
        <v>31</v>
      </c>
      <c r="T19" s="2" t="s">
        <v>85</v>
      </c>
      <c r="W19" t="s">
        <v>99</v>
      </c>
      <c r="X19" t="s">
        <v>100</v>
      </c>
      <c r="Y19" t="s">
        <v>101</v>
      </c>
      <c r="Z19">
        <v>426.29813910000001</v>
      </c>
      <c r="AB19" t="s">
        <v>71</v>
      </c>
    </row>
    <row r="20" spans="1:28">
      <c r="A20">
        <v>19</v>
      </c>
      <c r="B20" t="s">
        <v>102</v>
      </c>
      <c r="C20" t="s">
        <v>83</v>
      </c>
      <c r="D20" s="1" t="b">
        <v>1</v>
      </c>
      <c r="E20" s="3">
        <v>2.1000000000000001E-4</v>
      </c>
      <c r="F20" s="2">
        <f>-LOG10(E20)</f>
        <v>3.6777807052660809</v>
      </c>
      <c r="G20" s="2">
        <v>29</v>
      </c>
      <c r="H20" s="3">
        <v>2.7E-6</v>
      </c>
      <c r="I20" s="3">
        <v>0.61</v>
      </c>
      <c r="J20" s="2">
        <f>72-G20</f>
        <v>43</v>
      </c>
      <c r="K20" s="2"/>
      <c r="L20" s="2"/>
      <c r="M20" s="2">
        <v>25</v>
      </c>
      <c r="N20" s="2" t="s">
        <v>89</v>
      </c>
      <c r="O20" t="s">
        <v>29</v>
      </c>
      <c r="P20" s="2" t="s">
        <v>84</v>
      </c>
      <c r="Q20" s="2" t="s">
        <v>84</v>
      </c>
      <c r="R20" s="9" t="s">
        <v>103</v>
      </c>
      <c r="S20" s="2" t="s">
        <v>31</v>
      </c>
      <c r="T20" s="9" t="s">
        <v>103</v>
      </c>
      <c r="U20" s="2" t="s">
        <v>31</v>
      </c>
      <c r="V20" s="9" t="s">
        <v>103</v>
      </c>
      <c r="X20" t="s">
        <v>104</v>
      </c>
      <c r="Y20" t="s">
        <v>105</v>
      </c>
      <c r="Z20">
        <v>470.32435379999998</v>
      </c>
      <c r="AB20" t="s">
        <v>71</v>
      </c>
    </row>
    <row r="21" spans="1:28">
      <c r="A21">
        <v>20</v>
      </c>
      <c r="B21" t="s">
        <v>106</v>
      </c>
      <c r="C21" t="s">
        <v>83</v>
      </c>
      <c r="D21" s="1" t="b">
        <v>1</v>
      </c>
      <c r="E21" s="3">
        <v>2.5000000000000001E-4</v>
      </c>
      <c r="F21" s="2">
        <f>-LOG10(E21)</f>
        <v>3.6020599913279625</v>
      </c>
      <c r="G21" s="2">
        <v>30.5</v>
      </c>
      <c r="H21" s="3">
        <v>2.9000000000000002E-6</v>
      </c>
      <c r="I21" s="3">
        <v>0.57999999999999996</v>
      </c>
      <c r="J21" s="2">
        <f>72-G21</f>
        <v>41.5</v>
      </c>
      <c r="K21" s="2">
        <f>-LOG10(L21)</f>
        <v>4.96189547366785</v>
      </c>
      <c r="L21" s="3">
        <f>E21/22.9</f>
        <v>1.091703056768559E-5</v>
      </c>
      <c r="M21" s="2">
        <v>25</v>
      </c>
      <c r="N21" s="2" t="s">
        <v>89</v>
      </c>
      <c r="O21" t="s">
        <v>29</v>
      </c>
      <c r="P21" s="2" t="s">
        <v>84</v>
      </c>
      <c r="Q21" s="2" t="s">
        <v>84</v>
      </c>
      <c r="R21" s="9" t="s">
        <v>103</v>
      </c>
      <c r="S21" s="2" t="s">
        <v>31</v>
      </c>
      <c r="T21" s="9" t="s">
        <v>103</v>
      </c>
      <c r="U21" s="2" t="s">
        <v>31</v>
      </c>
      <c r="V21" s="9" t="s">
        <v>103</v>
      </c>
      <c r="X21" t="s">
        <v>107</v>
      </c>
      <c r="Y21" t="s">
        <v>108</v>
      </c>
      <c r="Z21">
        <v>514.35056859999997</v>
      </c>
      <c r="AB21" t="s">
        <v>71</v>
      </c>
    </row>
    <row r="22" spans="1:28">
      <c r="A22">
        <v>21</v>
      </c>
      <c r="B22" t="s">
        <v>109</v>
      </c>
      <c r="C22" t="s">
        <v>83</v>
      </c>
      <c r="D22" s="1" t="b">
        <v>1</v>
      </c>
      <c r="E22" s="3">
        <v>2.7999999999999998E-4</v>
      </c>
      <c r="F22" s="2">
        <f>-LOG10(E22)</f>
        <v>3.552841968657781</v>
      </c>
      <c r="G22" s="2">
        <v>32.1</v>
      </c>
      <c r="H22" s="3">
        <v>2.6000000000000001E-6</v>
      </c>
      <c r="I22" s="3">
        <v>0.64</v>
      </c>
      <c r="J22" s="2">
        <f>72-G22</f>
        <v>39.9</v>
      </c>
      <c r="K22" s="2">
        <f>-LOG10(L22)</f>
        <v>4.8832557420069715</v>
      </c>
      <c r="L22" s="3">
        <f>E22/21.4</f>
        <v>1.308411214953271E-5</v>
      </c>
      <c r="M22" s="2">
        <v>25</v>
      </c>
      <c r="N22" s="2" t="s">
        <v>89</v>
      </c>
      <c r="O22" t="s">
        <v>29</v>
      </c>
      <c r="P22" s="2" t="s">
        <v>84</v>
      </c>
      <c r="Q22" s="2" t="s">
        <v>84</v>
      </c>
      <c r="R22" s="9" t="s">
        <v>103</v>
      </c>
      <c r="S22" s="2" t="s">
        <v>31</v>
      </c>
      <c r="T22" s="9" t="s">
        <v>103</v>
      </c>
      <c r="U22" s="2" t="s">
        <v>31</v>
      </c>
      <c r="V22" s="9" t="s">
        <v>103</v>
      </c>
      <c r="X22" t="s">
        <v>110</v>
      </c>
      <c r="Y22" t="s">
        <v>111</v>
      </c>
      <c r="Z22">
        <v>558.37678330000006</v>
      </c>
      <c r="AB22" t="s">
        <v>71</v>
      </c>
    </row>
    <row r="23" spans="1:28">
      <c r="A23">
        <v>22</v>
      </c>
      <c r="B23" t="s">
        <v>112</v>
      </c>
      <c r="C23" t="s">
        <v>83</v>
      </c>
      <c r="D23" s="1" t="b">
        <v>1</v>
      </c>
      <c r="E23">
        <v>2.9999999999999997E-4</v>
      </c>
      <c r="F23">
        <f>-LOG10(E23)</f>
        <v>3.5228787452803374</v>
      </c>
      <c r="G23" s="2">
        <v>33.200000000000003</v>
      </c>
      <c r="H23" s="3">
        <v>2.5000000000000002E-6</v>
      </c>
      <c r="I23" s="3">
        <v>0.66</v>
      </c>
      <c r="J23" s="2">
        <f>72-G23</f>
        <v>38.799999999999997</v>
      </c>
      <c r="K23" s="2">
        <f>-LOG10(L23)</f>
        <v>4.7923916894982543</v>
      </c>
      <c r="L23" s="2">
        <f>E23/18.6</f>
        <v>1.6129032258064513E-5</v>
      </c>
      <c r="M23">
        <v>25</v>
      </c>
      <c r="N23" t="s">
        <v>89</v>
      </c>
      <c r="O23" t="s">
        <v>29</v>
      </c>
      <c r="P23" t="s">
        <v>103</v>
      </c>
      <c r="Q23" s="2" t="s">
        <v>84</v>
      </c>
      <c r="R23" s="9" t="s">
        <v>103</v>
      </c>
      <c r="S23" s="2" t="s">
        <v>31</v>
      </c>
      <c r="T23" s="9" t="s">
        <v>103</v>
      </c>
      <c r="U23" s="2" t="s">
        <v>31</v>
      </c>
      <c r="V23" s="9" t="s">
        <v>103</v>
      </c>
      <c r="W23" t="s">
        <v>113</v>
      </c>
      <c r="X23" t="s">
        <v>114</v>
      </c>
      <c r="Y23" t="s">
        <v>115</v>
      </c>
      <c r="Z23">
        <v>602.40299809999999</v>
      </c>
      <c r="AB23" t="s">
        <v>71</v>
      </c>
    </row>
    <row r="24" spans="1:28">
      <c r="A24">
        <v>23</v>
      </c>
      <c r="B24" t="s">
        <v>116</v>
      </c>
      <c r="C24" t="s">
        <v>83</v>
      </c>
      <c r="D24" s="1" t="b">
        <v>1</v>
      </c>
      <c r="E24">
        <v>3.3E-4</v>
      </c>
      <c r="F24">
        <f>-LOG10(E24)</f>
        <v>3.4814860601221125</v>
      </c>
      <c r="G24" s="2">
        <v>35</v>
      </c>
      <c r="H24" s="3">
        <v>2.2000000000000001E-6</v>
      </c>
      <c r="I24" s="3">
        <v>0.745</v>
      </c>
      <c r="J24" s="2">
        <f>72-G24</f>
        <v>37</v>
      </c>
      <c r="K24" s="2">
        <f>-LOG10(L24)</f>
        <v>4.7220353084047124</v>
      </c>
      <c r="L24" s="2">
        <f>E24/17.4</f>
        <v>1.8965517241379311E-5</v>
      </c>
      <c r="M24">
        <v>25</v>
      </c>
      <c r="N24" t="s">
        <v>89</v>
      </c>
      <c r="O24" t="s">
        <v>29</v>
      </c>
      <c r="P24" t="s">
        <v>103</v>
      </c>
      <c r="Q24" s="2" t="s">
        <v>84</v>
      </c>
      <c r="R24" s="9" t="s">
        <v>103</v>
      </c>
      <c r="S24" s="2" t="s">
        <v>31</v>
      </c>
      <c r="T24" s="9" t="s">
        <v>103</v>
      </c>
      <c r="U24" s="2" t="s">
        <v>31</v>
      </c>
      <c r="V24" s="9" t="s">
        <v>103</v>
      </c>
      <c r="W24" t="s">
        <v>117</v>
      </c>
      <c r="X24" t="s">
        <v>118</v>
      </c>
      <c r="Y24" t="s">
        <v>119</v>
      </c>
      <c r="Z24">
        <v>646.42921279999996</v>
      </c>
      <c r="AB24" t="s">
        <v>71</v>
      </c>
    </row>
    <row r="25" spans="1:28">
      <c r="A25">
        <v>24</v>
      </c>
      <c r="B25" t="s">
        <v>120</v>
      </c>
      <c r="C25" t="s">
        <v>83</v>
      </c>
      <c r="D25" s="1" t="b">
        <v>1</v>
      </c>
      <c r="E25">
        <v>4.3899999999999999E-4</v>
      </c>
      <c r="F25">
        <v>3.3575354800000001</v>
      </c>
      <c r="M25" s="2">
        <v>25</v>
      </c>
      <c r="N25" t="s">
        <v>121</v>
      </c>
      <c r="W25" t="s">
        <v>122</v>
      </c>
      <c r="X25" t="s">
        <v>123</v>
      </c>
      <c r="Y25" t="s">
        <v>124</v>
      </c>
      <c r="Z25">
        <v>910.58650130000001</v>
      </c>
    </row>
    <row r="26" spans="1:28">
      <c r="A26">
        <v>25</v>
      </c>
      <c r="B26" t="s">
        <v>125</v>
      </c>
      <c r="C26" t="s">
        <v>83</v>
      </c>
      <c r="D26" s="1" t="b">
        <v>1</v>
      </c>
      <c r="E26">
        <v>7.2000000000000005E-4</v>
      </c>
      <c r="F26">
        <v>3.1426675039999998</v>
      </c>
      <c r="M26" s="2">
        <v>25</v>
      </c>
      <c r="N26" t="s">
        <v>121</v>
      </c>
      <c r="W26" t="s">
        <v>126</v>
      </c>
      <c r="X26" t="s">
        <v>127</v>
      </c>
      <c r="Y26" t="s">
        <v>128</v>
      </c>
      <c r="Z26">
        <v>1526.9535080000001</v>
      </c>
    </row>
    <row r="27" spans="1:28">
      <c r="A27">
        <v>26</v>
      </c>
      <c r="B27" t="s">
        <v>129</v>
      </c>
      <c r="C27" t="s">
        <v>83</v>
      </c>
      <c r="D27" s="1" t="b">
        <v>1</v>
      </c>
      <c r="E27">
        <v>8.0999999999999996E-4</v>
      </c>
      <c r="F27">
        <v>3.091514981</v>
      </c>
      <c r="M27" s="2">
        <v>25</v>
      </c>
      <c r="N27" t="s">
        <v>121</v>
      </c>
      <c r="W27" t="s">
        <v>130</v>
      </c>
      <c r="X27" t="s">
        <v>131</v>
      </c>
      <c r="Y27" t="s">
        <v>132</v>
      </c>
      <c r="Z27">
        <v>1967.215655</v>
      </c>
    </row>
    <row r="28" spans="1:28">
      <c r="A28">
        <v>27</v>
      </c>
      <c r="B28" s="2" t="s">
        <v>133</v>
      </c>
      <c r="C28" t="s">
        <v>134</v>
      </c>
      <c r="D28" s="1" t="b">
        <v>1</v>
      </c>
      <c r="E28" s="3">
        <v>7.1000000000000004E-3</v>
      </c>
      <c r="F28" s="2">
        <f>-LOG10(E28)</f>
        <v>2.1487416512809245</v>
      </c>
      <c r="G28">
        <v>44</v>
      </c>
      <c r="H28">
        <v>1.1000000000000001E-6</v>
      </c>
      <c r="I28">
        <v>1.51</v>
      </c>
      <c r="J28">
        <v>28</v>
      </c>
      <c r="K28">
        <v>3.18</v>
      </c>
      <c r="L28">
        <v>6.6200000000000005E-4</v>
      </c>
      <c r="M28">
        <v>25</v>
      </c>
      <c r="N28" t="s">
        <v>135</v>
      </c>
      <c r="P28" s="2" t="s">
        <v>136</v>
      </c>
      <c r="R28" t="s">
        <v>137</v>
      </c>
      <c r="S28" t="s">
        <v>137</v>
      </c>
      <c r="X28" t="s">
        <v>138</v>
      </c>
      <c r="Y28" t="s">
        <v>139</v>
      </c>
      <c r="Z28">
        <v>360.19463940000003</v>
      </c>
    </row>
    <row r="29" spans="1:28">
      <c r="A29">
        <v>28</v>
      </c>
      <c r="B29" s="2" t="s">
        <v>140</v>
      </c>
      <c r="C29" t="s">
        <v>83</v>
      </c>
      <c r="D29" s="1" t="b">
        <v>1</v>
      </c>
      <c r="E29">
        <v>1.8E-3</v>
      </c>
      <c r="F29">
        <v>2.7447274949999998</v>
      </c>
      <c r="G29">
        <v>28</v>
      </c>
      <c r="H29">
        <v>1.8300000000000001E-6</v>
      </c>
      <c r="I29">
        <v>0.91</v>
      </c>
      <c r="J29">
        <v>44</v>
      </c>
      <c r="K29">
        <v>5.12</v>
      </c>
      <c r="L29">
        <v>7.6799999999999993E-6</v>
      </c>
      <c r="M29">
        <v>25</v>
      </c>
      <c r="N29" t="s">
        <v>141</v>
      </c>
      <c r="O29" t="s">
        <v>141</v>
      </c>
      <c r="P29" t="s">
        <v>141</v>
      </c>
      <c r="Q29" t="s">
        <v>141</v>
      </c>
      <c r="S29" t="s">
        <v>141</v>
      </c>
      <c r="T29" t="s">
        <v>141</v>
      </c>
      <c r="U29" t="s">
        <v>141</v>
      </c>
      <c r="V29" t="s">
        <v>141</v>
      </c>
      <c r="X29" t="s">
        <v>142</v>
      </c>
      <c r="Y29" t="s">
        <v>143</v>
      </c>
      <c r="Z29">
        <v>1010.515567</v>
      </c>
    </row>
    <row r="30" spans="1:28">
      <c r="A30">
        <v>29</v>
      </c>
      <c r="B30" s="2" t="s">
        <v>144</v>
      </c>
      <c r="C30" t="s">
        <v>83</v>
      </c>
      <c r="D30" s="1" t="b">
        <v>1</v>
      </c>
      <c r="E30">
        <v>1.1999999999999999E-3</v>
      </c>
      <c r="F30">
        <v>2.9208187539999999</v>
      </c>
      <c r="G30">
        <v>25.8</v>
      </c>
      <c r="H30">
        <v>1.73E-6</v>
      </c>
      <c r="I30">
        <v>0.96</v>
      </c>
      <c r="J30">
        <v>46.2</v>
      </c>
      <c r="K30">
        <v>4.9000000000000004</v>
      </c>
      <c r="L30">
        <v>1.2300000000000001E-5</v>
      </c>
      <c r="M30">
        <v>25</v>
      </c>
      <c r="N30" t="s">
        <v>141</v>
      </c>
      <c r="O30" t="s">
        <v>141</v>
      </c>
      <c r="P30" t="s">
        <v>141</v>
      </c>
      <c r="Q30" t="s">
        <v>141</v>
      </c>
      <c r="S30" t="s">
        <v>141</v>
      </c>
      <c r="T30" t="s">
        <v>141</v>
      </c>
      <c r="U30" t="s">
        <v>141</v>
      </c>
      <c r="V30" t="s">
        <v>141</v>
      </c>
      <c r="X30" t="s">
        <v>145</v>
      </c>
      <c r="Y30" t="s">
        <v>146</v>
      </c>
      <c r="Z30">
        <v>1054.487408</v>
      </c>
    </row>
    <row r="31" spans="1:28">
      <c r="A31">
        <v>30</v>
      </c>
      <c r="B31" s="2" t="s">
        <v>147</v>
      </c>
      <c r="C31" t="s">
        <v>83</v>
      </c>
      <c r="D31" s="1" t="b">
        <v>1</v>
      </c>
      <c r="E31">
        <v>7.8999999999999996E-5</v>
      </c>
      <c r="F31">
        <v>4.1023729089999996</v>
      </c>
      <c r="G31" s="2">
        <v>22.6</v>
      </c>
      <c r="H31" s="3">
        <v>5.0000000000000004E-6</v>
      </c>
      <c r="I31" s="2">
        <f>33.5/100</f>
        <v>0.33500000000000002</v>
      </c>
      <c r="J31" s="2"/>
      <c r="K31" s="2"/>
      <c r="L31" s="2"/>
      <c r="M31">
        <v>23</v>
      </c>
      <c r="N31" t="s">
        <v>135</v>
      </c>
      <c r="O31" s="2" t="s">
        <v>148</v>
      </c>
      <c r="P31" s="2" t="s">
        <v>148</v>
      </c>
      <c r="R31" s="2" t="s">
        <v>148</v>
      </c>
      <c r="T31" s="2" t="s">
        <v>148</v>
      </c>
      <c r="X31" t="s">
        <v>149</v>
      </c>
      <c r="Y31" t="s">
        <v>150</v>
      </c>
      <c r="Z31">
        <v>520.27078349999999</v>
      </c>
    </row>
    <row r="32" spans="1:28">
      <c r="A32">
        <v>31</v>
      </c>
      <c r="B32" s="2" t="s">
        <v>151</v>
      </c>
      <c r="C32" t="s">
        <v>83</v>
      </c>
      <c r="D32" s="1" t="b">
        <v>1</v>
      </c>
      <c r="E32">
        <v>1E-4</v>
      </c>
      <c r="F32">
        <v>4</v>
      </c>
      <c r="G32" s="2">
        <v>22.8</v>
      </c>
      <c r="H32" s="3">
        <v>5.1000000000000003E-6</v>
      </c>
      <c r="I32" s="2">
        <f>32.6/100</f>
        <v>0.32600000000000001</v>
      </c>
      <c r="M32">
        <v>23</v>
      </c>
      <c r="N32" t="s">
        <v>135</v>
      </c>
      <c r="O32" s="2" t="s">
        <v>148</v>
      </c>
      <c r="P32" s="2" t="s">
        <v>148</v>
      </c>
      <c r="R32" s="2" t="s">
        <v>148</v>
      </c>
      <c r="T32" s="2" t="s">
        <v>148</v>
      </c>
      <c r="X32" t="s">
        <v>152</v>
      </c>
      <c r="Y32" t="s">
        <v>153</v>
      </c>
      <c r="Z32">
        <v>696.37564250000003</v>
      </c>
    </row>
    <row r="33" spans="1:26">
      <c r="A33">
        <v>32</v>
      </c>
      <c r="B33" s="2" t="s">
        <v>154</v>
      </c>
      <c r="C33" t="s">
        <v>83</v>
      </c>
      <c r="D33" s="1" t="b">
        <v>1</v>
      </c>
      <c r="E33">
        <v>6.3000000000000003E-4</v>
      </c>
      <c r="F33">
        <v>3.2006594509999999</v>
      </c>
      <c r="G33" s="2">
        <v>24.9</v>
      </c>
      <c r="H33" s="3">
        <v>4.1999999999999996E-6</v>
      </c>
      <c r="I33" s="2">
        <f>39.2/100</f>
        <v>0.39200000000000002</v>
      </c>
      <c r="M33">
        <v>23</v>
      </c>
      <c r="N33" t="s">
        <v>135</v>
      </c>
      <c r="O33" s="2" t="s">
        <v>148</v>
      </c>
      <c r="P33" s="2" t="s">
        <v>148</v>
      </c>
      <c r="R33" s="2" t="s">
        <v>148</v>
      </c>
      <c r="T33" s="2" t="s">
        <v>148</v>
      </c>
      <c r="X33" t="s">
        <v>155</v>
      </c>
      <c r="Y33" t="s">
        <v>156</v>
      </c>
      <c r="Z33">
        <v>872.48050149999995</v>
      </c>
    </row>
    <row r="34" spans="1:26">
      <c r="A34">
        <v>33</v>
      </c>
      <c r="B34" s="2" t="s">
        <v>157</v>
      </c>
      <c r="C34" t="s">
        <v>83</v>
      </c>
      <c r="D34" s="1" t="b">
        <v>1</v>
      </c>
      <c r="E34">
        <v>6.9999999999999999E-4</v>
      </c>
      <c r="F34">
        <v>3.1549019600000001</v>
      </c>
      <c r="G34">
        <v>26.7</v>
      </c>
      <c r="H34">
        <v>1.6500000000000001E-6</v>
      </c>
      <c r="I34">
        <v>1.01</v>
      </c>
      <c r="J34">
        <v>45.3</v>
      </c>
      <c r="K34">
        <v>5.49</v>
      </c>
      <c r="L34">
        <v>3.3500000000000001E-6</v>
      </c>
      <c r="M34">
        <v>25</v>
      </c>
      <c r="N34" t="s">
        <v>141</v>
      </c>
      <c r="O34" t="s">
        <v>141</v>
      </c>
      <c r="P34" t="s">
        <v>141</v>
      </c>
      <c r="Q34" t="s">
        <v>141</v>
      </c>
      <c r="S34" t="s">
        <v>141</v>
      </c>
      <c r="T34" t="s">
        <v>141</v>
      </c>
      <c r="U34" t="s">
        <v>141</v>
      </c>
      <c r="V34" t="s">
        <v>141</v>
      </c>
      <c r="X34" t="s">
        <v>158</v>
      </c>
      <c r="Y34" t="s">
        <v>159</v>
      </c>
      <c r="Z34">
        <v>1039.463933</v>
      </c>
    </row>
    <row r="35" spans="1:26">
      <c r="A35">
        <v>34</v>
      </c>
      <c r="B35" t="s">
        <v>160</v>
      </c>
      <c r="C35" t="s">
        <v>161</v>
      </c>
      <c r="D35" s="1" t="b">
        <v>1</v>
      </c>
      <c r="E35">
        <v>5.3E-3</v>
      </c>
      <c r="F35">
        <v>2.27572413</v>
      </c>
      <c r="G35">
        <v>33.700000000000003</v>
      </c>
      <c r="H35">
        <v>3.4999999999999999E-6</v>
      </c>
      <c r="I35">
        <v>0.47</v>
      </c>
      <c r="J35">
        <v>38.270000000000003</v>
      </c>
      <c r="K35">
        <v>3.1915651870000001</v>
      </c>
      <c r="L35">
        <v>4.1107480000000002E-2</v>
      </c>
      <c r="M35">
        <v>25</v>
      </c>
      <c r="N35" t="s">
        <v>162</v>
      </c>
      <c r="O35" t="s">
        <v>163</v>
      </c>
      <c r="P35" t="s">
        <v>164</v>
      </c>
      <c r="R35" t="s">
        <v>165</v>
      </c>
      <c r="S35" t="s">
        <v>31</v>
      </c>
      <c r="T35" t="s">
        <v>165</v>
      </c>
      <c r="U35" t="s">
        <v>31</v>
      </c>
      <c r="V35" t="s">
        <v>31</v>
      </c>
      <c r="W35" t="s">
        <v>166</v>
      </c>
      <c r="X35" t="s">
        <v>167</v>
      </c>
      <c r="Y35" t="s">
        <v>168</v>
      </c>
      <c r="Z35">
        <v>482.2727122</v>
      </c>
    </row>
    <row r="36" spans="1:26">
      <c r="A36">
        <v>35</v>
      </c>
      <c r="B36" t="s">
        <v>169</v>
      </c>
      <c r="C36" t="s">
        <v>161</v>
      </c>
      <c r="D36" s="1" t="b">
        <v>1</v>
      </c>
      <c r="E36">
        <v>5.0000000000000001E-3</v>
      </c>
      <c r="F36">
        <v>2.301029996</v>
      </c>
      <c r="G36">
        <v>39.6</v>
      </c>
      <c r="H36">
        <v>3.1E-6</v>
      </c>
      <c r="I36">
        <v>0.52</v>
      </c>
      <c r="J36">
        <v>32.369999999999997</v>
      </c>
      <c r="K36">
        <v>3.0016734270000001</v>
      </c>
      <c r="L36">
        <v>4.9703823000000001E-2</v>
      </c>
      <c r="M36">
        <v>25</v>
      </c>
      <c r="N36" t="s">
        <v>162</v>
      </c>
      <c r="O36" t="s">
        <v>163</v>
      </c>
      <c r="P36" t="s">
        <v>164</v>
      </c>
      <c r="R36" t="s">
        <v>165</v>
      </c>
      <c r="S36" t="s">
        <v>31</v>
      </c>
      <c r="T36" t="s">
        <v>165</v>
      </c>
      <c r="U36" t="s">
        <v>31</v>
      </c>
      <c r="V36" t="s">
        <v>31</v>
      </c>
      <c r="W36" t="s">
        <v>170</v>
      </c>
      <c r="X36" t="s">
        <v>171</v>
      </c>
      <c r="Y36" t="s">
        <v>172</v>
      </c>
      <c r="Z36">
        <v>644.32553559999997</v>
      </c>
    </row>
    <row r="37" spans="1:26">
      <c r="A37">
        <v>36</v>
      </c>
      <c r="B37" t="s">
        <v>173</v>
      </c>
      <c r="C37" t="s">
        <v>161</v>
      </c>
      <c r="D37" s="1" t="b">
        <v>1</v>
      </c>
      <c r="E37">
        <v>4.0000000000000001E-3</v>
      </c>
      <c r="F37">
        <v>2.397940009</v>
      </c>
      <c r="G37">
        <v>27.7</v>
      </c>
      <c r="H37">
        <v>4.4000000000000002E-6</v>
      </c>
      <c r="I37">
        <v>0.38</v>
      </c>
      <c r="J37">
        <v>44.27</v>
      </c>
      <c r="K37">
        <v>3.3653056549999998</v>
      </c>
      <c r="L37">
        <v>3.4551454000000002E-2</v>
      </c>
      <c r="M37">
        <v>25</v>
      </c>
      <c r="N37" t="s">
        <v>162</v>
      </c>
      <c r="O37" t="s">
        <v>163</v>
      </c>
      <c r="P37" t="s">
        <v>164</v>
      </c>
      <c r="R37" t="s">
        <v>165</v>
      </c>
      <c r="S37" t="s">
        <v>31</v>
      </c>
      <c r="T37" t="s">
        <v>165</v>
      </c>
      <c r="U37" t="s">
        <v>31</v>
      </c>
      <c r="V37" t="s">
        <v>31</v>
      </c>
      <c r="W37" t="s">
        <v>174</v>
      </c>
      <c r="X37" t="s">
        <v>175</v>
      </c>
      <c r="Y37" t="s">
        <v>176</v>
      </c>
      <c r="Z37">
        <v>320.21988870000001</v>
      </c>
    </row>
    <row r="38" spans="1:26" hidden="1">
      <c r="A38">
        <v>37</v>
      </c>
      <c r="B38" t="s">
        <v>177</v>
      </c>
      <c r="C38" t="s">
        <v>178</v>
      </c>
      <c r="D38" s="13" t="b">
        <v>0</v>
      </c>
      <c r="E38">
        <v>1.7989999999999999E-2</v>
      </c>
      <c r="F38">
        <v>1.7449688370000001</v>
      </c>
      <c r="M38">
        <v>25</v>
      </c>
      <c r="N38" t="s">
        <v>179</v>
      </c>
      <c r="P38" t="s">
        <v>180</v>
      </c>
      <c r="X38" t="s">
        <v>181</v>
      </c>
      <c r="Y38" t="s">
        <v>182</v>
      </c>
      <c r="Z38">
        <v>1210.6215790000001</v>
      </c>
    </row>
    <row r="39" spans="1:26" hidden="1">
      <c r="A39">
        <v>38</v>
      </c>
      <c r="B39" t="s">
        <v>183</v>
      </c>
      <c r="C39" t="s">
        <v>178</v>
      </c>
      <c r="D39" s="13" t="b">
        <v>0</v>
      </c>
      <c r="E39">
        <v>1.6979999999999999E-2</v>
      </c>
      <c r="F39">
        <v>1.770062314</v>
      </c>
      <c r="M39">
        <v>25</v>
      </c>
      <c r="N39" t="s">
        <v>179</v>
      </c>
      <c r="P39" t="s">
        <v>180</v>
      </c>
      <c r="X39" t="s">
        <v>184</v>
      </c>
      <c r="Y39" t="s">
        <v>185</v>
      </c>
      <c r="Z39">
        <v>990.49050560000001</v>
      </c>
    </row>
    <row r="40" spans="1:26" hidden="1">
      <c r="A40">
        <v>39</v>
      </c>
      <c r="B40" t="s">
        <v>186</v>
      </c>
      <c r="C40" t="s">
        <v>178</v>
      </c>
      <c r="D40" s="13" t="b">
        <v>0</v>
      </c>
      <c r="E40">
        <v>1.6E-2</v>
      </c>
      <c r="F40">
        <v>1.795880017</v>
      </c>
      <c r="M40">
        <v>25</v>
      </c>
      <c r="N40" t="s">
        <v>179</v>
      </c>
      <c r="P40" t="s">
        <v>180</v>
      </c>
      <c r="X40" t="s">
        <v>187</v>
      </c>
      <c r="Y40" t="s">
        <v>188</v>
      </c>
      <c r="Z40">
        <v>770.35943180000004</v>
      </c>
    </row>
    <row r="41" spans="1:26" hidden="1">
      <c r="A41">
        <v>40</v>
      </c>
      <c r="B41" t="s">
        <v>189</v>
      </c>
      <c r="C41" t="s">
        <v>83</v>
      </c>
      <c r="D41" s="1" t="b">
        <v>0</v>
      </c>
      <c r="G41">
        <v>35</v>
      </c>
      <c r="O41" t="s">
        <v>29</v>
      </c>
      <c r="Q41" t="s">
        <v>190</v>
      </c>
      <c r="X41" t="s">
        <v>191</v>
      </c>
      <c r="Y41" t="s">
        <v>192</v>
      </c>
      <c r="Z41">
        <v>338.23045339999999</v>
      </c>
    </row>
    <row r="42" spans="1:26">
      <c r="A42">
        <v>41</v>
      </c>
      <c r="B42" s="2" t="s">
        <v>193</v>
      </c>
      <c r="C42" t="s">
        <v>83</v>
      </c>
      <c r="D42" s="1" t="b">
        <v>1</v>
      </c>
      <c r="E42">
        <v>9.3300000000000005E-5</v>
      </c>
      <c r="F42">
        <v>4.030118356</v>
      </c>
      <c r="G42">
        <v>22.1</v>
      </c>
      <c r="H42">
        <v>2.4600000000000002E-6</v>
      </c>
      <c r="I42">
        <v>0.68</v>
      </c>
      <c r="J42">
        <v>50.4</v>
      </c>
      <c r="K42">
        <v>5.87</v>
      </c>
      <c r="L42">
        <v>1.35E-6</v>
      </c>
      <c r="M42">
        <v>25</v>
      </c>
      <c r="N42" t="s">
        <v>194</v>
      </c>
      <c r="O42" t="s">
        <v>194</v>
      </c>
      <c r="Q42" t="s">
        <v>194</v>
      </c>
      <c r="R42" t="s">
        <v>194</v>
      </c>
      <c r="S42" t="s">
        <v>194</v>
      </c>
      <c r="T42" t="s">
        <v>194</v>
      </c>
      <c r="U42" t="s">
        <v>194</v>
      </c>
      <c r="X42" t="s">
        <v>195</v>
      </c>
      <c r="Y42" t="s">
        <v>196</v>
      </c>
      <c r="Z42">
        <v>1935.084474</v>
      </c>
    </row>
    <row r="43" spans="1:26">
      <c r="A43">
        <v>42</v>
      </c>
      <c r="B43" s="2" t="s">
        <v>197</v>
      </c>
      <c r="C43" t="s">
        <v>83</v>
      </c>
      <c r="D43" s="1" t="b">
        <v>1</v>
      </c>
      <c r="E43">
        <v>1.25E-4</v>
      </c>
      <c r="F43">
        <v>3.903089987</v>
      </c>
      <c r="G43">
        <v>25.2</v>
      </c>
      <c r="H43">
        <v>2.7800000000000001E-6</v>
      </c>
      <c r="I43">
        <v>0.6</v>
      </c>
      <c r="J43">
        <v>47.3</v>
      </c>
      <c r="K43">
        <v>5.69</v>
      </c>
      <c r="L43">
        <v>2.03E-6</v>
      </c>
      <c r="M43">
        <v>25</v>
      </c>
      <c r="N43" t="s">
        <v>194</v>
      </c>
      <c r="O43" t="s">
        <v>194</v>
      </c>
      <c r="Q43" t="s">
        <v>194</v>
      </c>
      <c r="R43" t="s">
        <v>194</v>
      </c>
      <c r="S43" t="s">
        <v>194</v>
      </c>
      <c r="T43" t="s">
        <v>194</v>
      </c>
      <c r="U43" t="s">
        <v>194</v>
      </c>
      <c r="X43" t="s">
        <v>198</v>
      </c>
      <c r="Y43" t="s">
        <v>199</v>
      </c>
      <c r="Z43">
        <v>1861.0656819999999</v>
      </c>
    </row>
    <row r="44" spans="1:26">
      <c r="A44">
        <v>43</v>
      </c>
      <c r="B44" s="2" t="s">
        <v>200</v>
      </c>
      <c r="C44" t="s">
        <v>83</v>
      </c>
      <c r="D44" s="1" t="b">
        <v>1</v>
      </c>
      <c r="E44">
        <v>8.9999999999999998E-4</v>
      </c>
      <c r="F44">
        <v>3.0457574909999998</v>
      </c>
      <c r="G44">
        <v>28.2</v>
      </c>
      <c r="H44">
        <v>1.4100000000000001E-6</v>
      </c>
      <c r="I44">
        <v>1.18</v>
      </c>
      <c r="J44">
        <v>43.8</v>
      </c>
      <c r="K44">
        <v>5.51</v>
      </c>
      <c r="L44">
        <v>3.05E-6</v>
      </c>
      <c r="M44">
        <v>25</v>
      </c>
      <c r="N44" t="s">
        <v>141</v>
      </c>
      <c r="O44" t="s">
        <v>141</v>
      </c>
      <c r="P44" t="s">
        <v>141</v>
      </c>
      <c r="Q44" t="s">
        <v>141</v>
      </c>
      <c r="S44" t="s">
        <v>141</v>
      </c>
      <c r="T44" t="s">
        <v>141</v>
      </c>
      <c r="U44" t="s">
        <v>141</v>
      </c>
      <c r="V44" t="s">
        <v>141</v>
      </c>
      <c r="X44" t="s">
        <v>201</v>
      </c>
      <c r="Y44" t="s">
        <v>202</v>
      </c>
      <c r="Z44">
        <v>1094.609467</v>
      </c>
    </row>
    <row r="45" spans="1:26" hidden="1">
      <c r="A45">
        <v>44</v>
      </c>
      <c r="B45" t="s">
        <v>203</v>
      </c>
      <c r="C45" t="s">
        <v>83</v>
      </c>
      <c r="D45" s="1" t="b">
        <v>0</v>
      </c>
      <c r="G45">
        <v>33.6</v>
      </c>
      <c r="O45" t="s">
        <v>29</v>
      </c>
      <c r="Q45" t="s">
        <v>190</v>
      </c>
      <c r="X45" t="s">
        <v>204</v>
      </c>
      <c r="Y45" t="s">
        <v>205</v>
      </c>
      <c r="Z45">
        <v>366.26175360000002</v>
      </c>
    </row>
    <row r="46" spans="1:26" hidden="1">
      <c r="A46">
        <v>45</v>
      </c>
      <c r="B46" t="s">
        <v>206</v>
      </c>
      <c r="C46" t="s">
        <v>83</v>
      </c>
      <c r="D46" s="1" t="b">
        <v>0</v>
      </c>
      <c r="E46">
        <v>0.89329999999999998</v>
      </c>
      <c r="F46">
        <v>4.9002666E-2</v>
      </c>
      <c r="M46">
        <v>25</v>
      </c>
      <c r="N46" t="s">
        <v>207</v>
      </c>
      <c r="X46" t="s">
        <v>208</v>
      </c>
      <c r="Y46" t="s">
        <v>209</v>
      </c>
      <c r="Z46">
        <v>336.21480339999999</v>
      </c>
    </row>
    <row r="47" spans="1:26" hidden="1">
      <c r="A47">
        <v>46</v>
      </c>
      <c r="B47" t="s">
        <v>210</v>
      </c>
      <c r="C47" t="s">
        <v>134</v>
      </c>
      <c r="D47" s="13" t="b">
        <v>0</v>
      </c>
      <c r="E47">
        <v>2.5000000000000001E-2</v>
      </c>
      <c r="F47">
        <v>1.602059991</v>
      </c>
      <c r="G47">
        <v>19</v>
      </c>
      <c r="H47">
        <v>2.5600000000000001E-6</v>
      </c>
      <c r="I47">
        <v>0.66</v>
      </c>
      <c r="J47">
        <v>53</v>
      </c>
      <c r="K47">
        <v>2.731026457</v>
      </c>
      <c r="L47">
        <v>6.5152378999999996E-2</v>
      </c>
      <c r="M47">
        <v>25</v>
      </c>
      <c r="N47" t="s">
        <v>179</v>
      </c>
      <c r="P47" t="s">
        <v>211</v>
      </c>
      <c r="U47" t="s">
        <v>31</v>
      </c>
      <c r="V47" t="s">
        <v>31</v>
      </c>
      <c r="X47" t="s">
        <v>212</v>
      </c>
      <c r="Y47" t="s">
        <v>213</v>
      </c>
      <c r="Z47">
        <v>290.021187</v>
      </c>
    </row>
    <row r="48" spans="1:26">
      <c r="A48">
        <v>47</v>
      </c>
      <c r="B48" s="2" t="s">
        <v>214</v>
      </c>
      <c r="C48" t="s">
        <v>83</v>
      </c>
      <c r="D48" s="1" t="b">
        <v>1</v>
      </c>
      <c r="E48">
        <v>2.0000000000000001E-4</v>
      </c>
      <c r="F48">
        <v>3.698970004</v>
      </c>
      <c r="G48">
        <v>31.1</v>
      </c>
      <c r="H48">
        <v>1.28E-6</v>
      </c>
      <c r="I48">
        <v>1.3</v>
      </c>
      <c r="J48">
        <v>40.9</v>
      </c>
      <c r="K48">
        <v>5.69</v>
      </c>
      <c r="L48">
        <v>1.9099999999999999E-6</v>
      </c>
      <c r="M48">
        <v>25</v>
      </c>
      <c r="N48" t="s">
        <v>141</v>
      </c>
      <c r="O48" t="s">
        <v>141</v>
      </c>
      <c r="P48" t="s">
        <v>141</v>
      </c>
      <c r="Q48" t="s">
        <v>141</v>
      </c>
      <c r="S48" t="s">
        <v>141</v>
      </c>
      <c r="T48" t="s">
        <v>141</v>
      </c>
      <c r="U48" t="s">
        <v>141</v>
      </c>
      <c r="V48" t="s">
        <v>141</v>
      </c>
      <c r="X48" t="s">
        <v>215</v>
      </c>
      <c r="Y48" t="s">
        <v>216</v>
      </c>
      <c r="Z48">
        <v>1178.7033670000001</v>
      </c>
    </row>
    <row r="49" spans="1:26">
      <c r="A49">
        <v>48</v>
      </c>
      <c r="B49" s="2" t="s">
        <v>217</v>
      </c>
      <c r="C49" t="s">
        <v>83</v>
      </c>
      <c r="D49" s="1" t="b">
        <v>1</v>
      </c>
      <c r="E49">
        <v>2.3E-2</v>
      </c>
      <c r="F49">
        <v>1.638272164</v>
      </c>
      <c r="G49" s="7">
        <v>31.7</v>
      </c>
      <c r="I49" s="2">
        <f>66/100</f>
        <v>0.66</v>
      </c>
      <c r="M49" s="2">
        <v>20</v>
      </c>
      <c r="N49" t="s">
        <v>135</v>
      </c>
      <c r="O49" s="2" t="s">
        <v>190</v>
      </c>
      <c r="P49" s="2" t="s">
        <v>190</v>
      </c>
      <c r="Q49" s="2" t="s">
        <v>190</v>
      </c>
      <c r="T49" s="2" t="s">
        <v>190</v>
      </c>
      <c r="X49" t="s">
        <v>218</v>
      </c>
      <c r="Y49" t="s">
        <v>219</v>
      </c>
      <c r="Z49">
        <v>394.29305369999997</v>
      </c>
    </row>
    <row r="50" spans="1:26" hidden="1">
      <c r="A50">
        <v>49</v>
      </c>
      <c r="B50" t="s">
        <v>220</v>
      </c>
      <c r="C50" t="s">
        <v>83</v>
      </c>
      <c r="D50" s="1" t="b">
        <v>0</v>
      </c>
      <c r="G50">
        <v>31.7</v>
      </c>
      <c r="O50" t="s">
        <v>29</v>
      </c>
      <c r="Q50" t="s">
        <v>190</v>
      </c>
      <c r="X50" t="s">
        <v>221</v>
      </c>
      <c r="Y50" t="s">
        <v>222</v>
      </c>
      <c r="Z50">
        <v>394.29305369999997</v>
      </c>
    </row>
    <row r="51" spans="1:26" hidden="1">
      <c r="A51">
        <v>50</v>
      </c>
      <c r="B51" t="s">
        <v>223</v>
      </c>
      <c r="C51" t="s">
        <v>134</v>
      </c>
      <c r="D51" s="13" t="b">
        <v>0</v>
      </c>
      <c r="E51">
        <v>4.6989999999999998E-4</v>
      </c>
      <c r="F51">
        <v>3.3279945550000001</v>
      </c>
      <c r="G51">
        <v>20</v>
      </c>
      <c r="H51">
        <v>1.77E-6</v>
      </c>
      <c r="I51">
        <v>0.94</v>
      </c>
      <c r="J51">
        <v>52</v>
      </c>
      <c r="K51">
        <v>4.9113695399999999</v>
      </c>
      <c r="L51">
        <v>7.362398E-3</v>
      </c>
      <c r="M51">
        <v>25</v>
      </c>
      <c r="N51" t="s">
        <v>179</v>
      </c>
      <c r="O51" t="s">
        <v>224</v>
      </c>
      <c r="P51" t="s">
        <v>224</v>
      </c>
      <c r="R51" t="s">
        <v>224</v>
      </c>
      <c r="S51" t="s">
        <v>224</v>
      </c>
      <c r="U51" t="s">
        <v>31</v>
      </c>
      <c r="V51" t="s">
        <v>31</v>
      </c>
      <c r="X51" t="s">
        <v>225</v>
      </c>
      <c r="Y51" t="s">
        <v>226</v>
      </c>
      <c r="Z51">
        <v>361.98349969999998</v>
      </c>
    </row>
    <row r="52" spans="1:26">
      <c r="A52">
        <v>51</v>
      </c>
      <c r="B52" s="2" t="s">
        <v>227</v>
      </c>
      <c r="C52" t="s">
        <v>83</v>
      </c>
      <c r="D52" s="1" t="b">
        <v>1</v>
      </c>
      <c r="E52">
        <v>0.8</v>
      </c>
      <c r="F52">
        <v>9.6910013000000003E-2</v>
      </c>
      <c r="G52" s="7">
        <v>34.299999999999997</v>
      </c>
      <c r="H52" s="2"/>
      <c r="I52" s="2">
        <f>70/100</f>
        <v>0.7</v>
      </c>
      <c r="M52" s="2">
        <v>20</v>
      </c>
      <c r="N52" t="s">
        <v>135</v>
      </c>
      <c r="O52" s="2" t="s">
        <v>190</v>
      </c>
      <c r="P52" s="2" t="s">
        <v>190</v>
      </c>
      <c r="Q52" s="2" t="s">
        <v>190</v>
      </c>
      <c r="T52" s="2" t="s">
        <v>190</v>
      </c>
      <c r="X52" t="s">
        <v>228</v>
      </c>
      <c r="Y52" t="s">
        <v>229</v>
      </c>
      <c r="Z52">
        <v>338.23045339999999</v>
      </c>
    </row>
    <row r="53" spans="1:26" hidden="1">
      <c r="A53">
        <v>52</v>
      </c>
      <c r="B53" t="s">
        <v>230</v>
      </c>
      <c r="C53" t="s">
        <v>134</v>
      </c>
      <c r="D53" s="13" t="b">
        <v>0</v>
      </c>
      <c r="E53">
        <v>3.999E-3</v>
      </c>
      <c r="F53">
        <v>2.3980485960000002</v>
      </c>
      <c r="G53">
        <v>18</v>
      </c>
      <c r="H53">
        <v>2.0600000000000002E-6</v>
      </c>
      <c r="I53">
        <v>0.8</v>
      </c>
      <c r="J53">
        <v>54</v>
      </c>
      <c r="K53">
        <v>3.8435508199999999</v>
      </c>
      <c r="L53">
        <v>2.1417417000000001E-2</v>
      </c>
      <c r="M53">
        <v>25</v>
      </c>
      <c r="N53" t="s">
        <v>179</v>
      </c>
      <c r="O53" t="s">
        <v>224</v>
      </c>
      <c r="P53" t="s">
        <v>224</v>
      </c>
      <c r="R53" t="s">
        <v>224</v>
      </c>
      <c r="S53" t="s">
        <v>224</v>
      </c>
      <c r="U53" t="s">
        <v>31</v>
      </c>
      <c r="V53" t="s">
        <v>31</v>
      </c>
      <c r="X53" t="s">
        <v>231</v>
      </c>
      <c r="Y53" t="s">
        <v>232</v>
      </c>
      <c r="Z53">
        <v>326.00234339999997</v>
      </c>
    </row>
    <row r="54" spans="1:26" hidden="1">
      <c r="A54">
        <v>53</v>
      </c>
      <c r="B54" t="s">
        <v>233</v>
      </c>
      <c r="C54" t="s">
        <v>54</v>
      </c>
      <c r="D54" s="1" t="b">
        <v>0</v>
      </c>
      <c r="E54">
        <v>1.5889999999999999E-3</v>
      </c>
      <c r="F54">
        <v>2.798876103</v>
      </c>
      <c r="G54">
        <v>31.7</v>
      </c>
      <c r="H54">
        <v>1.59E-6</v>
      </c>
      <c r="I54">
        <v>1.04</v>
      </c>
      <c r="J54">
        <v>40.1</v>
      </c>
      <c r="K54">
        <v>4.82</v>
      </c>
      <c r="L54">
        <v>1.5099999999999999E-5</v>
      </c>
      <c r="M54">
        <v>25</v>
      </c>
      <c r="N54" t="s">
        <v>234</v>
      </c>
      <c r="O54" t="s">
        <v>29</v>
      </c>
      <c r="Q54" t="s">
        <v>234</v>
      </c>
      <c r="R54" t="s">
        <v>234</v>
      </c>
      <c r="S54" t="s">
        <v>234</v>
      </c>
      <c r="T54" t="s">
        <v>234</v>
      </c>
      <c r="U54" t="s">
        <v>234</v>
      </c>
      <c r="W54" t="s">
        <v>235</v>
      </c>
      <c r="X54" t="s">
        <v>236</v>
      </c>
      <c r="Y54" t="s">
        <v>237</v>
      </c>
      <c r="Z54">
        <v>376.24531139999999</v>
      </c>
    </row>
    <row r="55" spans="1:26" hidden="1">
      <c r="A55">
        <v>54</v>
      </c>
      <c r="B55" t="s">
        <v>238</v>
      </c>
      <c r="C55" t="s">
        <v>54</v>
      </c>
      <c r="D55" s="1" t="b">
        <v>0</v>
      </c>
      <c r="E55">
        <v>7.7099999999999998E-4</v>
      </c>
      <c r="F55">
        <v>3.1129456219999998</v>
      </c>
      <c r="G55">
        <v>30</v>
      </c>
      <c r="H55">
        <v>1.4899999999999999E-6</v>
      </c>
      <c r="I55">
        <v>1.1100000000000001</v>
      </c>
      <c r="J55">
        <v>41.79</v>
      </c>
      <c r="K55">
        <v>5.23</v>
      </c>
      <c r="L55">
        <v>5.8900000000000004E-6</v>
      </c>
      <c r="M55">
        <v>25</v>
      </c>
      <c r="N55" t="s">
        <v>234</v>
      </c>
      <c r="O55" t="s">
        <v>29</v>
      </c>
      <c r="Q55" t="s">
        <v>234</v>
      </c>
      <c r="R55" t="s">
        <v>234</v>
      </c>
      <c r="S55" t="s">
        <v>234</v>
      </c>
      <c r="T55" t="s">
        <v>234</v>
      </c>
      <c r="U55" t="s">
        <v>234</v>
      </c>
      <c r="W55" t="s">
        <v>239</v>
      </c>
      <c r="X55" t="s">
        <v>240</v>
      </c>
      <c r="Y55" t="s">
        <v>241</v>
      </c>
      <c r="Z55">
        <v>404.2766115</v>
      </c>
    </row>
    <row r="56" spans="1:26" hidden="1">
      <c r="A56">
        <v>55</v>
      </c>
      <c r="B56" t="s">
        <v>242</v>
      </c>
      <c r="C56" t="s">
        <v>54</v>
      </c>
      <c r="D56" s="1" t="b">
        <v>0</v>
      </c>
      <c r="E56">
        <v>8.4099999999999998E-5</v>
      </c>
      <c r="F56">
        <v>4.0752040039999997</v>
      </c>
      <c r="G56">
        <v>37.5</v>
      </c>
      <c r="H56">
        <v>1.3599999999999999E-6</v>
      </c>
      <c r="I56">
        <v>1.22</v>
      </c>
      <c r="J56">
        <v>34.29</v>
      </c>
      <c r="K56">
        <v>6</v>
      </c>
      <c r="L56">
        <v>9.9999999999999995E-7</v>
      </c>
      <c r="M56">
        <v>25</v>
      </c>
      <c r="N56" t="s">
        <v>234</v>
      </c>
      <c r="O56" t="s">
        <v>29</v>
      </c>
      <c r="Q56" t="s">
        <v>234</v>
      </c>
      <c r="R56" t="s">
        <v>234</v>
      </c>
      <c r="S56" t="s">
        <v>234</v>
      </c>
      <c r="T56" t="s">
        <v>234</v>
      </c>
      <c r="U56" t="s">
        <v>234</v>
      </c>
      <c r="W56" t="s">
        <v>243</v>
      </c>
      <c r="X56" t="s">
        <v>244</v>
      </c>
      <c r="Y56" t="s">
        <v>245</v>
      </c>
      <c r="Z56">
        <v>460.33921179999999</v>
      </c>
    </row>
    <row r="57" spans="1:26" hidden="1">
      <c r="A57">
        <v>56</v>
      </c>
      <c r="B57" t="s">
        <v>246</v>
      </c>
      <c r="C57" t="s">
        <v>134</v>
      </c>
      <c r="D57" s="13" t="b">
        <v>0</v>
      </c>
      <c r="E57">
        <v>5.7680000000000002E-2</v>
      </c>
      <c r="F57">
        <v>1.238974748</v>
      </c>
      <c r="M57">
        <v>25</v>
      </c>
      <c r="N57" t="s">
        <v>179</v>
      </c>
      <c r="X57" t="s">
        <v>247</v>
      </c>
      <c r="Y57" t="s">
        <v>248</v>
      </c>
      <c r="Z57">
        <v>346.10621839999999</v>
      </c>
    </row>
    <row r="58" spans="1:26" hidden="1">
      <c r="A58">
        <v>57</v>
      </c>
      <c r="B58" t="s">
        <v>249</v>
      </c>
      <c r="C58" t="s">
        <v>134</v>
      </c>
      <c r="D58" s="13" t="b">
        <v>0</v>
      </c>
      <c r="E58">
        <v>0.21729999999999999</v>
      </c>
      <c r="F58">
        <v>0.662940274</v>
      </c>
      <c r="M58">
        <v>25</v>
      </c>
      <c r="N58" t="s">
        <v>179</v>
      </c>
      <c r="X58" t="s">
        <v>250</v>
      </c>
      <c r="Y58" t="s">
        <v>251</v>
      </c>
      <c r="Z58">
        <v>458.23141889999999</v>
      </c>
    </row>
    <row r="59" spans="1:26" hidden="1">
      <c r="A59">
        <v>58</v>
      </c>
      <c r="B59" t="s">
        <v>252</v>
      </c>
      <c r="C59" t="s">
        <v>134</v>
      </c>
      <c r="D59" s="1" t="b">
        <v>0</v>
      </c>
      <c r="E59">
        <v>2.5000000000000001E-3</v>
      </c>
      <c r="F59">
        <v>2.602059991</v>
      </c>
      <c r="M59">
        <v>25</v>
      </c>
      <c r="N59" t="s">
        <v>89</v>
      </c>
      <c r="P59" t="s">
        <v>103</v>
      </c>
      <c r="W59" t="s">
        <v>253</v>
      </c>
      <c r="X59" t="s">
        <v>254</v>
      </c>
      <c r="Y59" t="s">
        <v>255</v>
      </c>
      <c r="Z59">
        <v>444.21576879999998</v>
      </c>
    </row>
    <row r="60" spans="1:26">
      <c r="A60">
        <v>59</v>
      </c>
      <c r="B60" s="2" t="s">
        <v>256</v>
      </c>
      <c r="C60" t="s">
        <v>83</v>
      </c>
      <c r="D60" s="1" t="b">
        <v>1</v>
      </c>
      <c r="E60">
        <v>3.0999999999999999E-3</v>
      </c>
      <c r="F60">
        <v>2.5086383059999999</v>
      </c>
      <c r="G60" s="7">
        <v>28.3</v>
      </c>
      <c r="I60" s="2">
        <f>61/100</f>
        <v>0.61</v>
      </c>
      <c r="M60" s="2">
        <v>20</v>
      </c>
      <c r="N60" t="s">
        <v>135</v>
      </c>
      <c r="O60" s="2" t="s">
        <v>190</v>
      </c>
      <c r="P60" s="2" t="s">
        <v>190</v>
      </c>
      <c r="Q60" s="2" t="s">
        <v>190</v>
      </c>
      <c r="T60" s="2" t="s">
        <v>190</v>
      </c>
      <c r="X60" t="s">
        <v>257</v>
      </c>
      <c r="Y60" t="s">
        <v>258</v>
      </c>
      <c r="Z60">
        <v>422.32435379999998</v>
      </c>
    </row>
    <row r="61" spans="1:26">
      <c r="A61">
        <v>60</v>
      </c>
      <c r="B61" s="2" t="s">
        <v>259</v>
      </c>
      <c r="C61" t="s">
        <v>83</v>
      </c>
      <c r="D61" s="1" t="b">
        <v>1</v>
      </c>
      <c r="E61">
        <v>3.2000000000000002E-3</v>
      </c>
      <c r="F61">
        <v>2.4948500220000001</v>
      </c>
      <c r="G61" s="7">
        <v>32.6</v>
      </c>
      <c r="I61" s="2">
        <f>71/100</f>
        <v>0.71</v>
      </c>
      <c r="M61" s="2">
        <v>20</v>
      </c>
      <c r="N61" t="s">
        <v>135</v>
      </c>
      <c r="O61" s="2" t="s">
        <v>190</v>
      </c>
      <c r="P61" s="2" t="s">
        <v>190</v>
      </c>
      <c r="Q61" s="2" t="s">
        <v>190</v>
      </c>
      <c r="T61" s="2" t="s">
        <v>190</v>
      </c>
      <c r="X61" t="s">
        <v>260</v>
      </c>
      <c r="Y61" t="s">
        <v>261</v>
      </c>
      <c r="Z61">
        <v>554.40299809999999</v>
      </c>
    </row>
    <row r="62" spans="1:26" hidden="1">
      <c r="A62">
        <v>61</v>
      </c>
      <c r="B62" t="s">
        <v>262</v>
      </c>
      <c r="C62" t="s">
        <v>83</v>
      </c>
      <c r="D62" s="1" t="b">
        <v>0</v>
      </c>
      <c r="G62">
        <v>32.6</v>
      </c>
      <c r="O62" t="s">
        <v>29</v>
      </c>
      <c r="Q62" t="s">
        <v>190</v>
      </c>
      <c r="X62" t="s">
        <v>263</v>
      </c>
      <c r="Y62" t="s">
        <v>264</v>
      </c>
      <c r="Z62">
        <v>554.40299809999999</v>
      </c>
    </row>
    <row r="63" spans="1:26" hidden="1">
      <c r="A63">
        <v>62</v>
      </c>
      <c r="B63" t="s">
        <v>265</v>
      </c>
      <c r="C63" t="s">
        <v>83</v>
      </c>
      <c r="D63" s="1" t="b">
        <v>0</v>
      </c>
      <c r="E63">
        <v>9.6379999999999993E-2</v>
      </c>
      <c r="F63">
        <v>1.0160130780000001</v>
      </c>
      <c r="M63">
        <v>25</v>
      </c>
      <c r="N63" t="s">
        <v>207</v>
      </c>
      <c r="X63" t="s">
        <v>266</v>
      </c>
      <c r="Y63" t="s">
        <v>267</v>
      </c>
      <c r="Z63">
        <v>364.2461035</v>
      </c>
    </row>
    <row r="64" spans="1:26" hidden="1">
      <c r="A64">
        <v>63</v>
      </c>
      <c r="B64" t="s">
        <v>268</v>
      </c>
      <c r="C64" t="s">
        <v>161</v>
      </c>
      <c r="D64" s="1" t="b">
        <v>0</v>
      </c>
      <c r="E64">
        <v>2.1700000000000001E-3</v>
      </c>
      <c r="F64">
        <v>2.663540266</v>
      </c>
      <c r="M64">
        <v>25</v>
      </c>
      <c r="N64" t="s">
        <v>89</v>
      </c>
      <c r="P64" t="s">
        <v>103</v>
      </c>
      <c r="W64" t="s">
        <v>269</v>
      </c>
      <c r="X64" t="s">
        <v>270</v>
      </c>
      <c r="Y64" t="s">
        <v>271</v>
      </c>
      <c r="Z64">
        <v>241.13140809999999</v>
      </c>
    </row>
    <row r="65" spans="1:26" hidden="1">
      <c r="A65">
        <v>64</v>
      </c>
      <c r="B65" t="s">
        <v>272</v>
      </c>
      <c r="C65" t="s">
        <v>134</v>
      </c>
      <c r="D65" s="13" t="b">
        <v>0</v>
      </c>
      <c r="E65">
        <v>1.524E-2</v>
      </c>
      <c r="F65">
        <v>1.8170150329999999</v>
      </c>
      <c r="M65">
        <v>25</v>
      </c>
      <c r="N65" t="s">
        <v>179</v>
      </c>
      <c r="X65" t="s">
        <v>273</v>
      </c>
      <c r="Y65" t="s">
        <v>274</v>
      </c>
      <c r="Z65">
        <v>374.1375185</v>
      </c>
    </row>
    <row r="66" spans="1:26" hidden="1">
      <c r="A66">
        <v>65</v>
      </c>
      <c r="B66" t="s">
        <v>275</v>
      </c>
      <c r="C66" t="s">
        <v>134</v>
      </c>
      <c r="D66" s="13" t="b">
        <v>0</v>
      </c>
      <c r="E66">
        <v>9.0989999999999994E-3</v>
      </c>
      <c r="F66">
        <v>2.0410063350000001</v>
      </c>
      <c r="G66">
        <v>19</v>
      </c>
      <c r="H66">
        <v>1.66E-6</v>
      </c>
      <c r="I66">
        <v>0.99</v>
      </c>
      <c r="J66">
        <v>53</v>
      </c>
      <c r="K66">
        <v>3.782063054</v>
      </c>
      <c r="L66">
        <v>2.2775655999999998E-2</v>
      </c>
      <c r="M66">
        <v>25</v>
      </c>
      <c r="N66" t="s">
        <v>179</v>
      </c>
      <c r="O66" t="s">
        <v>224</v>
      </c>
      <c r="P66" t="s">
        <v>224</v>
      </c>
      <c r="R66" t="s">
        <v>224</v>
      </c>
      <c r="S66" t="s">
        <v>224</v>
      </c>
      <c r="U66" t="s">
        <v>31</v>
      </c>
      <c r="V66" t="s">
        <v>31</v>
      </c>
      <c r="X66" t="s">
        <v>276</v>
      </c>
      <c r="Y66" t="s">
        <v>277</v>
      </c>
      <c r="Z66">
        <v>318.05248710000001</v>
      </c>
    </row>
    <row r="67" spans="1:26">
      <c r="A67">
        <v>66</v>
      </c>
      <c r="B67" t="s">
        <v>278</v>
      </c>
      <c r="C67" t="s">
        <v>161</v>
      </c>
      <c r="D67" s="1" t="b">
        <v>1</v>
      </c>
      <c r="E67">
        <v>1.4999999999999999E-2</v>
      </c>
      <c r="F67">
        <v>1.8239087409999999</v>
      </c>
      <c r="G67">
        <v>25.1</v>
      </c>
      <c r="H67">
        <v>3.0199999999999999E-6</v>
      </c>
      <c r="I67">
        <v>0.55000000000000004</v>
      </c>
      <c r="J67">
        <v>46.87</v>
      </c>
      <c r="K67">
        <v>3.3841163810000001</v>
      </c>
      <c r="L67">
        <v>3.3907590000000001E-2</v>
      </c>
      <c r="M67">
        <v>25</v>
      </c>
      <c r="N67" t="s">
        <v>162</v>
      </c>
      <c r="O67" t="s">
        <v>163</v>
      </c>
      <c r="P67" t="s">
        <v>164</v>
      </c>
      <c r="S67" t="s">
        <v>31</v>
      </c>
      <c r="T67" t="s">
        <v>279</v>
      </c>
      <c r="U67" t="s">
        <v>31</v>
      </c>
      <c r="V67" t="s">
        <v>31</v>
      </c>
      <c r="W67" t="s">
        <v>280</v>
      </c>
      <c r="X67" t="s">
        <v>281</v>
      </c>
      <c r="Y67" t="s">
        <v>282</v>
      </c>
      <c r="Z67">
        <v>320.21988870000001</v>
      </c>
    </row>
    <row r="68" spans="1:26" hidden="1">
      <c r="A68">
        <v>67</v>
      </c>
      <c r="B68" t="s">
        <v>283</v>
      </c>
      <c r="C68" t="s">
        <v>134</v>
      </c>
      <c r="D68" s="13" t="b">
        <v>0</v>
      </c>
      <c r="E68">
        <v>8.9739999999999993E-3</v>
      </c>
      <c r="F68">
        <v>2.0470139349999998</v>
      </c>
      <c r="M68">
        <v>25</v>
      </c>
      <c r="N68" t="s">
        <v>179</v>
      </c>
      <c r="P68" t="s">
        <v>180</v>
      </c>
      <c r="W68" t="s">
        <v>284</v>
      </c>
      <c r="X68" t="s">
        <v>285</v>
      </c>
      <c r="Y68" t="s">
        <v>286</v>
      </c>
      <c r="Z68">
        <v>320.14220990000001</v>
      </c>
    </row>
    <row r="69" spans="1:26" hidden="1">
      <c r="A69">
        <v>68</v>
      </c>
      <c r="B69" t="s">
        <v>287</v>
      </c>
      <c r="C69" t="s">
        <v>134</v>
      </c>
      <c r="D69" s="13" t="b">
        <v>0</v>
      </c>
      <c r="E69">
        <v>8.2989999999999994E-2</v>
      </c>
      <c r="F69">
        <v>1.080974235</v>
      </c>
      <c r="H69">
        <v>6.7000000000000004E-7</v>
      </c>
      <c r="I69">
        <v>2.48</v>
      </c>
      <c r="M69">
        <v>25</v>
      </c>
      <c r="N69" t="s">
        <v>179</v>
      </c>
      <c r="P69" t="s">
        <v>288</v>
      </c>
      <c r="T69" t="s">
        <v>289</v>
      </c>
      <c r="W69" t="s">
        <v>290</v>
      </c>
      <c r="X69" t="s">
        <v>291</v>
      </c>
      <c r="Y69" t="s">
        <v>292</v>
      </c>
      <c r="Z69">
        <v>274.12147449999998</v>
      </c>
    </row>
    <row r="70" spans="1:26" hidden="1">
      <c r="A70">
        <v>69</v>
      </c>
      <c r="B70" t="s">
        <v>293</v>
      </c>
      <c r="C70" t="s">
        <v>134</v>
      </c>
      <c r="D70" s="13" t="b">
        <v>0</v>
      </c>
      <c r="E70">
        <v>5.6230000000000004E-3</v>
      </c>
      <c r="F70">
        <v>2.2500319160000002</v>
      </c>
      <c r="M70">
        <v>25</v>
      </c>
      <c r="N70" t="s">
        <v>179</v>
      </c>
      <c r="P70" t="s">
        <v>294</v>
      </c>
      <c r="W70" t="s">
        <v>295</v>
      </c>
      <c r="X70" t="s">
        <v>296</v>
      </c>
      <c r="Y70" t="s">
        <v>297</v>
      </c>
      <c r="Z70">
        <v>334.15786000000003</v>
      </c>
    </row>
    <row r="71" spans="1:26" hidden="1">
      <c r="A71">
        <v>70</v>
      </c>
      <c r="B71" t="s">
        <v>298</v>
      </c>
      <c r="C71" t="s">
        <v>134</v>
      </c>
      <c r="D71" s="13" t="b">
        <v>0</v>
      </c>
      <c r="E71">
        <v>0.18490000000000001</v>
      </c>
      <c r="F71">
        <v>0.73306308899999995</v>
      </c>
      <c r="M71">
        <v>25</v>
      </c>
      <c r="N71" t="s">
        <v>179</v>
      </c>
      <c r="X71" t="s">
        <v>299</v>
      </c>
      <c r="Y71" t="s">
        <v>300</v>
      </c>
      <c r="Z71">
        <v>248.06943889999999</v>
      </c>
    </row>
    <row r="72" spans="1:26" hidden="1">
      <c r="A72">
        <v>71</v>
      </c>
      <c r="B72" t="s">
        <v>301</v>
      </c>
      <c r="C72" t="s">
        <v>134</v>
      </c>
      <c r="D72" s="13" t="b">
        <v>0</v>
      </c>
      <c r="E72">
        <v>1.6000000000000001E-4</v>
      </c>
      <c r="F72">
        <v>3.795880017</v>
      </c>
      <c r="M72">
        <v>25</v>
      </c>
      <c r="N72" t="s">
        <v>179</v>
      </c>
      <c r="P72" t="s">
        <v>224</v>
      </c>
      <c r="X72" t="s">
        <v>302</v>
      </c>
      <c r="Y72" t="s">
        <v>303</v>
      </c>
      <c r="Z72">
        <v>390.01479990000001</v>
      </c>
    </row>
    <row r="73" spans="1:26">
      <c r="A73">
        <v>72</v>
      </c>
      <c r="B73" s="2" t="s">
        <v>304</v>
      </c>
      <c r="C73" t="s">
        <v>83</v>
      </c>
      <c r="D73" s="1" t="b">
        <v>1</v>
      </c>
      <c r="E73">
        <v>7.3999999999999996E-2</v>
      </c>
      <c r="F73">
        <v>1.1307682800000001</v>
      </c>
      <c r="G73">
        <v>32</v>
      </c>
      <c r="H73">
        <v>2.7E-6</v>
      </c>
      <c r="I73">
        <v>0.62</v>
      </c>
      <c r="J73">
        <v>40</v>
      </c>
      <c r="K73">
        <v>2.46</v>
      </c>
      <c r="L73">
        <v>3.4399999999999999E-3</v>
      </c>
      <c r="M73">
        <v>25</v>
      </c>
      <c r="N73" t="s">
        <v>135</v>
      </c>
      <c r="O73" t="s">
        <v>137</v>
      </c>
      <c r="R73" t="s">
        <v>137</v>
      </c>
      <c r="S73" t="s">
        <v>137</v>
      </c>
      <c r="X73" t="s">
        <v>305</v>
      </c>
      <c r="Y73" t="s">
        <v>306</v>
      </c>
      <c r="Z73">
        <v>366.26175360000002</v>
      </c>
    </row>
    <row r="74" spans="1:26" hidden="1">
      <c r="A74">
        <v>73</v>
      </c>
      <c r="B74" t="s">
        <v>307</v>
      </c>
      <c r="C74" t="s">
        <v>134</v>
      </c>
      <c r="D74" s="13" t="b">
        <v>0</v>
      </c>
      <c r="E74">
        <v>1.199E-3</v>
      </c>
      <c r="F74">
        <v>2.9211808170000002</v>
      </c>
      <c r="G74">
        <v>20</v>
      </c>
      <c r="H74">
        <v>1.5999999999999999E-6</v>
      </c>
      <c r="I74">
        <v>1.04</v>
      </c>
      <c r="J74">
        <v>52</v>
      </c>
      <c r="K74">
        <v>4.6727893949999997</v>
      </c>
      <c r="L74">
        <v>9.3461629999999993E-3</v>
      </c>
      <c r="M74">
        <v>25</v>
      </c>
      <c r="N74" t="s">
        <v>179</v>
      </c>
      <c r="O74" t="s">
        <v>224</v>
      </c>
      <c r="P74" t="s">
        <v>224</v>
      </c>
      <c r="R74" t="s">
        <v>224</v>
      </c>
      <c r="S74" t="s">
        <v>224</v>
      </c>
      <c r="U74" t="s">
        <v>31</v>
      </c>
      <c r="V74" t="s">
        <v>31</v>
      </c>
      <c r="X74" t="s">
        <v>308</v>
      </c>
      <c r="Y74" t="s">
        <v>309</v>
      </c>
      <c r="Z74">
        <v>354.03364349999998</v>
      </c>
    </row>
    <row r="75" spans="1:26" hidden="1">
      <c r="A75">
        <v>74</v>
      </c>
      <c r="B75" t="s">
        <v>310</v>
      </c>
      <c r="C75" t="s">
        <v>311</v>
      </c>
      <c r="D75" s="1" t="b">
        <v>0</v>
      </c>
      <c r="G75">
        <v>40.4</v>
      </c>
      <c r="O75" t="s">
        <v>29</v>
      </c>
      <c r="Q75" t="s">
        <v>312</v>
      </c>
      <c r="X75" t="s">
        <v>313</v>
      </c>
      <c r="Y75" t="s">
        <v>314</v>
      </c>
      <c r="Z75">
        <v>412.22432250000003</v>
      </c>
    </row>
    <row r="76" spans="1:26" hidden="1">
      <c r="A76">
        <v>75</v>
      </c>
      <c r="B76" t="s">
        <v>315</v>
      </c>
      <c r="C76" t="s">
        <v>161</v>
      </c>
      <c r="D76" s="1" t="b">
        <v>0</v>
      </c>
      <c r="E76">
        <v>0.01</v>
      </c>
      <c r="F76">
        <v>2</v>
      </c>
      <c r="M76">
        <v>25</v>
      </c>
      <c r="N76" t="s">
        <v>89</v>
      </c>
      <c r="P76" t="s">
        <v>103</v>
      </c>
      <c r="W76" t="s">
        <v>316</v>
      </c>
      <c r="X76" t="s">
        <v>317</v>
      </c>
      <c r="Y76" t="s">
        <v>318</v>
      </c>
      <c r="Z76">
        <v>264.15728849999999</v>
      </c>
    </row>
    <row r="77" spans="1:26" hidden="1">
      <c r="A77">
        <v>76</v>
      </c>
      <c r="B77" t="s">
        <v>319</v>
      </c>
      <c r="C77" t="s">
        <v>134</v>
      </c>
      <c r="D77" s="13" t="b">
        <v>0</v>
      </c>
      <c r="E77">
        <v>0.1799</v>
      </c>
      <c r="F77">
        <v>0.74496883700000005</v>
      </c>
      <c r="H77">
        <v>8.47E-7</v>
      </c>
      <c r="I77">
        <v>1.96</v>
      </c>
      <c r="M77">
        <v>25</v>
      </c>
      <c r="N77" t="s">
        <v>179</v>
      </c>
      <c r="P77" t="s">
        <v>288</v>
      </c>
      <c r="T77" t="s">
        <v>289</v>
      </c>
      <c r="W77" t="s">
        <v>320</v>
      </c>
      <c r="X77" t="s">
        <v>321</v>
      </c>
      <c r="Y77" t="s">
        <v>322</v>
      </c>
      <c r="Z77">
        <v>232.07452430000001</v>
      </c>
    </row>
    <row r="78" spans="1:26" hidden="1">
      <c r="A78">
        <v>77</v>
      </c>
      <c r="B78" t="s">
        <v>323</v>
      </c>
      <c r="C78" t="s">
        <v>134</v>
      </c>
      <c r="D78" s="13" t="b">
        <v>0</v>
      </c>
      <c r="E78">
        <v>1.0789999999999999E-2</v>
      </c>
      <c r="F78">
        <v>1.9669785550000001</v>
      </c>
      <c r="M78">
        <v>25</v>
      </c>
      <c r="N78" t="s">
        <v>179</v>
      </c>
      <c r="P78" t="s">
        <v>180</v>
      </c>
      <c r="W78" t="s">
        <v>324</v>
      </c>
      <c r="X78" t="s">
        <v>325</v>
      </c>
      <c r="Y78" t="s">
        <v>326</v>
      </c>
      <c r="Z78">
        <v>306.12655990000002</v>
      </c>
    </row>
    <row r="79" spans="1:26">
      <c r="A79">
        <v>78</v>
      </c>
      <c r="B79" t="s">
        <v>327</v>
      </c>
      <c r="C79" t="s">
        <v>161</v>
      </c>
      <c r="D79" s="1" t="b">
        <v>1</v>
      </c>
      <c r="E79">
        <v>1.2E-2</v>
      </c>
      <c r="F79">
        <v>1.9208187539999999</v>
      </c>
      <c r="G79">
        <v>26</v>
      </c>
      <c r="H79">
        <v>3.0800000000000002E-6</v>
      </c>
      <c r="I79">
        <v>0.54</v>
      </c>
      <c r="J79">
        <v>45.97</v>
      </c>
      <c r="K79">
        <v>3.3994493719999999</v>
      </c>
      <c r="L79">
        <v>3.3391651000000001E-2</v>
      </c>
      <c r="M79">
        <v>25</v>
      </c>
      <c r="N79" t="s">
        <v>162</v>
      </c>
      <c r="O79" t="s">
        <v>163</v>
      </c>
      <c r="P79" t="s">
        <v>164</v>
      </c>
      <c r="S79" t="s">
        <v>31</v>
      </c>
      <c r="T79" t="s">
        <v>279</v>
      </c>
      <c r="U79" t="s">
        <v>31</v>
      </c>
      <c r="V79" t="s">
        <v>31</v>
      </c>
      <c r="W79" t="s">
        <v>328</v>
      </c>
      <c r="X79" t="s">
        <v>329</v>
      </c>
      <c r="Y79" t="s">
        <v>330</v>
      </c>
      <c r="Z79">
        <v>320.21988870000001</v>
      </c>
    </row>
    <row r="80" spans="1:26" hidden="1">
      <c r="A80">
        <v>79</v>
      </c>
      <c r="B80" t="s">
        <v>331</v>
      </c>
      <c r="C80" t="s">
        <v>134</v>
      </c>
      <c r="D80" s="13" t="b">
        <v>0</v>
      </c>
      <c r="E80">
        <v>3.6139999999999999E-2</v>
      </c>
      <c r="F80">
        <v>1.442011852</v>
      </c>
      <c r="M80">
        <v>25</v>
      </c>
      <c r="N80" t="s">
        <v>179</v>
      </c>
      <c r="W80" t="s">
        <v>332</v>
      </c>
      <c r="X80" t="s">
        <v>333</v>
      </c>
      <c r="Y80" t="s">
        <v>334</v>
      </c>
      <c r="Z80">
        <v>272.14220990000001</v>
      </c>
    </row>
    <row r="81" spans="1:26" hidden="1">
      <c r="A81">
        <v>80</v>
      </c>
      <c r="B81" t="s">
        <v>335</v>
      </c>
      <c r="C81" t="s">
        <v>134</v>
      </c>
      <c r="D81" s="13" t="b">
        <v>0</v>
      </c>
      <c r="E81">
        <v>2.5999999999999999E-3</v>
      </c>
      <c r="F81">
        <v>2.5850266519999998</v>
      </c>
      <c r="M81">
        <v>25</v>
      </c>
      <c r="N81" t="s">
        <v>179</v>
      </c>
      <c r="P81" t="s">
        <v>180</v>
      </c>
      <c r="W81" t="s">
        <v>336</v>
      </c>
      <c r="X81" t="s">
        <v>337</v>
      </c>
      <c r="Y81" t="s">
        <v>338</v>
      </c>
      <c r="Z81">
        <v>348.17351009999999</v>
      </c>
    </row>
    <row r="82" spans="1:26" hidden="1">
      <c r="A82">
        <v>81</v>
      </c>
      <c r="B82" t="s">
        <v>339</v>
      </c>
      <c r="C82" t="s">
        <v>134</v>
      </c>
      <c r="D82" s="13" t="b">
        <v>0</v>
      </c>
      <c r="E82">
        <v>1.932E-2</v>
      </c>
      <c r="F82">
        <v>1.713992878</v>
      </c>
      <c r="H82">
        <v>4.39E-7</v>
      </c>
      <c r="I82">
        <v>3.78</v>
      </c>
      <c r="M82">
        <v>25</v>
      </c>
      <c r="N82" t="s">
        <v>179</v>
      </c>
      <c r="P82" t="s">
        <v>294</v>
      </c>
      <c r="T82" t="s">
        <v>289</v>
      </c>
      <c r="W82" t="s">
        <v>340</v>
      </c>
      <c r="X82" t="s">
        <v>341</v>
      </c>
      <c r="Y82" t="s">
        <v>342</v>
      </c>
      <c r="Z82">
        <v>302.15277459999999</v>
      </c>
    </row>
    <row r="83" spans="1:26">
      <c r="A83">
        <v>82</v>
      </c>
      <c r="B83" s="2" t="s">
        <v>343</v>
      </c>
      <c r="C83" t="s">
        <v>161</v>
      </c>
      <c r="D83" s="1" t="b">
        <v>1</v>
      </c>
      <c r="E83">
        <v>6.2999999999999998E-6</v>
      </c>
      <c r="F83">
        <v>5.2006594509999999</v>
      </c>
      <c r="G83">
        <v>28.5</v>
      </c>
      <c r="H83">
        <v>5.3000000000000001E-6</v>
      </c>
      <c r="I83">
        <v>0.31</v>
      </c>
      <c r="J83">
        <v>43.47</v>
      </c>
      <c r="K83">
        <v>5.9773160839999999</v>
      </c>
      <c r="L83">
        <v>2.5356229999999999E-3</v>
      </c>
      <c r="M83">
        <v>25</v>
      </c>
      <c r="N83" t="s">
        <v>162</v>
      </c>
      <c r="O83" t="s">
        <v>163</v>
      </c>
      <c r="P83" t="s">
        <v>164</v>
      </c>
      <c r="R83" t="s">
        <v>344</v>
      </c>
      <c r="S83" t="s">
        <v>31</v>
      </c>
      <c r="U83" t="s">
        <v>31</v>
      </c>
      <c r="V83" t="s">
        <v>31</v>
      </c>
      <c r="W83" t="s">
        <v>345</v>
      </c>
      <c r="X83" t="s">
        <v>346</v>
      </c>
      <c r="Y83" t="s">
        <v>347</v>
      </c>
      <c r="Z83">
        <v>492.34846040000002</v>
      </c>
    </row>
    <row r="84" spans="1:26">
      <c r="A84">
        <v>83</v>
      </c>
      <c r="B84" t="s">
        <v>348</v>
      </c>
      <c r="C84" t="s">
        <v>54</v>
      </c>
      <c r="D84" s="1" t="b">
        <v>1</v>
      </c>
      <c r="E84">
        <v>8.7100000000000007E-3</v>
      </c>
      <c r="F84">
        <v>2.0599818449999998</v>
      </c>
      <c r="G84">
        <v>29.2</v>
      </c>
      <c r="H84">
        <v>1.9800000000000001E-6</v>
      </c>
      <c r="I84">
        <v>0.84</v>
      </c>
      <c r="J84">
        <v>42.6</v>
      </c>
      <c r="K84">
        <v>3.0684837530000002</v>
      </c>
      <c r="L84">
        <v>4.6491593999999997E-2</v>
      </c>
      <c r="M84">
        <v>25</v>
      </c>
      <c r="N84" t="s">
        <v>349</v>
      </c>
      <c r="O84" t="s">
        <v>29</v>
      </c>
      <c r="Q84" t="s">
        <v>349</v>
      </c>
      <c r="R84" t="s">
        <v>349</v>
      </c>
      <c r="S84" t="s">
        <v>349</v>
      </c>
      <c r="T84" t="s">
        <v>349</v>
      </c>
      <c r="U84" t="s">
        <v>31</v>
      </c>
      <c r="V84" t="s">
        <v>31</v>
      </c>
      <c r="X84" t="s">
        <v>350</v>
      </c>
      <c r="Y84" t="s">
        <v>351</v>
      </c>
      <c r="Z84">
        <v>393.22424160000003</v>
      </c>
    </row>
    <row r="85" spans="1:26" hidden="1">
      <c r="A85">
        <v>84</v>
      </c>
      <c r="B85" t="s">
        <v>352</v>
      </c>
      <c r="C85" t="s">
        <v>83</v>
      </c>
      <c r="D85" s="1" t="b">
        <v>0</v>
      </c>
      <c r="E85">
        <v>2.138E-2</v>
      </c>
      <c r="F85">
        <v>1.669992299</v>
      </c>
      <c r="M85">
        <v>25</v>
      </c>
      <c r="N85" t="s">
        <v>207</v>
      </c>
      <c r="X85" t="s">
        <v>353</v>
      </c>
      <c r="Y85" t="s">
        <v>354</v>
      </c>
      <c r="Z85">
        <v>392.27740360000001</v>
      </c>
    </row>
    <row r="86" spans="1:26">
      <c r="A86">
        <v>85</v>
      </c>
      <c r="B86" s="2" t="s">
        <v>355</v>
      </c>
      <c r="C86" t="s">
        <v>161</v>
      </c>
      <c r="D86" s="1" t="b">
        <v>1</v>
      </c>
      <c r="E86">
        <v>4.4999999999999998E-2</v>
      </c>
      <c r="F86">
        <v>1.346787486</v>
      </c>
      <c r="M86">
        <v>25</v>
      </c>
      <c r="N86" t="s">
        <v>162</v>
      </c>
      <c r="P86" t="s">
        <v>164</v>
      </c>
      <c r="W86" t="s">
        <v>356</v>
      </c>
      <c r="X86" t="s">
        <v>357</v>
      </c>
      <c r="Y86" t="s">
        <v>358</v>
      </c>
      <c r="Z86">
        <v>305.1838376</v>
      </c>
    </row>
    <row r="87" spans="1:26">
      <c r="A87">
        <v>86</v>
      </c>
      <c r="B87" s="2" t="s">
        <v>359</v>
      </c>
      <c r="C87" t="s">
        <v>161</v>
      </c>
      <c r="D87" s="1" t="b">
        <v>1</v>
      </c>
      <c r="E87">
        <v>7.0000000000000007E-2</v>
      </c>
      <c r="F87">
        <v>1.1549019599999999</v>
      </c>
      <c r="M87">
        <v>25</v>
      </c>
      <c r="N87" t="s">
        <v>162</v>
      </c>
      <c r="P87" t="s">
        <v>164</v>
      </c>
      <c r="W87" t="s">
        <v>360</v>
      </c>
      <c r="X87" t="s">
        <v>361</v>
      </c>
      <c r="Y87" t="s">
        <v>362</v>
      </c>
      <c r="Z87">
        <v>348.18965120000001</v>
      </c>
    </row>
    <row r="88" spans="1:26">
      <c r="A88">
        <v>87</v>
      </c>
      <c r="B88" t="s">
        <v>363</v>
      </c>
      <c r="C88" t="s">
        <v>161</v>
      </c>
      <c r="D88" s="1" t="b">
        <v>1</v>
      </c>
      <c r="E88">
        <v>6.9000000000000006E-2</v>
      </c>
      <c r="F88">
        <v>1.1611509090000001</v>
      </c>
      <c r="M88">
        <v>25</v>
      </c>
      <c r="N88" t="s">
        <v>162</v>
      </c>
      <c r="P88" t="s">
        <v>164</v>
      </c>
      <c r="W88" t="s">
        <v>364</v>
      </c>
      <c r="X88" t="s">
        <v>365</v>
      </c>
      <c r="Y88" t="s">
        <v>366</v>
      </c>
      <c r="Z88">
        <v>321.21513770000001</v>
      </c>
    </row>
    <row r="89" spans="1:26" hidden="1">
      <c r="A89">
        <v>88</v>
      </c>
      <c r="B89" t="s">
        <v>367</v>
      </c>
      <c r="C89" t="s">
        <v>311</v>
      </c>
      <c r="D89" s="1" t="b">
        <v>0</v>
      </c>
      <c r="G89">
        <v>37.799999999999997</v>
      </c>
      <c r="O89" t="s">
        <v>29</v>
      </c>
      <c r="Q89" t="s">
        <v>312</v>
      </c>
      <c r="X89" t="s">
        <v>368</v>
      </c>
      <c r="Y89" t="s">
        <v>369</v>
      </c>
      <c r="Z89">
        <v>426.23997259999999</v>
      </c>
    </row>
    <row r="90" spans="1:26" hidden="1">
      <c r="A90">
        <v>89</v>
      </c>
      <c r="B90" t="s">
        <v>370</v>
      </c>
      <c r="C90" t="s">
        <v>134</v>
      </c>
      <c r="D90" s="13" t="b">
        <v>0</v>
      </c>
      <c r="E90">
        <v>1.4549999999999999E-3</v>
      </c>
      <c r="F90">
        <v>2.8371370069999999</v>
      </c>
      <c r="G90">
        <v>20</v>
      </c>
      <c r="H90">
        <v>1.5999999999999999E-6</v>
      </c>
      <c r="I90">
        <v>1.04</v>
      </c>
      <c r="J90">
        <v>52</v>
      </c>
      <c r="K90">
        <v>4.5887455839999998</v>
      </c>
      <c r="L90">
        <v>1.0165601999999999E-2</v>
      </c>
      <c r="M90">
        <v>25</v>
      </c>
      <c r="N90" t="s">
        <v>179</v>
      </c>
      <c r="O90" t="s">
        <v>224</v>
      </c>
      <c r="P90" t="s">
        <v>224</v>
      </c>
      <c r="R90" t="s">
        <v>224</v>
      </c>
      <c r="S90" t="s">
        <v>224</v>
      </c>
      <c r="U90" t="s">
        <v>31</v>
      </c>
      <c r="V90" t="s">
        <v>31</v>
      </c>
      <c r="X90" t="s">
        <v>371</v>
      </c>
      <c r="Y90" t="s">
        <v>372</v>
      </c>
      <c r="Z90">
        <v>346.08378720000002</v>
      </c>
    </row>
    <row r="91" spans="1:26">
      <c r="A91">
        <v>90</v>
      </c>
      <c r="B91" t="s">
        <v>373</v>
      </c>
      <c r="C91" t="s">
        <v>161</v>
      </c>
      <c r="D91" s="1" t="b">
        <v>1</v>
      </c>
      <c r="E91">
        <v>8.5000000000000006E-3</v>
      </c>
      <c r="F91">
        <v>2.0705810740000001</v>
      </c>
      <c r="G91">
        <v>27</v>
      </c>
      <c r="H91">
        <v>3.1300000000000001E-6</v>
      </c>
      <c r="I91">
        <v>0.53</v>
      </c>
      <c r="J91">
        <v>44.97</v>
      </c>
      <c r="K91">
        <v>3.4696294590000001</v>
      </c>
      <c r="L91">
        <v>3.1128563000000001E-2</v>
      </c>
      <c r="M91">
        <v>25</v>
      </c>
      <c r="N91" t="s">
        <v>162</v>
      </c>
      <c r="O91" t="s">
        <v>163</v>
      </c>
      <c r="P91" t="s">
        <v>164</v>
      </c>
      <c r="S91" t="s">
        <v>31</v>
      </c>
      <c r="T91" t="s">
        <v>279</v>
      </c>
      <c r="U91" t="s">
        <v>31</v>
      </c>
      <c r="V91" t="s">
        <v>31</v>
      </c>
      <c r="W91" t="s">
        <v>374</v>
      </c>
      <c r="X91" t="s">
        <v>375</v>
      </c>
      <c r="Y91" t="s">
        <v>376</v>
      </c>
      <c r="Z91">
        <v>320.21988870000001</v>
      </c>
    </row>
    <row r="92" spans="1:26" hidden="1">
      <c r="A92">
        <v>91</v>
      </c>
      <c r="B92" t="s">
        <v>377</v>
      </c>
      <c r="C92" t="s">
        <v>134</v>
      </c>
      <c r="D92" s="13" t="b">
        <v>0</v>
      </c>
      <c r="E92">
        <v>6.3099999999999996E-3</v>
      </c>
      <c r="F92">
        <v>2.1999706410000002</v>
      </c>
      <c r="M92">
        <v>25</v>
      </c>
      <c r="N92" t="s">
        <v>179</v>
      </c>
      <c r="P92" t="s">
        <v>180</v>
      </c>
      <c r="W92" t="s">
        <v>378</v>
      </c>
      <c r="X92" t="s">
        <v>379</v>
      </c>
      <c r="Y92" t="s">
        <v>380</v>
      </c>
      <c r="Z92">
        <v>320.14220990000001</v>
      </c>
    </row>
    <row r="93" spans="1:26" hidden="1">
      <c r="A93">
        <v>92</v>
      </c>
      <c r="B93" t="s">
        <v>381</v>
      </c>
      <c r="C93" t="s">
        <v>134</v>
      </c>
      <c r="D93" s="13" t="b">
        <v>0</v>
      </c>
      <c r="E93">
        <v>3.9810000000000002E-3</v>
      </c>
      <c r="F93">
        <v>2.4000078220000001</v>
      </c>
      <c r="M93">
        <v>25</v>
      </c>
      <c r="N93" t="s">
        <v>179</v>
      </c>
      <c r="P93" t="s">
        <v>294</v>
      </c>
      <c r="W93" t="s">
        <v>382</v>
      </c>
      <c r="X93" t="s">
        <v>383</v>
      </c>
      <c r="Y93" t="s">
        <v>384</v>
      </c>
      <c r="Z93">
        <v>334.15786000000003</v>
      </c>
    </row>
    <row r="94" spans="1:26" hidden="1">
      <c r="A94">
        <v>93</v>
      </c>
      <c r="B94" t="s">
        <v>385</v>
      </c>
      <c r="C94" t="s">
        <v>134</v>
      </c>
      <c r="D94" s="13" t="b">
        <v>0</v>
      </c>
      <c r="E94">
        <v>2.8309999999999998E-2</v>
      </c>
      <c r="F94">
        <v>1.548060131</v>
      </c>
      <c r="M94">
        <v>25</v>
      </c>
      <c r="N94" t="s">
        <v>179</v>
      </c>
      <c r="W94" t="s">
        <v>386</v>
      </c>
      <c r="X94" t="s">
        <v>387</v>
      </c>
      <c r="Y94" t="s">
        <v>388</v>
      </c>
      <c r="Z94">
        <v>272.14220990000001</v>
      </c>
    </row>
    <row r="95" spans="1:26" hidden="1">
      <c r="A95">
        <v>94</v>
      </c>
      <c r="B95" t="s">
        <v>389</v>
      </c>
      <c r="C95" t="s">
        <v>134</v>
      </c>
      <c r="D95" s="13" t="b">
        <v>0</v>
      </c>
      <c r="E95">
        <v>5.012E-3</v>
      </c>
      <c r="F95">
        <v>2.2999889379999998</v>
      </c>
      <c r="M95">
        <v>25</v>
      </c>
      <c r="N95" t="s">
        <v>179</v>
      </c>
      <c r="P95" t="s">
        <v>294</v>
      </c>
      <c r="W95" t="s">
        <v>390</v>
      </c>
      <c r="X95" t="s">
        <v>391</v>
      </c>
      <c r="Y95" t="s">
        <v>392</v>
      </c>
      <c r="Z95">
        <v>348.17351009999999</v>
      </c>
    </row>
    <row r="96" spans="1:26" hidden="1">
      <c r="A96">
        <v>95</v>
      </c>
      <c r="B96" t="s">
        <v>393</v>
      </c>
      <c r="C96" t="s">
        <v>134</v>
      </c>
      <c r="D96" s="13" t="b">
        <v>0</v>
      </c>
      <c r="E96">
        <v>9.7050000000000001E-3</v>
      </c>
      <c r="F96">
        <v>2.0130044599999999</v>
      </c>
      <c r="H96">
        <v>5.5499999999999998E-7</v>
      </c>
      <c r="I96">
        <v>2.99</v>
      </c>
      <c r="M96">
        <v>25</v>
      </c>
      <c r="N96" t="s">
        <v>179</v>
      </c>
      <c r="P96" t="s">
        <v>180</v>
      </c>
      <c r="T96" t="s">
        <v>289</v>
      </c>
      <c r="W96" t="s">
        <v>394</v>
      </c>
      <c r="X96" t="s">
        <v>395</v>
      </c>
      <c r="Y96" t="s">
        <v>396</v>
      </c>
      <c r="Z96">
        <v>316.1684247</v>
      </c>
    </row>
    <row r="97" spans="1:28" hidden="1">
      <c r="A97">
        <v>96</v>
      </c>
      <c r="B97" t="s">
        <v>397</v>
      </c>
      <c r="C97" t="s">
        <v>134</v>
      </c>
      <c r="D97" s="13" t="b">
        <v>0</v>
      </c>
      <c r="E97">
        <v>2.5119999999999999E-3</v>
      </c>
      <c r="F97">
        <v>2.599980365</v>
      </c>
      <c r="M97">
        <v>25</v>
      </c>
      <c r="N97" t="s">
        <v>179</v>
      </c>
      <c r="P97" t="s">
        <v>294</v>
      </c>
      <c r="W97" t="s">
        <v>398</v>
      </c>
      <c r="X97" t="s">
        <v>399</v>
      </c>
      <c r="Y97" t="s">
        <v>400</v>
      </c>
      <c r="Z97">
        <v>376.2048102</v>
      </c>
    </row>
    <row r="98" spans="1:28" hidden="1">
      <c r="A98">
        <v>97</v>
      </c>
      <c r="B98" t="s">
        <v>401</v>
      </c>
      <c r="C98" t="s">
        <v>134</v>
      </c>
      <c r="D98" s="13" t="b">
        <v>0</v>
      </c>
      <c r="E98">
        <v>2.7989999999999998E-3</v>
      </c>
      <c r="F98">
        <v>2.552997102</v>
      </c>
      <c r="M98">
        <v>25</v>
      </c>
      <c r="N98" t="s">
        <v>179</v>
      </c>
      <c r="P98" t="s">
        <v>180</v>
      </c>
      <c r="W98" t="s">
        <v>402</v>
      </c>
      <c r="X98" t="s">
        <v>403</v>
      </c>
      <c r="Y98" t="s">
        <v>404</v>
      </c>
      <c r="Z98">
        <v>344.19972480000001</v>
      </c>
    </row>
    <row r="99" spans="1:28" hidden="1">
      <c r="A99">
        <v>98</v>
      </c>
      <c r="B99" t="s">
        <v>405</v>
      </c>
      <c r="C99" t="s">
        <v>134</v>
      </c>
      <c r="D99" s="13" t="b">
        <v>0</v>
      </c>
      <c r="E99">
        <v>1.722E-3</v>
      </c>
      <c r="F99">
        <v>2.7639668529999999</v>
      </c>
      <c r="M99">
        <v>25</v>
      </c>
      <c r="N99" t="s">
        <v>179</v>
      </c>
      <c r="P99" t="s">
        <v>180</v>
      </c>
      <c r="W99" t="s">
        <v>406</v>
      </c>
      <c r="X99" t="s">
        <v>407</v>
      </c>
      <c r="Y99" t="s">
        <v>408</v>
      </c>
      <c r="Z99">
        <v>330.18407480000002</v>
      </c>
    </row>
    <row r="100" spans="1:28" hidden="1">
      <c r="A100">
        <v>99</v>
      </c>
      <c r="B100" t="s">
        <v>409</v>
      </c>
      <c r="C100" t="s">
        <v>134</v>
      </c>
      <c r="D100" s="13" t="b">
        <v>0</v>
      </c>
      <c r="E100">
        <v>7.1780000000000004E-3</v>
      </c>
      <c r="F100">
        <v>2.1439965459999999</v>
      </c>
      <c r="M100">
        <v>25</v>
      </c>
      <c r="N100" t="s">
        <v>179</v>
      </c>
      <c r="W100" t="s">
        <v>410</v>
      </c>
      <c r="X100" t="s">
        <v>411</v>
      </c>
      <c r="Y100" t="s">
        <v>412</v>
      </c>
      <c r="Z100">
        <v>314.18916009999998</v>
      </c>
    </row>
    <row r="101" spans="1:28" hidden="1">
      <c r="A101">
        <v>100</v>
      </c>
      <c r="B101" t="s">
        <v>413</v>
      </c>
      <c r="C101" t="s">
        <v>134</v>
      </c>
      <c r="D101" s="13" t="b">
        <v>0</v>
      </c>
      <c r="E101">
        <v>7.1779999999999997E-2</v>
      </c>
      <c r="F101">
        <v>1.1439965459999999</v>
      </c>
      <c r="M101">
        <v>25</v>
      </c>
      <c r="N101" t="s">
        <v>179</v>
      </c>
      <c r="X101" t="s">
        <v>414</v>
      </c>
      <c r="Y101" t="s">
        <v>415</v>
      </c>
      <c r="Z101">
        <v>276.1007391</v>
      </c>
    </row>
    <row r="102" spans="1:28" hidden="1">
      <c r="A102">
        <v>101</v>
      </c>
      <c r="B102" t="s">
        <v>416</v>
      </c>
      <c r="C102" t="s">
        <v>134</v>
      </c>
      <c r="D102" s="13" t="b">
        <v>0</v>
      </c>
      <c r="E102">
        <v>6.9980000000000004E-5</v>
      </c>
      <c r="F102">
        <v>4.1550260620000001</v>
      </c>
      <c r="M102">
        <v>25</v>
      </c>
      <c r="N102" t="s">
        <v>179</v>
      </c>
      <c r="P102" t="s">
        <v>224</v>
      </c>
      <c r="X102" t="s">
        <v>417</v>
      </c>
      <c r="Y102" t="s">
        <v>418</v>
      </c>
      <c r="Z102">
        <v>418.04610000000002</v>
      </c>
    </row>
    <row r="103" spans="1:28">
      <c r="A103">
        <v>102</v>
      </c>
      <c r="B103" t="s">
        <v>419</v>
      </c>
      <c r="C103" t="s">
        <v>161</v>
      </c>
      <c r="D103" s="1" t="b">
        <v>1</v>
      </c>
      <c r="E103">
        <v>4.8999999999999998E-3</v>
      </c>
      <c r="F103">
        <v>2.3098039199999998</v>
      </c>
      <c r="G103">
        <v>26.7</v>
      </c>
      <c r="H103">
        <v>5.2000000000000002E-6</v>
      </c>
      <c r="I103">
        <v>0.32</v>
      </c>
      <c r="J103">
        <v>45.27</v>
      </c>
      <c r="K103">
        <v>3.1620288630000002</v>
      </c>
      <c r="L103">
        <v>4.2339752000000001E-2</v>
      </c>
      <c r="M103">
        <v>25</v>
      </c>
      <c r="N103" t="s">
        <v>162</v>
      </c>
      <c r="O103" t="s">
        <v>163</v>
      </c>
      <c r="P103" t="s">
        <v>164</v>
      </c>
      <c r="R103" t="s">
        <v>420</v>
      </c>
      <c r="S103" t="s">
        <v>31</v>
      </c>
      <c r="T103" t="s">
        <v>420</v>
      </c>
      <c r="U103" t="s">
        <v>31</v>
      </c>
      <c r="V103" t="s">
        <v>31</v>
      </c>
      <c r="W103" t="s">
        <v>421</v>
      </c>
      <c r="X103" t="s">
        <v>422</v>
      </c>
      <c r="Y103" t="s">
        <v>423</v>
      </c>
      <c r="Z103">
        <v>160.14632990000001</v>
      </c>
    </row>
    <row r="104" spans="1:28" hidden="1">
      <c r="A104">
        <v>103</v>
      </c>
      <c r="B104" t="s">
        <v>424</v>
      </c>
      <c r="C104" t="s">
        <v>134</v>
      </c>
      <c r="D104" s="13" t="b">
        <v>0</v>
      </c>
      <c r="E104">
        <v>8.6699999999999999E-2</v>
      </c>
      <c r="F104">
        <v>1.061980903</v>
      </c>
      <c r="M104">
        <v>25</v>
      </c>
      <c r="N104" t="s">
        <v>179</v>
      </c>
      <c r="P104" t="s">
        <v>180</v>
      </c>
      <c r="X104" t="s">
        <v>425</v>
      </c>
      <c r="Y104" t="s">
        <v>426</v>
      </c>
      <c r="Z104">
        <v>441.12807600000002</v>
      </c>
    </row>
    <row r="105" spans="1:28">
      <c r="A105">
        <v>104</v>
      </c>
      <c r="B105" s="2" t="s">
        <v>427</v>
      </c>
      <c r="C105" t="s">
        <v>83</v>
      </c>
      <c r="D105" s="1" t="b">
        <v>1</v>
      </c>
      <c r="E105">
        <v>4.8999999999999998E-3</v>
      </c>
      <c r="F105">
        <v>2.3098039199999998</v>
      </c>
      <c r="G105" s="2">
        <v>27</v>
      </c>
      <c r="H105" s="3">
        <v>5.2000000000000002E-6</v>
      </c>
      <c r="I105" s="2">
        <f>32/100</f>
        <v>0.32</v>
      </c>
      <c r="J105" s="2">
        <v>45</v>
      </c>
      <c r="K105" s="2">
        <v>3.17</v>
      </c>
      <c r="L105" s="2">
        <f>10^(-K105)</f>
        <v>6.7608297539198121E-4</v>
      </c>
      <c r="M105">
        <v>25</v>
      </c>
      <c r="N105" t="s">
        <v>135</v>
      </c>
      <c r="O105" s="2" t="s">
        <v>420</v>
      </c>
      <c r="P105" s="2" t="s">
        <v>420</v>
      </c>
      <c r="Q105" s="2"/>
      <c r="R105" s="2" t="s">
        <v>420</v>
      </c>
      <c r="S105" s="2"/>
      <c r="T105" s="2" t="s">
        <v>420</v>
      </c>
      <c r="X105" t="s">
        <v>428</v>
      </c>
      <c r="Y105" t="s">
        <v>429</v>
      </c>
      <c r="Z105">
        <v>262.21440940000002</v>
      </c>
    </row>
    <row r="106" spans="1:28">
      <c r="A106">
        <v>105</v>
      </c>
      <c r="B106" s="2" t="s">
        <v>430</v>
      </c>
      <c r="C106" t="s">
        <v>83</v>
      </c>
      <c r="D106" s="1" t="b">
        <v>1</v>
      </c>
      <c r="E106">
        <v>9.1999999999999998E-3</v>
      </c>
      <c r="F106">
        <v>2.036212173</v>
      </c>
      <c r="G106" s="2">
        <f>72-J106</f>
        <v>33.200000000000003</v>
      </c>
      <c r="H106" s="3">
        <v>1.5E-6</v>
      </c>
      <c r="I106" s="2">
        <v>1.1100000000000001</v>
      </c>
      <c r="J106" s="2">
        <v>38.799999999999997</v>
      </c>
      <c r="K106" s="2">
        <v>3.14</v>
      </c>
      <c r="L106" s="2">
        <f>10^(-K106)</f>
        <v>7.2443596007498929E-4</v>
      </c>
      <c r="M106">
        <v>25</v>
      </c>
      <c r="N106" t="s">
        <v>135</v>
      </c>
      <c r="O106" s="2" t="s">
        <v>431</v>
      </c>
      <c r="P106" s="2" t="s">
        <v>431</v>
      </c>
      <c r="R106" s="2" t="s">
        <v>431</v>
      </c>
      <c r="S106" s="2" t="s">
        <v>431</v>
      </c>
      <c r="T106" s="2" t="s">
        <v>431</v>
      </c>
      <c r="U106" s="2" t="s">
        <v>431</v>
      </c>
      <c r="V106" s="2" t="s">
        <v>31</v>
      </c>
      <c r="X106" t="s">
        <v>432</v>
      </c>
      <c r="Y106" t="s">
        <v>433</v>
      </c>
      <c r="Z106">
        <v>350.26683889999998</v>
      </c>
    </row>
    <row r="107" spans="1:28">
      <c r="A107">
        <v>106</v>
      </c>
      <c r="B107" s="2" t="s">
        <v>434</v>
      </c>
      <c r="C107" t="s">
        <v>83</v>
      </c>
      <c r="D107" s="1" t="b">
        <v>1</v>
      </c>
      <c r="E107">
        <v>9.9000000000000008E-3</v>
      </c>
      <c r="F107">
        <v>2.0043648049999998</v>
      </c>
      <c r="G107" s="2"/>
      <c r="H107" s="2"/>
      <c r="I107" s="2"/>
      <c r="J107" s="2"/>
      <c r="K107" s="2"/>
      <c r="L107" s="2"/>
      <c r="M107">
        <v>25</v>
      </c>
      <c r="N107" t="s">
        <v>135</v>
      </c>
      <c r="P107" s="2" t="s">
        <v>435</v>
      </c>
      <c r="X107" t="s">
        <v>436</v>
      </c>
      <c r="Y107" t="s">
        <v>437</v>
      </c>
      <c r="Z107">
        <v>394.29305369999997</v>
      </c>
    </row>
    <row r="108" spans="1:28" hidden="1">
      <c r="A108">
        <v>107</v>
      </c>
      <c r="B108" t="s">
        <v>438</v>
      </c>
      <c r="C108" t="s">
        <v>134</v>
      </c>
      <c r="D108" s="13" t="b">
        <v>0</v>
      </c>
      <c r="E108">
        <v>5.0000000000000001E-4</v>
      </c>
      <c r="F108">
        <v>3.301029996</v>
      </c>
      <c r="M108">
        <v>25</v>
      </c>
      <c r="N108" t="s">
        <v>179</v>
      </c>
      <c r="P108" t="s">
        <v>224</v>
      </c>
      <c r="X108" t="s">
        <v>439</v>
      </c>
      <c r="Y108" t="s">
        <v>440</v>
      </c>
      <c r="Z108">
        <v>382.06494359999999</v>
      </c>
    </row>
    <row r="109" spans="1:28" hidden="1">
      <c r="A109">
        <v>108</v>
      </c>
      <c r="B109" t="s">
        <v>441</v>
      </c>
      <c r="C109" t="s">
        <v>161</v>
      </c>
      <c r="D109" s="1" t="b">
        <v>0</v>
      </c>
      <c r="E109">
        <v>5.1000000000000003E-6</v>
      </c>
      <c r="F109">
        <v>5.2924298240000001</v>
      </c>
      <c r="M109">
        <v>25</v>
      </c>
      <c r="N109" t="s">
        <v>89</v>
      </c>
      <c r="P109" t="s">
        <v>103</v>
      </c>
      <c r="W109" t="s">
        <v>442</v>
      </c>
      <c r="X109" t="s">
        <v>443</v>
      </c>
      <c r="Y109" t="s">
        <v>444</v>
      </c>
      <c r="Z109">
        <v>622.35644179999997</v>
      </c>
    </row>
    <row r="110" spans="1:28">
      <c r="A110">
        <v>109</v>
      </c>
      <c r="B110" t="s">
        <v>445</v>
      </c>
      <c r="C110" t="s">
        <v>161</v>
      </c>
      <c r="D110" s="1" t="b">
        <v>1</v>
      </c>
      <c r="E110" s="2">
        <v>3.2199999999999997E-5</v>
      </c>
      <c r="F110" s="2">
        <f>-LOG10(E110)</f>
        <v>4.4921441283041688</v>
      </c>
      <c r="G110">
        <v>34.799999999999997</v>
      </c>
      <c r="H110">
        <v>3.89E-6</v>
      </c>
      <c r="I110">
        <v>0.43</v>
      </c>
      <c r="J110">
        <v>38</v>
      </c>
      <c r="K110">
        <v>5.4</v>
      </c>
      <c r="L110">
        <v>3.98E-6</v>
      </c>
      <c r="M110">
        <v>20</v>
      </c>
      <c r="N110" t="s">
        <v>162</v>
      </c>
      <c r="O110" t="s">
        <v>163</v>
      </c>
      <c r="P110" t="s">
        <v>164</v>
      </c>
      <c r="R110" t="s">
        <v>446</v>
      </c>
      <c r="S110" t="s">
        <v>446</v>
      </c>
      <c r="T110" t="s">
        <v>446</v>
      </c>
      <c r="U110" t="s">
        <v>446</v>
      </c>
      <c r="W110" t="s">
        <v>447</v>
      </c>
      <c r="X110" t="s">
        <v>448</v>
      </c>
      <c r="Y110" t="s">
        <v>449</v>
      </c>
      <c r="Z110">
        <v>459.35598829999998</v>
      </c>
    </row>
    <row r="111" spans="1:28">
      <c r="A111">
        <v>110</v>
      </c>
      <c r="B111" t="s">
        <v>450</v>
      </c>
      <c r="C111" t="s">
        <v>161</v>
      </c>
      <c r="D111" s="1" t="b">
        <v>1</v>
      </c>
      <c r="E111">
        <v>2.0000000000000002E-5</v>
      </c>
      <c r="F111">
        <v>4.6989700040000004</v>
      </c>
      <c r="G111" s="2">
        <v>37.799999999999997</v>
      </c>
      <c r="M111">
        <v>25</v>
      </c>
      <c r="N111" t="s">
        <v>162</v>
      </c>
      <c r="O111" s="2" t="s">
        <v>451</v>
      </c>
      <c r="P111" t="s">
        <v>164</v>
      </c>
      <c r="W111" t="s">
        <v>452</v>
      </c>
      <c r="X111" t="s">
        <v>453</v>
      </c>
      <c r="Y111" t="s">
        <v>454</v>
      </c>
      <c r="Z111">
        <v>592.38226259999999</v>
      </c>
      <c r="AB111" t="s">
        <v>71</v>
      </c>
    </row>
    <row r="112" spans="1:28">
      <c r="A112">
        <v>111</v>
      </c>
      <c r="B112" s="2" t="s">
        <v>455</v>
      </c>
      <c r="C112" t="s">
        <v>161</v>
      </c>
      <c r="D112" s="1" t="b">
        <v>1</v>
      </c>
      <c r="E112">
        <v>9.0000000000000006E-5</v>
      </c>
      <c r="F112">
        <v>4.0457574909999998</v>
      </c>
      <c r="G112" s="2">
        <v>35.5</v>
      </c>
      <c r="M112">
        <v>25</v>
      </c>
      <c r="N112" t="s">
        <v>162</v>
      </c>
      <c r="O112" s="2" t="s">
        <v>451</v>
      </c>
      <c r="P112" t="s">
        <v>164</v>
      </c>
      <c r="W112" t="s">
        <v>456</v>
      </c>
      <c r="X112" t="s">
        <v>457</v>
      </c>
      <c r="Y112" t="s">
        <v>458</v>
      </c>
      <c r="Z112">
        <v>635.42446180000002</v>
      </c>
      <c r="AB112" t="s">
        <v>71</v>
      </c>
    </row>
    <row r="113" spans="1:28">
      <c r="A113">
        <v>112</v>
      </c>
      <c r="B113" t="s">
        <v>459</v>
      </c>
      <c r="C113" t="s">
        <v>161</v>
      </c>
      <c r="D113" s="1" t="b">
        <v>1</v>
      </c>
      <c r="E113">
        <v>4.1999999999999998E-5</v>
      </c>
      <c r="F113">
        <v>4.3767507099999996</v>
      </c>
      <c r="G113" s="2">
        <v>42.5</v>
      </c>
      <c r="M113">
        <v>25</v>
      </c>
      <c r="N113" t="s">
        <v>162</v>
      </c>
      <c r="O113" s="2" t="s">
        <v>451</v>
      </c>
      <c r="P113" t="s">
        <v>164</v>
      </c>
      <c r="W113" t="s">
        <v>460</v>
      </c>
      <c r="X113" t="s">
        <v>461</v>
      </c>
      <c r="Y113" t="s">
        <v>462</v>
      </c>
      <c r="Z113">
        <v>754.43508599999996</v>
      </c>
      <c r="AB113" t="s">
        <v>71</v>
      </c>
    </row>
    <row r="114" spans="1:28" hidden="1">
      <c r="A114">
        <v>113</v>
      </c>
      <c r="B114" t="s">
        <v>463</v>
      </c>
      <c r="C114" t="s">
        <v>28</v>
      </c>
      <c r="D114" s="1" t="b">
        <v>0</v>
      </c>
      <c r="G114">
        <v>27.4</v>
      </c>
      <c r="O114" t="s">
        <v>29</v>
      </c>
      <c r="Q114" t="s">
        <v>464</v>
      </c>
      <c r="X114" t="s">
        <v>465</v>
      </c>
      <c r="Y114" t="s">
        <v>466</v>
      </c>
      <c r="Z114">
        <v>750.42466850000005</v>
      </c>
    </row>
    <row r="115" spans="1:28" hidden="1">
      <c r="A115">
        <v>114</v>
      </c>
      <c r="B115" t="s">
        <v>467</v>
      </c>
      <c r="C115" t="s">
        <v>28</v>
      </c>
      <c r="D115" s="1" t="b">
        <v>0</v>
      </c>
      <c r="E115">
        <v>1.5799999999999999E-4</v>
      </c>
      <c r="F115">
        <v>3.801342913</v>
      </c>
      <c r="G115">
        <v>35.67</v>
      </c>
      <c r="H115">
        <v>1.9199999999999998E-6</v>
      </c>
      <c r="I115">
        <v>0.86</v>
      </c>
      <c r="J115">
        <v>36.33</v>
      </c>
      <c r="K115">
        <v>4.2979361090000001</v>
      </c>
      <c r="L115">
        <v>1.3596591999999999E-2</v>
      </c>
      <c r="M115">
        <v>25</v>
      </c>
      <c r="N115" t="s">
        <v>468</v>
      </c>
      <c r="Q115" t="s">
        <v>468</v>
      </c>
      <c r="R115" t="s">
        <v>468</v>
      </c>
      <c r="S115" t="s">
        <v>468</v>
      </c>
      <c r="U115" t="s">
        <v>31</v>
      </c>
      <c r="V115" t="s">
        <v>31</v>
      </c>
      <c r="X115" t="s">
        <v>469</v>
      </c>
      <c r="Y115" t="s">
        <v>470</v>
      </c>
      <c r="Z115">
        <v>944.60565259999998</v>
      </c>
    </row>
    <row r="116" spans="1:28" hidden="1">
      <c r="A116">
        <v>115</v>
      </c>
      <c r="B116" t="s">
        <v>471</v>
      </c>
      <c r="C116" t="s">
        <v>28</v>
      </c>
      <c r="D116" s="1" t="b">
        <v>0</v>
      </c>
      <c r="E116">
        <v>2.9100000000000001E-6</v>
      </c>
      <c r="F116">
        <v>5.5361070110000004</v>
      </c>
      <c r="G116">
        <v>37.229999999999997</v>
      </c>
      <c r="H116">
        <v>1.64E-6</v>
      </c>
      <c r="I116">
        <v>1.01</v>
      </c>
      <c r="J116">
        <v>34.770000000000003</v>
      </c>
      <c r="K116">
        <v>6.0619456019999998</v>
      </c>
      <c r="L116">
        <v>2.3298630000000002E-3</v>
      </c>
      <c r="M116">
        <v>25</v>
      </c>
      <c r="N116" t="s">
        <v>468</v>
      </c>
      <c r="Q116" t="s">
        <v>468</v>
      </c>
      <c r="R116" t="s">
        <v>468</v>
      </c>
      <c r="S116" t="s">
        <v>468</v>
      </c>
      <c r="U116" t="s">
        <v>31</v>
      </c>
      <c r="V116" t="s">
        <v>31</v>
      </c>
      <c r="X116" t="s">
        <v>472</v>
      </c>
      <c r="Y116" t="s">
        <v>473</v>
      </c>
      <c r="Z116">
        <v>856.70668369999999</v>
      </c>
    </row>
    <row r="117" spans="1:28">
      <c r="A117">
        <v>116</v>
      </c>
      <c r="B117" t="s">
        <v>474</v>
      </c>
      <c r="C117" t="s">
        <v>161</v>
      </c>
      <c r="D117" s="1" t="b">
        <v>1</v>
      </c>
      <c r="E117">
        <v>2.1000000000000001E-2</v>
      </c>
      <c r="F117">
        <v>1.677780705</v>
      </c>
      <c r="M117">
        <v>25</v>
      </c>
      <c r="N117" t="s">
        <v>162</v>
      </c>
      <c r="P117" t="s">
        <v>164</v>
      </c>
      <c r="W117" t="s">
        <v>475</v>
      </c>
      <c r="X117" t="s">
        <v>476</v>
      </c>
      <c r="Y117" t="s">
        <v>477</v>
      </c>
      <c r="Z117">
        <v>335.23078779999997</v>
      </c>
    </row>
    <row r="118" spans="1:28" hidden="1">
      <c r="A118">
        <v>117</v>
      </c>
      <c r="B118" t="s">
        <v>478</v>
      </c>
      <c r="C118" t="s">
        <v>28</v>
      </c>
      <c r="D118" s="1" t="b">
        <v>0</v>
      </c>
      <c r="E118">
        <v>5.4100000000000003E-4</v>
      </c>
      <c r="F118">
        <v>3.2668027350000002</v>
      </c>
      <c r="G118">
        <v>32.299999999999997</v>
      </c>
      <c r="H118">
        <v>1.53E-6</v>
      </c>
      <c r="I118">
        <v>1.0900000000000001</v>
      </c>
      <c r="J118">
        <v>39.700000000000003</v>
      </c>
      <c r="K118">
        <v>3.8</v>
      </c>
      <c r="L118">
        <v>1.5799999999999999E-4</v>
      </c>
      <c r="M118">
        <v>25</v>
      </c>
      <c r="N118" t="s">
        <v>479</v>
      </c>
      <c r="O118" t="s">
        <v>29</v>
      </c>
      <c r="Q118" t="s">
        <v>479</v>
      </c>
      <c r="R118" t="s">
        <v>479</v>
      </c>
      <c r="T118" t="s">
        <v>479</v>
      </c>
      <c r="U118" t="s">
        <v>479</v>
      </c>
      <c r="V118" t="s">
        <v>479</v>
      </c>
      <c r="W118" t="s">
        <v>480</v>
      </c>
      <c r="X118" t="s">
        <v>481</v>
      </c>
      <c r="Y118" t="s">
        <v>482</v>
      </c>
      <c r="Z118">
        <v>612.45119729999999</v>
      </c>
    </row>
    <row r="119" spans="1:28" hidden="1">
      <c r="A119">
        <v>118</v>
      </c>
      <c r="B119" t="s">
        <v>483</v>
      </c>
      <c r="C119" t="s">
        <v>28</v>
      </c>
      <c r="D119" s="1" t="b">
        <v>0</v>
      </c>
      <c r="E119">
        <v>3.5400000000000002E-3</v>
      </c>
      <c r="F119">
        <v>2.4509967380000002</v>
      </c>
      <c r="M119">
        <v>25</v>
      </c>
      <c r="N119" t="s">
        <v>484</v>
      </c>
      <c r="X119" t="s">
        <v>485</v>
      </c>
      <c r="Y119" t="s">
        <v>486</v>
      </c>
      <c r="Z119">
        <v>600.26135120000004</v>
      </c>
    </row>
    <row r="120" spans="1:28" hidden="1">
      <c r="A120">
        <v>119</v>
      </c>
      <c r="B120" t="s">
        <v>487</v>
      </c>
      <c r="C120" t="s">
        <v>311</v>
      </c>
      <c r="D120" s="1" t="b">
        <v>0</v>
      </c>
      <c r="G120">
        <v>37.299999999999997</v>
      </c>
      <c r="O120" t="s">
        <v>29</v>
      </c>
      <c r="Q120" t="s">
        <v>312</v>
      </c>
      <c r="X120" t="s">
        <v>488</v>
      </c>
      <c r="Y120" t="s">
        <v>489</v>
      </c>
      <c r="Z120">
        <v>440.25562259999998</v>
      </c>
    </row>
    <row r="121" spans="1:28" hidden="1">
      <c r="A121">
        <v>120</v>
      </c>
      <c r="B121" t="s">
        <v>490</v>
      </c>
      <c r="C121" t="s">
        <v>134</v>
      </c>
      <c r="D121" s="13" t="b">
        <v>0</v>
      </c>
      <c r="E121">
        <v>7.3959999999999998E-4</v>
      </c>
      <c r="F121">
        <v>3.1310030979999999</v>
      </c>
      <c r="M121">
        <v>25</v>
      </c>
      <c r="N121" t="s">
        <v>179</v>
      </c>
      <c r="X121" t="s">
        <v>491</v>
      </c>
      <c r="Y121" t="s">
        <v>492</v>
      </c>
      <c r="Z121">
        <v>458.23141889999999</v>
      </c>
    </row>
    <row r="122" spans="1:28" hidden="1">
      <c r="A122">
        <v>121</v>
      </c>
      <c r="B122" t="s">
        <v>493</v>
      </c>
      <c r="C122" t="s">
        <v>28</v>
      </c>
      <c r="D122" s="1" t="b">
        <v>0</v>
      </c>
      <c r="G122">
        <v>34</v>
      </c>
      <c r="O122" t="s">
        <v>29</v>
      </c>
      <c r="Q122" t="s">
        <v>494</v>
      </c>
      <c r="X122" t="s">
        <v>495</v>
      </c>
      <c r="Y122" t="s">
        <v>496</v>
      </c>
      <c r="Z122">
        <v>698.51312889999997</v>
      </c>
    </row>
    <row r="123" spans="1:28" hidden="1">
      <c r="A123">
        <v>122</v>
      </c>
      <c r="B123" t="s">
        <v>497</v>
      </c>
      <c r="C123" t="s">
        <v>134</v>
      </c>
      <c r="D123" s="13" t="b">
        <v>0</v>
      </c>
      <c r="E123">
        <v>0.39</v>
      </c>
      <c r="F123">
        <v>0.40893539299999998</v>
      </c>
      <c r="M123">
        <v>25</v>
      </c>
      <c r="N123" t="s">
        <v>179</v>
      </c>
      <c r="P123" t="s">
        <v>498</v>
      </c>
      <c r="X123" t="s">
        <v>499</v>
      </c>
      <c r="Y123" t="s">
        <v>500</v>
      </c>
      <c r="Z123">
        <v>196.08656149999999</v>
      </c>
    </row>
    <row r="124" spans="1:28">
      <c r="A124">
        <v>123</v>
      </c>
      <c r="B124" s="2" t="s">
        <v>501</v>
      </c>
      <c r="C124" t="s">
        <v>311</v>
      </c>
      <c r="D124" s="1" t="b">
        <v>1</v>
      </c>
      <c r="E124">
        <v>9.7000000000000003E-2</v>
      </c>
      <c r="F124">
        <v>1.013228266</v>
      </c>
      <c r="G124" s="2"/>
      <c r="H124" s="3">
        <v>2.7499999999999999E-6</v>
      </c>
      <c r="I124" s="2">
        <f>60/100</f>
        <v>0.6</v>
      </c>
      <c r="J124" s="2"/>
      <c r="K124" s="2"/>
      <c r="L124" s="2"/>
      <c r="M124">
        <v>27</v>
      </c>
      <c r="N124" t="s">
        <v>135</v>
      </c>
      <c r="P124" s="2" t="s">
        <v>502</v>
      </c>
      <c r="R124" s="2" t="s">
        <v>502</v>
      </c>
      <c r="T124" s="2" t="s">
        <v>502</v>
      </c>
      <c r="W124" t="s">
        <v>503</v>
      </c>
      <c r="X124" t="s">
        <v>504</v>
      </c>
      <c r="Y124" t="s">
        <v>505</v>
      </c>
      <c r="Z124">
        <v>229.2041791</v>
      </c>
    </row>
    <row r="125" spans="1:28" hidden="1">
      <c r="A125">
        <v>124</v>
      </c>
      <c r="B125" t="s">
        <v>506</v>
      </c>
      <c r="C125" t="s">
        <v>134</v>
      </c>
      <c r="D125" s="13" t="b">
        <v>0</v>
      </c>
      <c r="E125">
        <v>4.6989999999999997E-2</v>
      </c>
      <c r="F125">
        <v>1.3279945550000001</v>
      </c>
      <c r="M125">
        <v>25</v>
      </c>
      <c r="N125" t="s">
        <v>179</v>
      </c>
      <c r="P125" t="s">
        <v>180</v>
      </c>
      <c r="W125" t="s">
        <v>507</v>
      </c>
      <c r="X125" t="s">
        <v>508</v>
      </c>
      <c r="Y125" t="s">
        <v>509</v>
      </c>
      <c r="Z125">
        <v>260.10582440000002</v>
      </c>
    </row>
    <row r="126" spans="1:28">
      <c r="A126">
        <v>125</v>
      </c>
      <c r="B126" t="s">
        <v>510</v>
      </c>
      <c r="C126" t="s">
        <v>161</v>
      </c>
      <c r="D126" s="1" t="b">
        <v>1</v>
      </c>
      <c r="E126">
        <v>4.4999999999999997E-3</v>
      </c>
      <c r="F126">
        <v>2.3467874860000002</v>
      </c>
      <c r="G126">
        <v>28</v>
      </c>
      <c r="H126">
        <v>3.2600000000000001E-6</v>
      </c>
      <c r="I126">
        <v>0.51</v>
      </c>
      <c r="J126">
        <v>43.97</v>
      </c>
      <c r="K126">
        <v>3.6363152740000002</v>
      </c>
      <c r="L126">
        <v>2.6349254999999999E-2</v>
      </c>
      <c r="M126">
        <v>25</v>
      </c>
      <c r="N126" t="s">
        <v>162</v>
      </c>
      <c r="O126" t="s">
        <v>163</v>
      </c>
      <c r="P126" t="s">
        <v>164</v>
      </c>
      <c r="S126" t="s">
        <v>31</v>
      </c>
      <c r="T126" t="s">
        <v>279</v>
      </c>
      <c r="U126" t="s">
        <v>31</v>
      </c>
      <c r="V126" t="s">
        <v>31</v>
      </c>
      <c r="W126" t="s">
        <v>511</v>
      </c>
      <c r="X126" t="s">
        <v>512</v>
      </c>
      <c r="Y126" t="s">
        <v>513</v>
      </c>
      <c r="Z126">
        <v>320.21988870000001</v>
      </c>
    </row>
    <row r="127" spans="1:28" hidden="1">
      <c r="A127">
        <v>126</v>
      </c>
      <c r="B127" t="s">
        <v>514</v>
      </c>
      <c r="C127" t="s">
        <v>134</v>
      </c>
      <c r="D127" s="13" t="b">
        <v>0</v>
      </c>
      <c r="E127">
        <v>4.9769999999999997E-3</v>
      </c>
      <c r="F127">
        <v>2.3030323589999999</v>
      </c>
      <c r="M127">
        <v>25</v>
      </c>
      <c r="N127" t="s">
        <v>179</v>
      </c>
      <c r="P127" t="s">
        <v>180</v>
      </c>
      <c r="W127" t="s">
        <v>515</v>
      </c>
      <c r="X127" t="s">
        <v>516</v>
      </c>
      <c r="Y127" t="s">
        <v>517</v>
      </c>
      <c r="Z127">
        <v>320.14220990000001</v>
      </c>
    </row>
    <row r="128" spans="1:28" hidden="1">
      <c r="A128">
        <v>127</v>
      </c>
      <c r="B128" t="s">
        <v>518</v>
      </c>
      <c r="C128" t="s">
        <v>134</v>
      </c>
      <c r="D128" s="13" t="b">
        <v>0</v>
      </c>
      <c r="E128">
        <v>2.8910000000000002E-2</v>
      </c>
      <c r="F128">
        <v>1.538951908</v>
      </c>
      <c r="H128">
        <v>6.7000000000000004E-7</v>
      </c>
      <c r="I128">
        <v>2.48</v>
      </c>
      <c r="M128">
        <v>25</v>
      </c>
      <c r="N128" t="s">
        <v>179</v>
      </c>
      <c r="P128" t="s">
        <v>288</v>
      </c>
      <c r="T128" t="s">
        <v>289</v>
      </c>
      <c r="W128" t="s">
        <v>519</v>
      </c>
      <c r="X128" t="s">
        <v>520</v>
      </c>
      <c r="Y128" t="s">
        <v>521</v>
      </c>
      <c r="Z128">
        <v>274.12147449999998</v>
      </c>
    </row>
    <row r="129" spans="1:26" hidden="1">
      <c r="A129">
        <v>128</v>
      </c>
      <c r="B129" t="s">
        <v>522</v>
      </c>
      <c r="C129" t="s">
        <v>134</v>
      </c>
      <c r="D129" s="13" t="b">
        <v>0</v>
      </c>
      <c r="E129">
        <v>3.1619999999999999E-3</v>
      </c>
      <c r="F129">
        <v>2.500038134</v>
      </c>
      <c r="M129">
        <v>25</v>
      </c>
      <c r="N129" t="s">
        <v>179</v>
      </c>
      <c r="P129" t="s">
        <v>294</v>
      </c>
      <c r="W129" t="s">
        <v>523</v>
      </c>
      <c r="X129" t="s">
        <v>524</v>
      </c>
      <c r="Y129" t="s">
        <v>525</v>
      </c>
      <c r="Z129">
        <v>334.15786000000003</v>
      </c>
    </row>
    <row r="130" spans="1:26" hidden="1">
      <c r="A130">
        <v>129</v>
      </c>
      <c r="B130" t="s">
        <v>526</v>
      </c>
      <c r="C130" t="s">
        <v>134</v>
      </c>
      <c r="D130" s="13" t="b">
        <v>0</v>
      </c>
      <c r="E130">
        <v>2.317E-2</v>
      </c>
      <c r="F130">
        <v>1.635073966</v>
      </c>
      <c r="M130">
        <v>25</v>
      </c>
      <c r="N130" t="s">
        <v>179</v>
      </c>
      <c r="W130" t="s">
        <v>527</v>
      </c>
      <c r="X130" t="s">
        <v>528</v>
      </c>
      <c r="Y130" t="s">
        <v>529</v>
      </c>
      <c r="Z130">
        <v>272.14220990000001</v>
      </c>
    </row>
    <row r="131" spans="1:26" hidden="1">
      <c r="A131">
        <v>130</v>
      </c>
      <c r="B131" t="s">
        <v>530</v>
      </c>
      <c r="C131" t="s">
        <v>134</v>
      </c>
      <c r="D131" s="13" t="b">
        <v>0</v>
      </c>
      <c r="E131">
        <v>1.9009999999999999E-3</v>
      </c>
      <c r="F131">
        <v>2.721017883</v>
      </c>
      <c r="M131">
        <v>25</v>
      </c>
      <c r="N131" t="s">
        <v>179</v>
      </c>
      <c r="P131" t="s">
        <v>180</v>
      </c>
      <c r="W131" t="s">
        <v>531</v>
      </c>
      <c r="X131" t="s">
        <v>532</v>
      </c>
      <c r="Y131" t="s">
        <v>533</v>
      </c>
      <c r="Z131">
        <v>348.17351009999999</v>
      </c>
    </row>
    <row r="132" spans="1:26" hidden="1">
      <c r="A132">
        <v>131</v>
      </c>
      <c r="B132" t="s">
        <v>534</v>
      </c>
      <c r="C132" t="s">
        <v>134</v>
      </c>
      <c r="D132" s="13" t="b">
        <v>0</v>
      </c>
      <c r="E132">
        <v>2.6919999999999999E-3</v>
      </c>
      <c r="F132">
        <v>2.5699249439999998</v>
      </c>
      <c r="M132">
        <v>25</v>
      </c>
      <c r="N132" t="s">
        <v>179</v>
      </c>
      <c r="P132" t="s">
        <v>294</v>
      </c>
      <c r="W132" t="s">
        <v>535</v>
      </c>
      <c r="X132" t="s">
        <v>536</v>
      </c>
      <c r="Y132" t="s">
        <v>537</v>
      </c>
      <c r="Z132">
        <v>362.18916009999998</v>
      </c>
    </row>
    <row r="133" spans="1:26" hidden="1">
      <c r="A133">
        <v>132</v>
      </c>
      <c r="B133" t="s">
        <v>538</v>
      </c>
      <c r="C133" t="s">
        <v>134</v>
      </c>
      <c r="D133" s="13" t="b">
        <v>0</v>
      </c>
      <c r="E133">
        <v>1.9949999999999998E-3</v>
      </c>
      <c r="F133">
        <v>2.7000571</v>
      </c>
      <c r="M133">
        <v>25</v>
      </c>
      <c r="N133" t="s">
        <v>179</v>
      </c>
      <c r="P133" t="s">
        <v>294</v>
      </c>
      <c r="W133" t="s">
        <v>539</v>
      </c>
      <c r="X133" t="s">
        <v>540</v>
      </c>
      <c r="Y133" t="s">
        <v>541</v>
      </c>
      <c r="Z133">
        <v>376.2048102</v>
      </c>
    </row>
    <row r="134" spans="1:26">
      <c r="A134">
        <v>133</v>
      </c>
      <c r="B134" t="s">
        <v>542</v>
      </c>
      <c r="C134" t="s">
        <v>134</v>
      </c>
      <c r="D134" s="1" t="b">
        <v>1</v>
      </c>
      <c r="E134">
        <v>8.6000000000000003E-5</v>
      </c>
      <c r="F134">
        <v>4.0655015490000004</v>
      </c>
      <c r="G134" s="2">
        <f>72-J134</f>
        <v>36.6</v>
      </c>
      <c r="H134" s="2"/>
      <c r="I134" s="2"/>
      <c r="J134" s="2">
        <v>35.4</v>
      </c>
      <c r="K134" s="2"/>
      <c r="L134" s="2"/>
      <c r="M134">
        <v>25</v>
      </c>
      <c r="N134" t="s">
        <v>135</v>
      </c>
      <c r="O134" s="2" t="s">
        <v>543</v>
      </c>
      <c r="S134" s="2" t="s">
        <v>543</v>
      </c>
      <c r="X134" t="s">
        <v>544</v>
      </c>
      <c r="Y134" t="s">
        <v>545</v>
      </c>
      <c r="Z134">
        <v>564.33079859999998</v>
      </c>
    </row>
    <row r="135" spans="1:26" hidden="1">
      <c r="A135">
        <v>134</v>
      </c>
      <c r="B135" t="s">
        <v>546</v>
      </c>
      <c r="C135" t="s">
        <v>134</v>
      </c>
      <c r="D135" s="13" t="b">
        <v>0</v>
      </c>
      <c r="E135">
        <v>4.0179999999999999E-3</v>
      </c>
      <c r="F135">
        <v>2.3959900680000001</v>
      </c>
      <c r="M135">
        <v>25</v>
      </c>
      <c r="N135" t="s">
        <v>179</v>
      </c>
      <c r="P135" t="s">
        <v>180</v>
      </c>
      <c r="W135" t="s">
        <v>547</v>
      </c>
      <c r="X135" t="s">
        <v>548</v>
      </c>
      <c r="Y135" t="s">
        <v>549</v>
      </c>
      <c r="Z135">
        <v>344.19972480000001</v>
      </c>
    </row>
    <row r="136" spans="1:26" hidden="1">
      <c r="A136">
        <v>135</v>
      </c>
      <c r="B136" t="s">
        <v>550</v>
      </c>
      <c r="C136" t="s">
        <v>54</v>
      </c>
      <c r="D136" s="1" t="b">
        <v>0</v>
      </c>
      <c r="E136">
        <v>5.8999999999999999E-3</v>
      </c>
      <c r="F136">
        <v>2.2291479879999998</v>
      </c>
      <c r="G136">
        <v>26.2</v>
      </c>
      <c r="H136">
        <v>1.42E-6</v>
      </c>
      <c r="I136">
        <v>1.17</v>
      </c>
      <c r="J136">
        <v>45.8</v>
      </c>
      <c r="K136">
        <v>3.74</v>
      </c>
      <c r="L136">
        <v>1.8000000000000001E-4</v>
      </c>
      <c r="M136">
        <v>25</v>
      </c>
      <c r="N136" t="s">
        <v>551</v>
      </c>
      <c r="O136" t="s">
        <v>29</v>
      </c>
      <c r="Q136" t="s">
        <v>551</v>
      </c>
      <c r="S136" t="s">
        <v>551</v>
      </c>
      <c r="T136" t="s">
        <v>551</v>
      </c>
      <c r="W136" t="s">
        <v>552</v>
      </c>
      <c r="X136" t="s">
        <v>553</v>
      </c>
      <c r="Y136" t="s">
        <v>554</v>
      </c>
      <c r="Z136">
        <v>319.30057799999997</v>
      </c>
    </row>
    <row r="137" spans="1:26" hidden="1">
      <c r="A137">
        <v>136</v>
      </c>
      <c r="B137" t="s">
        <v>555</v>
      </c>
      <c r="C137" t="s">
        <v>134</v>
      </c>
      <c r="D137" s="13" t="b">
        <v>0</v>
      </c>
      <c r="E137">
        <v>1.585E-3</v>
      </c>
      <c r="F137">
        <v>2.7999707329999999</v>
      </c>
      <c r="M137">
        <v>25</v>
      </c>
      <c r="N137" t="s">
        <v>179</v>
      </c>
      <c r="P137" t="s">
        <v>294</v>
      </c>
      <c r="W137" t="s">
        <v>556</v>
      </c>
      <c r="X137" t="s">
        <v>557</v>
      </c>
      <c r="Y137" t="s">
        <v>558</v>
      </c>
      <c r="Z137">
        <v>390.22046030000001</v>
      </c>
    </row>
    <row r="138" spans="1:26" hidden="1">
      <c r="A138">
        <v>137</v>
      </c>
      <c r="B138" t="s">
        <v>559</v>
      </c>
      <c r="C138" t="s">
        <v>134</v>
      </c>
      <c r="D138" s="13" t="b">
        <v>0</v>
      </c>
      <c r="E138">
        <v>4.8979999999999998E-4</v>
      </c>
      <c r="F138">
        <v>3.309981219</v>
      </c>
      <c r="M138">
        <v>25</v>
      </c>
      <c r="N138" t="s">
        <v>179</v>
      </c>
      <c r="P138" t="s">
        <v>180</v>
      </c>
      <c r="W138" t="s">
        <v>560</v>
      </c>
      <c r="X138" t="s">
        <v>561</v>
      </c>
      <c r="Y138" t="s">
        <v>562</v>
      </c>
      <c r="Z138">
        <v>344.19972480000001</v>
      </c>
    </row>
    <row r="139" spans="1:26" hidden="1">
      <c r="A139">
        <v>138</v>
      </c>
      <c r="B139" t="s">
        <v>563</v>
      </c>
      <c r="C139" t="s">
        <v>54</v>
      </c>
      <c r="D139" s="1" t="b">
        <v>0</v>
      </c>
      <c r="G139">
        <v>25.3</v>
      </c>
      <c r="O139" t="s">
        <v>29</v>
      </c>
      <c r="Q139" t="s">
        <v>564</v>
      </c>
      <c r="X139" t="s">
        <v>565</v>
      </c>
      <c r="Y139" t="s">
        <v>566</v>
      </c>
      <c r="Z139">
        <v>377.34244280000001</v>
      </c>
    </row>
    <row r="140" spans="1:26" hidden="1">
      <c r="A140">
        <v>139</v>
      </c>
      <c r="B140" t="s">
        <v>567</v>
      </c>
      <c r="C140" t="s">
        <v>134</v>
      </c>
      <c r="D140" s="13" t="b">
        <v>0</v>
      </c>
      <c r="E140">
        <v>2.5999999999999998E-4</v>
      </c>
      <c r="F140">
        <v>3.5850266519999998</v>
      </c>
      <c r="M140">
        <v>25</v>
      </c>
      <c r="N140" t="s">
        <v>179</v>
      </c>
      <c r="P140" t="s">
        <v>180</v>
      </c>
      <c r="W140" t="s">
        <v>568</v>
      </c>
      <c r="X140" t="s">
        <v>569</v>
      </c>
      <c r="Y140" t="s">
        <v>570</v>
      </c>
      <c r="Z140">
        <v>358.21537489999997</v>
      </c>
    </row>
    <row r="141" spans="1:26" hidden="1">
      <c r="A141">
        <v>140</v>
      </c>
      <c r="B141" t="s">
        <v>571</v>
      </c>
      <c r="C141" t="s">
        <v>83</v>
      </c>
      <c r="D141" s="1" t="b">
        <v>0</v>
      </c>
      <c r="G141">
        <v>39</v>
      </c>
      <c r="O141" t="s">
        <v>29</v>
      </c>
      <c r="X141" t="s">
        <v>572</v>
      </c>
      <c r="Y141" t="s">
        <v>573</v>
      </c>
      <c r="Z141">
        <v>373.31920889999998</v>
      </c>
    </row>
    <row r="142" spans="1:26" hidden="1">
      <c r="A142">
        <v>141</v>
      </c>
      <c r="B142" t="s">
        <v>574</v>
      </c>
      <c r="C142" t="s">
        <v>83</v>
      </c>
      <c r="D142" s="1" t="b">
        <v>0</v>
      </c>
      <c r="G142">
        <v>35</v>
      </c>
      <c r="O142" t="s">
        <v>29</v>
      </c>
      <c r="X142" t="s">
        <v>575</v>
      </c>
      <c r="Y142" t="s">
        <v>576</v>
      </c>
      <c r="Z142">
        <v>359.30355880000002</v>
      </c>
    </row>
    <row r="143" spans="1:26" hidden="1">
      <c r="A143">
        <v>142</v>
      </c>
      <c r="B143" t="s">
        <v>577</v>
      </c>
      <c r="C143" t="s">
        <v>83</v>
      </c>
      <c r="D143" s="1" t="b">
        <v>0</v>
      </c>
      <c r="E143">
        <v>2.3E-3</v>
      </c>
      <c r="F143">
        <v>2.638272164</v>
      </c>
      <c r="G143">
        <v>23.4</v>
      </c>
      <c r="H143">
        <v>5.3000000000000001E-6</v>
      </c>
      <c r="I143">
        <v>0.32</v>
      </c>
      <c r="J143">
        <v>48.4</v>
      </c>
      <c r="K143">
        <v>3.59</v>
      </c>
      <c r="L143">
        <v>2.5799999999999998E-4</v>
      </c>
      <c r="M143">
        <v>25</v>
      </c>
      <c r="N143" t="s">
        <v>89</v>
      </c>
      <c r="O143" t="s">
        <v>29</v>
      </c>
      <c r="P143" t="s">
        <v>103</v>
      </c>
      <c r="Q143" t="s">
        <v>578</v>
      </c>
      <c r="R143" t="s">
        <v>579</v>
      </c>
      <c r="S143" t="s">
        <v>579</v>
      </c>
      <c r="T143" t="s">
        <v>579</v>
      </c>
      <c r="U143" t="s">
        <v>579</v>
      </c>
      <c r="W143" t="s">
        <v>580</v>
      </c>
      <c r="X143" t="s">
        <v>581</v>
      </c>
      <c r="Y143" t="s">
        <v>582</v>
      </c>
      <c r="Z143">
        <v>188.17762999999999</v>
      </c>
    </row>
    <row r="144" spans="1:26">
      <c r="A144">
        <v>143</v>
      </c>
      <c r="B144" t="s">
        <v>583</v>
      </c>
      <c r="C144" t="s">
        <v>83</v>
      </c>
      <c r="D144" s="1" t="b">
        <v>1</v>
      </c>
      <c r="E144">
        <v>2.3E-3</v>
      </c>
      <c r="F144">
        <v>2.638272164</v>
      </c>
      <c r="G144" s="2">
        <v>23.4</v>
      </c>
      <c r="H144">
        <v>5.1000000000000003E-6</v>
      </c>
      <c r="I144">
        <v>0.33</v>
      </c>
      <c r="J144">
        <v>48.6</v>
      </c>
      <c r="K144">
        <v>3.59</v>
      </c>
      <c r="L144">
        <v>2.5799999999999998E-4</v>
      </c>
      <c r="M144">
        <v>25</v>
      </c>
      <c r="N144" t="s">
        <v>135</v>
      </c>
      <c r="O144" t="s">
        <v>584</v>
      </c>
      <c r="P144" s="2" t="s">
        <v>579</v>
      </c>
      <c r="Q144" s="2" t="s">
        <v>31</v>
      </c>
      <c r="R144" s="2" t="s">
        <v>579</v>
      </c>
      <c r="S144" s="2" t="s">
        <v>579</v>
      </c>
      <c r="T144" s="2" t="s">
        <v>579</v>
      </c>
      <c r="U144" s="2" t="s">
        <v>579</v>
      </c>
      <c r="V144" s="2" t="s">
        <v>579</v>
      </c>
      <c r="W144" t="s">
        <v>585</v>
      </c>
      <c r="X144" t="s">
        <v>586</v>
      </c>
      <c r="Y144" t="s">
        <v>587</v>
      </c>
      <c r="Z144">
        <v>174.16197990000001</v>
      </c>
    </row>
    <row r="145" spans="1:26" hidden="1">
      <c r="A145">
        <v>144</v>
      </c>
      <c r="B145" t="s">
        <v>588</v>
      </c>
      <c r="C145" t="s">
        <v>134</v>
      </c>
      <c r="D145" s="13" t="b">
        <v>0</v>
      </c>
      <c r="E145">
        <v>4.8750000000000002E-2</v>
      </c>
      <c r="F145">
        <v>1.3120253799999999</v>
      </c>
      <c r="M145">
        <v>25</v>
      </c>
      <c r="N145" t="s">
        <v>179</v>
      </c>
      <c r="P145" t="s">
        <v>294</v>
      </c>
      <c r="X145" t="s">
        <v>589</v>
      </c>
      <c r="Y145" t="s">
        <v>590</v>
      </c>
      <c r="Z145">
        <v>366.1476892</v>
      </c>
    </row>
    <row r="146" spans="1:26">
      <c r="A146">
        <v>145</v>
      </c>
      <c r="B146" s="2" t="s">
        <v>591</v>
      </c>
      <c r="C146" t="s">
        <v>83</v>
      </c>
      <c r="D146" s="1" t="b">
        <v>1</v>
      </c>
      <c r="E146">
        <v>2.5000000000000001E-2</v>
      </c>
      <c r="F146">
        <v>1.602059991</v>
      </c>
      <c r="M146">
        <v>25</v>
      </c>
      <c r="N146" t="s">
        <v>207</v>
      </c>
      <c r="X146" t="s">
        <v>592</v>
      </c>
      <c r="Y146" t="s">
        <v>593</v>
      </c>
      <c r="Z146">
        <v>292.1885886</v>
      </c>
    </row>
    <row r="147" spans="1:26">
      <c r="A147">
        <v>146</v>
      </c>
      <c r="B147" t="s">
        <v>594</v>
      </c>
      <c r="C147" t="s">
        <v>54</v>
      </c>
      <c r="D147" s="1" t="b">
        <v>1</v>
      </c>
      <c r="E147">
        <v>2.29E-2</v>
      </c>
      <c r="F147">
        <v>1.640164518</v>
      </c>
      <c r="G147">
        <v>33.4</v>
      </c>
      <c r="H147">
        <v>1.9300000000000002E-6</v>
      </c>
      <c r="I147">
        <v>0.86</v>
      </c>
      <c r="J147">
        <v>38.4</v>
      </c>
      <c r="K147">
        <v>2.4842038839999998</v>
      </c>
      <c r="L147">
        <v>8.3391917999999995E-2</v>
      </c>
      <c r="M147">
        <v>25</v>
      </c>
      <c r="N147" t="s">
        <v>349</v>
      </c>
      <c r="O147" t="s">
        <v>29</v>
      </c>
      <c r="Q147" t="s">
        <v>349</v>
      </c>
      <c r="R147" t="s">
        <v>349</v>
      </c>
      <c r="S147" t="s">
        <v>349</v>
      </c>
      <c r="T147" t="s">
        <v>349</v>
      </c>
      <c r="U147" t="s">
        <v>31</v>
      </c>
      <c r="V147" t="s">
        <v>31</v>
      </c>
      <c r="X147" t="s">
        <v>595</v>
      </c>
      <c r="Y147" t="s">
        <v>596</v>
      </c>
      <c r="Z147">
        <v>351.1772914</v>
      </c>
    </row>
    <row r="148" spans="1:26">
      <c r="A148">
        <v>147</v>
      </c>
      <c r="B148" s="2" t="s">
        <v>597</v>
      </c>
      <c r="C148" t="s">
        <v>54</v>
      </c>
      <c r="D148" s="1" t="b">
        <v>1</v>
      </c>
      <c r="E148">
        <v>1.23E-2</v>
      </c>
      <c r="F148">
        <v>1.910094889</v>
      </c>
      <c r="G148">
        <v>31.57</v>
      </c>
      <c r="H148">
        <v>1.7099999999999999E-6</v>
      </c>
      <c r="I148">
        <v>0.97</v>
      </c>
      <c r="J148">
        <v>40.4</v>
      </c>
      <c r="K148">
        <v>2.956450539</v>
      </c>
      <c r="L148">
        <v>5.2003173E-2</v>
      </c>
      <c r="M148">
        <v>25</v>
      </c>
      <c r="N148" t="s">
        <v>349</v>
      </c>
      <c r="O148" t="s">
        <v>31</v>
      </c>
      <c r="R148" t="s">
        <v>349</v>
      </c>
      <c r="S148" t="s">
        <v>349</v>
      </c>
      <c r="T148" t="s">
        <v>349</v>
      </c>
      <c r="U148" t="s">
        <v>31</v>
      </c>
      <c r="V148" t="s">
        <v>31</v>
      </c>
      <c r="X148" t="s">
        <v>598</v>
      </c>
      <c r="Y148" t="s">
        <v>599</v>
      </c>
      <c r="Z148">
        <v>337.16164140000001</v>
      </c>
    </row>
    <row r="149" spans="1:26" hidden="1">
      <c r="A149">
        <v>148</v>
      </c>
      <c r="B149" t="s">
        <v>600</v>
      </c>
      <c r="C149" t="s">
        <v>28</v>
      </c>
      <c r="D149" s="1" t="b">
        <v>0</v>
      </c>
      <c r="E149">
        <v>7.7000000000000001E-5</v>
      </c>
      <c r="F149">
        <v>4.1135092750000002</v>
      </c>
      <c r="G149">
        <v>30.3</v>
      </c>
      <c r="H149">
        <v>2.3800000000000001E-6</v>
      </c>
      <c r="I149">
        <v>0.7</v>
      </c>
      <c r="J149">
        <v>41.66</v>
      </c>
      <c r="K149">
        <v>4.6458609009999998</v>
      </c>
      <c r="L149">
        <v>9.6012600000000003E-3</v>
      </c>
      <c r="M149">
        <v>25</v>
      </c>
      <c r="N149" t="s">
        <v>468</v>
      </c>
      <c r="O149" t="s">
        <v>29</v>
      </c>
      <c r="Q149" t="s">
        <v>468</v>
      </c>
      <c r="R149" t="s">
        <v>468</v>
      </c>
      <c r="S149" t="s">
        <v>468</v>
      </c>
      <c r="T149" t="s">
        <v>468</v>
      </c>
      <c r="U149" t="s">
        <v>31</v>
      </c>
      <c r="V149" t="s">
        <v>31</v>
      </c>
      <c r="W149" t="s">
        <v>601</v>
      </c>
      <c r="X149" t="s">
        <v>602</v>
      </c>
      <c r="Y149" t="s">
        <v>603</v>
      </c>
      <c r="Z149">
        <v>974.65260279999995</v>
      </c>
    </row>
    <row r="150" spans="1:26" hidden="1">
      <c r="A150">
        <v>149</v>
      </c>
      <c r="B150" t="s">
        <v>604</v>
      </c>
      <c r="C150" t="s">
        <v>28</v>
      </c>
      <c r="D150" s="1" t="b">
        <v>0</v>
      </c>
      <c r="E150">
        <v>1.05E-4</v>
      </c>
      <c r="F150">
        <v>3.978810701</v>
      </c>
      <c r="G150">
        <v>32.9</v>
      </c>
      <c r="H150">
        <v>2.26E-6</v>
      </c>
      <c r="I150">
        <v>0.73</v>
      </c>
      <c r="J150">
        <v>38.880000000000003</v>
      </c>
      <c r="K150">
        <v>4.4722579549999999</v>
      </c>
      <c r="L150">
        <v>1.1421496999999999E-2</v>
      </c>
      <c r="M150">
        <v>25</v>
      </c>
      <c r="N150" t="s">
        <v>468</v>
      </c>
      <c r="O150" t="s">
        <v>29</v>
      </c>
      <c r="Q150" t="s">
        <v>468</v>
      </c>
      <c r="R150" t="s">
        <v>468</v>
      </c>
      <c r="S150" t="s">
        <v>468</v>
      </c>
      <c r="T150" t="s">
        <v>468</v>
      </c>
      <c r="U150" t="s">
        <v>31</v>
      </c>
      <c r="V150" t="s">
        <v>31</v>
      </c>
      <c r="W150" t="s">
        <v>605</v>
      </c>
      <c r="X150" t="s">
        <v>606</v>
      </c>
      <c r="Y150" t="s">
        <v>607</v>
      </c>
      <c r="Z150">
        <v>946.62130260000004</v>
      </c>
    </row>
    <row r="151" spans="1:26">
      <c r="A151">
        <v>150</v>
      </c>
      <c r="B151" t="s">
        <v>608</v>
      </c>
      <c r="C151" t="s">
        <v>83</v>
      </c>
      <c r="D151" s="1" t="b">
        <v>1</v>
      </c>
      <c r="E151">
        <v>1.0000000000000001E-5</v>
      </c>
      <c r="F151">
        <v>5</v>
      </c>
      <c r="M151" s="2">
        <v>25</v>
      </c>
      <c r="N151" t="s">
        <v>121</v>
      </c>
      <c r="W151" t="s">
        <v>609</v>
      </c>
      <c r="X151" t="s">
        <v>610</v>
      </c>
      <c r="Y151" t="s">
        <v>611</v>
      </c>
      <c r="Z151">
        <v>604.41864810000004</v>
      </c>
    </row>
    <row r="152" spans="1:26" hidden="1">
      <c r="A152">
        <v>151</v>
      </c>
      <c r="B152" t="s">
        <v>612</v>
      </c>
      <c r="C152" t="s">
        <v>83</v>
      </c>
      <c r="D152" s="1" t="b">
        <v>0</v>
      </c>
      <c r="E152">
        <v>2.8379999999999998E-3</v>
      </c>
      <c r="F152">
        <v>2.5469876089999999</v>
      </c>
      <c r="M152">
        <v>25</v>
      </c>
      <c r="N152" t="s">
        <v>207</v>
      </c>
      <c r="X152" t="s">
        <v>613</v>
      </c>
      <c r="Y152" t="s">
        <v>614</v>
      </c>
      <c r="Z152">
        <v>420.30870370000002</v>
      </c>
    </row>
    <row r="153" spans="1:26" hidden="1">
      <c r="A153">
        <v>152</v>
      </c>
      <c r="B153" t="s">
        <v>615</v>
      </c>
      <c r="C153" t="s">
        <v>83</v>
      </c>
      <c r="D153" s="1" t="b">
        <v>0</v>
      </c>
      <c r="E153">
        <v>2.9789999999999999E-3</v>
      </c>
      <c r="F153">
        <v>2.5259294969999999</v>
      </c>
      <c r="M153">
        <v>25</v>
      </c>
      <c r="N153" t="s">
        <v>207</v>
      </c>
      <c r="X153" t="s">
        <v>616</v>
      </c>
      <c r="Y153" t="s">
        <v>617</v>
      </c>
      <c r="Z153">
        <v>552.38734799999997</v>
      </c>
    </row>
    <row r="154" spans="1:26" hidden="1">
      <c r="A154">
        <v>153</v>
      </c>
      <c r="B154" t="s">
        <v>618</v>
      </c>
      <c r="C154" t="s">
        <v>161</v>
      </c>
      <c r="D154" s="1" t="b">
        <v>0</v>
      </c>
      <c r="E154">
        <v>9.7E-5</v>
      </c>
      <c r="F154">
        <v>4.0132282659999996</v>
      </c>
      <c r="G154">
        <v>43.8</v>
      </c>
      <c r="H154">
        <v>3.76E-6</v>
      </c>
      <c r="I154">
        <v>0.44</v>
      </c>
      <c r="J154">
        <v>28.2</v>
      </c>
      <c r="K154">
        <v>6.01</v>
      </c>
      <c r="L154">
        <v>9.7699999999999992E-7</v>
      </c>
      <c r="M154">
        <v>25</v>
      </c>
      <c r="N154" t="s">
        <v>89</v>
      </c>
      <c r="P154" t="s">
        <v>103</v>
      </c>
      <c r="Q154" t="s">
        <v>446</v>
      </c>
      <c r="R154" t="s">
        <v>446</v>
      </c>
      <c r="S154" t="s">
        <v>446</v>
      </c>
      <c r="T154" t="s">
        <v>446</v>
      </c>
      <c r="U154" t="s">
        <v>446</v>
      </c>
      <c r="W154" t="s">
        <v>619</v>
      </c>
      <c r="X154" t="s">
        <v>620</v>
      </c>
      <c r="Y154" t="s">
        <v>621</v>
      </c>
      <c r="Z154">
        <v>297.19400830000001</v>
      </c>
    </row>
    <row r="155" spans="1:26">
      <c r="A155">
        <v>154</v>
      </c>
      <c r="B155" t="s">
        <v>622</v>
      </c>
      <c r="C155" t="s">
        <v>161</v>
      </c>
      <c r="D155" s="1" t="b">
        <v>1</v>
      </c>
      <c r="E155">
        <v>6.7000000000000002E-3</v>
      </c>
      <c r="F155">
        <v>2.173925197</v>
      </c>
      <c r="M155">
        <v>25</v>
      </c>
      <c r="N155" t="s">
        <v>162</v>
      </c>
      <c r="P155" t="s">
        <v>164</v>
      </c>
      <c r="W155" t="s">
        <v>623</v>
      </c>
      <c r="X155" t="s">
        <v>624</v>
      </c>
      <c r="Y155" t="s">
        <v>625</v>
      </c>
      <c r="Z155">
        <v>349.24643780000002</v>
      </c>
    </row>
    <row r="156" spans="1:26">
      <c r="A156">
        <v>155</v>
      </c>
      <c r="B156" s="2" t="s">
        <v>626</v>
      </c>
      <c r="C156" t="s">
        <v>54</v>
      </c>
      <c r="D156" s="1" t="b">
        <v>1</v>
      </c>
      <c r="E156">
        <v>1.6E-2</v>
      </c>
      <c r="F156">
        <v>1.795880017</v>
      </c>
      <c r="G156">
        <v>40</v>
      </c>
      <c r="H156">
        <v>2.48E-6</v>
      </c>
      <c r="I156">
        <v>0.67</v>
      </c>
      <c r="J156">
        <v>32</v>
      </c>
      <c r="K156">
        <v>2.2196562860000002</v>
      </c>
      <c r="L156">
        <v>0.10864644599999999</v>
      </c>
      <c r="M156">
        <v>25</v>
      </c>
      <c r="N156" t="s">
        <v>627</v>
      </c>
      <c r="O156" t="s">
        <v>29</v>
      </c>
      <c r="Q156" t="s">
        <v>627</v>
      </c>
      <c r="S156" t="s">
        <v>627</v>
      </c>
      <c r="T156" t="s">
        <v>627</v>
      </c>
      <c r="U156" t="s">
        <v>31</v>
      </c>
      <c r="V156" t="s">
        <v>31</v>
      </c>
      <c r="W156" t="s">
        <v>628</v>
      </c>
      <c r="X156" t="s">
        <v>629</v>
      </c>
      <c r="Y156" t="s">
        <v>630</v>
      </c>
      <c r="Z156">
        <v>377.23194360000002</v>
      </c>
    </row>
    <row r="157" spans="1:26">
      <c r="A157">
        <v>156</v>
      </c>
      <c r="B157" s="2" t="s">
        <v>631</v>
      </c>
      <c r="C157" t="s">
        <v>161</v>
      </c>
      <c r="D157" s="1" t="b">
        <v>1</v>
      </c>
      <c r="E157">
        <v>3.3E-3</v>
      </c>
      <c r="F157">
        <v>2.4814860599999999</v>
      </c>
      <c r="G157">
        <v>40.299999999999997</v>
      </c>
      <c r="H157">
        <v>3.2899999999999998E-6</v>
      </c>
      <c r="I157">
        <v>0.504</v>
      </c>
      <c r="J157">
        <v>31.67</v>
      </c>
      <c r="K157">
        <v>3.06</v>
      </c>
      <c r="L157">
        <v>4.6887695E-2</v>
      </c>
      <c r="M157">
        <v>25</v>
      </c>
      <c r="N157" t="s">
        <v>162</v>
      </c>
      <c r="O157" t="s">
        <v>163</v>
      </c>
      <c r="P157" t="s">
        <v>164</v>
      </c>
      <c r="R157" t="s">
        <v>632</v>
      </c>
      <c r="S157" t="s">
        <v>31</v>
      </c>
      <c r="U157" t="s">
        <v>632</v>
      </c>
      <c r="V157" t="s">
        <v>31</v>
      </c>
      <c r="W157" t="s">
        <v>633</v>
      </c>
      <c r="X157" t="s">
        <v>634</v>
      </c>
      <c r="Y157" t="s">
        <v>635</v>
      </c>
      <c r="Z157">
        <v>513.27852580000001</v>
      </c>
    </row>
    <row r="158" spans="1:26" hidden="1">
      <c r="A158">
        <v>157</v>
      </c>
      <c r="B158" t="s">
        <v>636</v>
      </c>
      <c r="C158" t="s">
        <v>28</v>
      </c>
      <c r="D158" s="1" t="b">
        <v>0</v>
      </c>
      <c r="E158">
        <v>3.5400000000000002E-3</v>
      </c>
      <c r="F158">
        <v>2.4509967380000002</v>
      </c>
      <c r="G158">
        <v>33.200000000000003</v>
      </c>
      <c r="H158">
        <v>1.7799999999999999E-6</v>
      </c>
      <c r="I158">
        <v>0.93</v>
      </c>
      <c r="J158">
        <v>38.799999999999997</v>
      </c>
      <c r="K158">
        <v>3.03</v>
      </c>
      <c r="L158">
        <v>9.3300000000000002E-4</v>
      </c>
      <c r="M158">
        <v>25</v>
      </c>
      <c r="N158" t="s">
        <v>637</v>
      </c>
      <c r="O158" t="s">
        <v>29</v>
      </c>
      <c r="Q158" t="s">
        <v>637</v>
      </c>
      <c r="R158" t="s">
        <v>637</v>
      </c>
      <c r="T158" t="s">
        <v>637</v>
      </c>
      <c r="W158" t="s">
        <v>638</v>
      </c>
      <c r="X158" t="s">
        <v>639</v>
      </c>
      <c r="Y158" t="s">
        <v>640</v>
      </c>
      <c r="Z158">
        <v>628.29265129999999</v>
      </c>
    </row>
    <row r="159" spans="1:26" hidden="1">
      <c r="A159">
        <v>158</v>
      </c>
      <c r="B159" t="s">
        <v>641</v>
      </c>
      <c r="C159" t="s">
        <v>83</v>
      </c>
      <c r="D159" s="1" t="b">
        <v>0</v>
      </c>
      <c r="G159">
        <v>33</v>
      </c>
      <c r="O159" t="s">
        <v>29</v>
      </c>
      <c r="Q159" t="s">
        <v>312</v>
      </c>
      <c r="X159" t="s">
        <v>642</v>
      </c>
      <c r="Y159" t="s">
        <v>643</v>
      </c>
      <c r="Z159">
        <v>328.27259299999997</v>
      </c>
    </row>
    <row r="160" spans="1:26" hidden="1">
      <c r="A160">
        <v>159</v>
      </c>
      <c r="B160" t="s">
        <v>644</v>
      </c>
      <c r="C160" t="s">
        <v>311</v>
      </c>
      <c r="D160" s="1" t="b">
        <v>0</v>
      </c>
      <c r="G160">
        <v>25.4</v>
      </c>
      <c r="O160" t="s">
        <v>29</v>
      </c>
      <c r="Q160" t="s">
        <v>312</v>
      </c>
      <c r="X160" t="s">
        <v>645</v>
      </c>
      <c r="Y160" t="s">
        <v>646</v>
      </c>
      <c r="Z160">
        <v>454.2712727</v>
      </c>
    </row>
    <row r="161" spans="1:26" hidden="1">
      <c r="A161">
        <v>160</v>
      </c>
      <c r="B161" t="s">
        <v>647</v>
      </c>
      <c r="C161" t="s">
        <v>28</v>
      </c>
      <c r="D161" s="1" t="b">
        <v>0</v>
      </c>
      <c r="E161">
        <v>8.4139999999999996E-3</v>
      </c>
      <c r="F161">
        <v>2.0749974920000001</v>
      </c>
      <c r="M161">
        <v>25</v>
      </c>
      <c r="N161" t="s">
        <v>484</v>
      </c>
      <c r="P161" t="s">
        <v>648</v>
      </c>
      <c r="X161" t="s">
        <v>649</v>
      </c>
      <c r="Y161" t="s">
        <v>650</v>
      </c>
      <c r="Z161">
        <v>799.59719289999998</v>
      </c>
    </row>
    <row r="162" spans="1:26" hidden="1">
      <c r="A162">
        <v>161</v>
      </c>
      <c r="B162" t="s">
        <v>651</v>
      </c>
      <c r="C162" t="s">
        <v>28</v>
      </c>
      <c r="D162" s="1" t="b">
        <v>0</v>
      </c>
      <c r="E162">
        <v>7.8339999999999999E-5</v>
      </c>
      <c r="F162">
        <v>4.1060164329999997</v>
      </c>
      <c r="M162">
        <v>25</v>
      </c>
      <c r="N162" t="s">
        <v>484</v>
      </c>
      <c r="X162" t="s">
        <v>652</v>
      </c>
      <c r="Y162" t="s">
        <v>653</v>
      </c>
      <c r="Z162">
        <v>827.62849300000005</v>
      </c>
    </row>
    <row r="163" spans="1:26" hidden="1">
      <c r="A163">
        <v>162</v>
      </c>
      <c r="B163" t="s">
        <v>654</v>
      </c>
      <c r="C163" t="s">
        <v>161</v>
      </c>
      <c r="D163" s="1" t="b">
        <v>0</v>
      </c>
      <c r="E163">
        <v>5.8000000000000003E-2</v>
      </c>
      <c r="F163">
        <v>1.2365720060000001</v>
      </c>
      <c r="M163">
        <v>25</v>
      </c>
      <c r="N163" t="s">
        <v>89</v>
      </c>
      <c r="P163" t="s">
        <v>103</v>
      </c>
      <c r="W163" t="s">
        <v>655</v>
      </c>
      <c r="X163" t="s">
        <v>656</v>
      </c>
      <c r="Y163" t="s">
        <v>657</v>
      </c>
      <c r="Z163">
        <v>306.20423870000002</v>
      </c>
    </row>
    <row r="164" spans="1:26" hidden="1">
      <c r="A164">
        <v>163</v>
      </c>
      <c r="B164" t="s">
        <v>658</v>
      </c>
      <c r="C164" t="s">
        <v>54</v>
      </c>
      <c r="D164" s="1" t="b">
        <v>0</v>
      </c>
      <c r="G164">
        <v>33.799999999999997</v>
      </c>
      <c r="O164" t="s">
        <v>29</v>
      </c>
      <c r="Q164" t="s">
        <v>659</v>
      </c>
      <c r="X164" t="s">
        <v>660</v>
      </c>
      <c r="Y164" t="s">
        <v>661</v>
      </c>
      <c r="Z164">
        <v>561.21625070000005</v>
      </c>
    </row>
    <row r="165" spans="1:26" hidden="1">
      <c r="A165">
        <v>164</v>
      </c>
      <c r="B165" t="s">
        <v>662</v>
      </c>
      <c r="C165" t="s">
        <v>28</v>
      </c>
      <c r="D165" s="1" t="b">
        <v>0</v>
      </c>
      <c r="E165">
        <v>7.7999999999999999E-4</v>
      </c>
      <c r="F165">
        <v>3.1079053970000001</v>
      </c>
      <c r="G165">
        <v>38</v>
      </c>
      <c r="H165">
        <v>1.1400000000000001E-6</v>
      </c>
      <c r="I165">
        <v>1.46</v>
      </c>
      <c r="J165">
        <v>35.299999999999997</v>
      </c>
      <c r="K165">
        <v>5.31</v>
      </c>
      <c r="L165">
        <v>7.9400000000000004E-7</v>
      </c>
      <c r="M165">
        <v>25</v>
      </c>
      <c r="N165" t="s">
        <v>663</v>
      </c>
      <c r="O165" t="s">
        <v>29</v>
      </c>
      <c r="Q165" t="s">
        <v>663</v>
      </c>
      <c r="R165" t="s">
        <v>663</v>
      </c>
      <c r="S165" t="s">
        <v>663</v>
      </c>
      <c r="T165" t="s">
        <v>663</v>
      </c>
      <c r="U165" t="s">
        <v>663</v>
      </c>
      <c r="W165" t="s">
        <v>664</v>
      </c>
      <c r="X165" t="s">
        <v>665</v>
      </c>
      <c r="Y165" t="s">
        <v>666</v>
      </c>
      <c r="Z165">
        <v>771.56589269999995</v>
      </c>
    </row>
    <row r="166" spans="1:26" hidden="1">
      <c r="A166">
        <v>165</v>
      </c>
      <c r="B166" t="s">
        <v>667</v>
      </c>
      <c r="C166" t="s">
        <v>28</v>
      </c>
      <c r="D166" s="1" t="b">
        <v>0</v>
      </c>
      <c r="E166">
        <v>2.8200000000000002E-4</v>
      </c>
      <c r="F166">
        <v>3.549750892</v>
      </c>
      <c r="G166">
        <v>36</v>
      </c>
      <c r="H166">
        <v>1.02E-6</v>
      </c>
      <c r="I166">
        <v>1.62</v>
      </c>
      <c r="J166">
        <v>33.299999999999997</v>
      </c>
      <c r="K166">
        <v>5.7</v>
      </c>
      <c r="L166">
        <v>1.86E-6</v>
      </c>
      <c r="M166">
        <v>25</v>
      </c>
      <c r="N166" t="s">
        <v>663</v>
      </c>
      <c r="O166" t="s">
        <v>29</v>
      </c>
      <c r="Q166" t="s">
        <v>663</v>
      </c>
      <c r="R166" t="s">
        <v>663</v>
      </c>
      <c r="S166" t="s">
        <v>663</v>
      </c>
      <c r="T166" t="s">
        <v>663</v>
      </c>
      <c r="U166" t="s">
        <v>663</v>
      </c>
      <c r="W166" t="s">
        <v>668</v>
      </c>
      <c r="X166" t="s">
        <v>669</v>
      </c>
      <c r="Y166" t="s">
        <v>670</v>
      </c>
      <c r="Z166">
        <v>785.58154279999997</v>
      </c>
    </row>
    <row r="167" spans="1:26" hidden="1">
      <c r="A167">
        <v>166</v>
      </c>
      <c r="B167" t="s">
        <v>671</v>
      </c>
      <c r="C167" t="s">
        <v>28</v>
      </c>
      <c r="D167" s="1" t="b">
        <v>0</v>
      </c>
      <c r="E167">
        <v>5.9599999999999999E-5</v>
      </c>
      <c r="F167">
        <v>4.2247537399999997</v>
      </c>
      <c r="G167">
        <v>39</v>
      </c>
      <c r="H167">
        <v>9.3399999999999997E-7</v>
      </c>
      <c r="I167">
        <v>1.77</v>
      </c>
      <c r="J167">
        <v>36.299999999999997</v>
      </c>
      <c r="K167">
        <v>5.73</v>
      </c>
      <c r="L167">
        <v>1.9999999999999999E-6</v>
      </c>
      <c r="M167">
        <v>25</v>
      </c>
      <c r="N167" t="s">
        <v>663</v>
      </c>
      <c r="O167" t="s">
        <v>29</v>
      </c>
      <c r="Q167" t="s">
        <v>663</v>
      </c>
      <c r="R167" t="s">
        <v>663</v>
      </c>
      <c r="S167" t="s">
        <v>663</v>
      </c>
      <c r="T167" t="s">
        <v>663</v>
      </c>
      <c r="U167" t="s">
        <v>663</v>
      </c>
      <c r="W167" t="s">
        <v>672</v>
      </c>
      <c r="X167" t="s">
        <v>673</v>
      </c>
      <c r="Y167" t="s">
        <v>674</v>
      </c>
      <c r="Z167">
        <v>799.59719289999998</v>
      </c>
    </row>
    <row r="168" spans="1:26" hidden="1">
      <c r="A168">
        <v>167</v>
      </c>
      <c r="B168" t="s">
        <v>675</v>
      </c>
      <c r="C168" t="s">
        <v>28</v>
      </c>
      <c r="D168" s="1" t="b">
        <v>0</v>
      </c>
      <c r="E168">
        <v>2.8200000000000001E-5</v>
      </c>
      <c r="F168">
        <v>4.5497508919999996</v>
      </c>
      <c r="G168">
        <v>37</v>
      </c>
      <c r="H168">
        <v>8.7300000000000005E-7</v>
      </c>
      <c r="I168">
        <v>1.9</v>
      </c>
      <c r="J168">
        <v>34.299999999999997</v>
      </c>
      <c r="K168">
        <v>6.1</v>
      </c>
      <c r="L168">
        <v>4.8999999999999997E-6</v>
      </c>
      <c r="M168">
        <v>25</v>
      </c>
      <c r="N168" t="s">
        <v>663</v>
      </c>
      <c r="O168" t="s">
        <v>29</v>
      </c>
      <c r="Q168" t="s">
        <v>663</v>
      </c>
      <c r="R168" t="s">
        <v>663</v>
      </c>
      <c r="S168" t="s">
        <v>663</v>
      </c>
      <c r="T168" t="s">
        <v>663</v>
      </c>
      <c r="U168" t="s">
        <v>663</v>
      </c>
      <c r="W168" t="s">
        <v>676</v>
      </c>
      <c r="X168" t="s">
        <v>677</v>
      </c>
      <c r="Y168" t="s">
        <v>678</v>
      </c>
      <c r="Z168">
        <v>827.62849300000005</v>
      </c>
    </row>
    <row r="169" spans="1:26" hidden="1">
      <c r="A169">
        <v>168</v>
      </c>
      <c r="B169" t="s">
        <v>679</v>
      </c>
      <c r="C169" t="s">
        <v>134</v>
      </c>
      <c r="D169" s="13" t="b">
        <v>0</v>
      </c>
      <c r="E169">
        <v>1.9009999999999999E-3</v>
      </c>
      <c r="F169">
        <v>2.721017883</v>
      </c>
      <c r="M169">
        <v>25</v>
      </c>
      <c r="N169" t="s">
        <v>179</v>
      </c>
      <c r="P169" t="s">
        <v>180</v>
      </c>
      <c r="W169" t="s">
        <v>680</v>
      </c>
      <c r="X169" t="s">
        <v>681</v>
      </c>
      <c r="Y169" t="s">
        <v>682</v>
      </c>
      <c r="Z169">
        <v>334.15786000000003</v>
      </c>
    </row>
    <row r="170" spans="1:26" hidden="1">
      <c r="A170">
        <v>169</v>
      </c>
      <c r="B170" t="s">
        <v>683</v>
      </c>
      <c r="C170" t="s">
        <v>134</v>
      </c>
      <c r="D170" s="13" t="b">
        <v>0</v>
      </c>
      <c r="E170">
        <v>1.8620000000000001E-2</v>
      </c>
      <c r="F170">
        <v>1.730020323</v>
      </c>
      <c r="M170">
        <v>25</v>
      </c>
      <c r="N170" t="s">
        <v>179</v>
      </c>
      <c r="W170" t="s">
        <v>684</v>
      </c>
      <c r="X170" t="s">
        <v>685</v>
      </c>
      <c r="Y170" t="s">
        <v>686</v>
      </c>
      <c r="Z170">
        <v>272.14220990000001</v>
      </c>
    </row>
    <row r="171" spans="1:26" hidden="1">
      <c r="A171">
        <v>170</v>
      </c>
      <c r="B171" t="s">
        <v>687</v>
      </c>
      <c r="C171" t="s">
        <v>134</v>
      </c>
      <c r="D171" s="13" t="b">
        <v>0</v>
      </c>
      <c r="E171">
        <v>2.477E-3</v>
      </c>
      <c r="F171">
        <v>2.6060739929999999</v>
      </c>
      <c r="M171">
        <v>25</v>
      </c>
      <c r="N171" t="s">
        <v>179</v>
      </c>
      <c r="P171" t="s">
        <v>180</v>
      </c>
      <c r="W171" t="s">
        <v>688</v>
      </c>
      <c r="X171" t="s">
        <v>689</v>
      </c>
      <c r="Y171" t="s">
        <v>690</v>
      </c>
      <c r="Z171">
        <v>348.17351009999999</v>
      </c>
    </row>
    <row r="172" spans="1:26" hidden="1">
      <c r="A172">
        <v>171</v>
      </c>
      <c r="B172" t="s">
        <v>691</v>
      </c>
      <c r="C172" t="s">
        <v>134</v>
      </c>
      <c r="D172" s="13" t="b">
        <v>0</v>
      </c>
      <c r="E172">
        <v>6.7450000000000001E-3</v>
      </c>
      <c r="F172">
        <v>2.1710180459999999</v>
      </c>
      <c r="M172">
        <v>25</v>
      </c>
      <c r="N172" t="s">
        <v>179</v>
      </c>
      <c r="P172" t="s">
        <v>180</v>
      </c>
      <c r="X172" t="s">
        <v>692</v>
      </c>
      <c r="Y172" t="s">
        <v>693</v>
      </c>
      <c r="Z172">
        <v>316.1684247</v>
      </c>
    </row>
    <row r="173" spans="1:26" hidden="1">
      <c r="A173">
        <v>172</v>
      </c>
      <c r="B173" t="s">
        <v>694</v>
      </c>
      <c r="C173" t="s">
        <v>134</v>
      </c>
      <c r="D173" s="13" t="b">
        <v>0</v>
      </c>
      <c r="E173">
        <v>1.66E-3</v>
      </c>
      <c r="F173">
        <v>2.7798919120000001</v>
      </c>
      <c r="M173">
        <v>25</v>
      </c>
      <c r="N173" t="s">
        <v>179</v>
      </c>
      <c r="P173" t="s">
        <v>294</v>
      </c>
      <c r="W173" t="s">
        <v>695</v>
      </c>
      <c r="X173" t="s">
        <v>696</v>
      </c>
      <c r="Y173" t="s">
        <v>697</v>
      </c>
      <c r="Z173">
        <v>376.2048102</v>
      </c>
    </row>
    <row r="174" spans="1:26" hidden="1">
      <c r="A174">
        <v>173</v>
      </c>
      <c r="B174" t="s">
        <v>698</v>
      </c>
      <c r="C174" t="s">
        <v>134</v>
      </c>
      <c r="D174" s="13" t="b">
        <v>0</v>
      </c>
      <c r="E174">
        <v>2.9989999999999999E-3</v>
      </c>
      <c r="F174">
        <v>2.523023534</v>
      </c>
      <c r="M174">
        <v>25</v>
      </c>
      <c r="N174" t="s">
        <v>179</v>
      </c>
      <c r="P174" t="s">
        <v>180</v>
      </c>
      <c r="W174" t="s">
        <v>699</v>
      </c>
      <c r="X174" t="s">
        <v>700</v>
      </c>
      <c r="Y174" t="s">
        <v>701</v>
      </c>
      <c r="Z174">
        <v>344.19972480000001</v>
      </c>
    </row>
    <row r="175" spans="1:26" hidden="1">
      <c r="A175">
        <v>174</v>
      </c>
      <c r="B175" t="s">
        <v>702</v>
      </c>
      <c r="C175" t="s">
        <v>134</v>
      </c>
      <c r="D175" s="13" t="b">
        <v>0</v>
      </c>
      <c r="E175">
        <v>1.2589999999999999E-3</v>
      </c>
      <c r="F175">
        <v>2.89997427</v>
      </c>
      <c r="M175">
        <v>25</v>
      </c>
      <c r="N175" t="s">
        <v>179</v>
      </c>
      <c r="P175" t="s">
        <v>294</v>
      </c>
      <c r="W175" t="s">
        <v>703</v>
      </c>
      <c r="X175" t="s">
        <v>704</v>
      </c>
      <c r="Y175" t="s">
        <v>705</v>
      </c>
      <c r="Z175">
        <v>390.22046030000001</v>
      </c>
    </row>
    <row r="176" spans="1:26" hidden="1">
      <c r="A176">
        <v>175</v>
      </c>
      <c r="B176" t="s">
        <v>706</v>
      </c>
      <c r="C176" t="s">
        <v>134</v>
      </c>
      <c r="D176" s="13" t="b">
        <v>0</v>
      </c>
      <c r="E176">
        <v>3.3040000000000001E-4</v>
      </c>
      <c r="F176">
        <v>3.4809599609999999</v>
      </c>
      <c r="H176">
        <v>4.34E-7</v>
      </c>
      <c r="I176">
        <v>3.83</v>
      </c>
      <c r="M176">
        <v>25</v>
      </c>
      <c r="N176" t="s">
        <v>179</v>
      </c>
      <c r="P176" t="s">
        <v>180</v>
      </c>
      <c r="T176" t="s">
        <v>289</v>
      </c>
      <c r="W176" t="s">
        <v>707</v>
      </c>
      <c r="X176" t="s">
        <v>708</v>
      </c>
      <c r="Y176" t="s">
        <v>709</v>
      </c>
      <c r="Z176">
        <v>386.24667499999998</v>
      </c>
    </row>
    <row r="177" spans="1:26" hidden="1">
      <c r="A177">
        <v>176</v>
      </c>
      <c r="B177" t="s">
        <v>710</v>
      </c>
      <c r="C177" t="s">
        <v>28</v>
      </c>
      <c r="D177" s="1" t="b">
        <v>0</v>
      </c>
      <c r="G177">
        <v>44.7</v>
      </c>
      <c r="O177" t="s">
        <v>29</v>
      </c>
      <c r="Q177" t="s">
        <v>711</v>
      </c>
      <c r="X177" t="s">
        <v>712</v>
      </c>
      <c r="Y177" t="s">
        <v>713</v>
      </c>
      <c r="Z177">
        <v>1044.734876</v>
      </c>
    </row>
    <row r="178" spans="1:26" hidden="1">
      <c r="A178">
        <v>177</v>
      </c>
      <c r="B178" t="s">
        <v>714</v>
      </c>
      <c r="C178" t="s">
        <v>28</v>
      </c>
      <c r="D178" s="1" t="b">
        <v>0</v>
      </c>
      <c r="G178">
        <v>45.8</v>
      </c>
      <c r="O178" t="s">
        <v>29</v>
      </c>
      <c r="Q178" t="s">
        <v>711</v>
      </c>
      <c r="X178" t="s">
        <v>715</v>
      </c>
      <c r="Y178" t="s">
        <v>716</v>
      </c>
      <c r="Z178">
        <v>1002.6879259999999</v>
      </c>
    </row>
    <row r="179" spans="1:26" hidden="1">
      <c r="A179">
        <v>178</v>
      </c>
      <c r="B179" t="s">
        <v>717</v>
      </c>
      <c r="C179" t="s">
        <v>134</v>
      </c>
      <c r="D179" s="13" t="b">
        <v>0</v>
      </c>
      <c r="E179">
        <v>3.483E-3</v>
      </c>
      <c r="F179">
        <v>2.458046526</v>
      </c>
      <c r="M179">
        <v>25</v>
      </c>
      <c r="N179" t="s">
        <v>179</v>
      </c>
      <c r="P179" t="s">
        <v>180</v>
      </c>
      <c r="X179" t="s">
        <v>718</v>
      </c>
      <c r="Y179" t="s">
        <v>719</v>
      </c>
      <c r="Z179">
        <v>330.18407480000002</v>
      </c>
    </row>
    <row r="180" spans="1:26" hidden="1">
      <c r="A180">
        <v>179</v>
      </c>
      <c r="B180" t="s">
        <v>720</v>
      </c>
      <c r="C180" t="s">
        <v>134</v>
      </c>
      <c r="D180" s="13" t="b">
        <v>0</v>
      </c>
      <c r="E180">
        <v>3.1550000000000003E-4</v>
      </c>
      <c r="F180">
        <v>3.5010006360000001</v>
      </c>
      <c r="M180">
        <v>25</v>
      </c>
      <c r="N180" t="s">
        <v>179</v>
      </c>
      <c r="P180" t="s">
        <v>180</v>
      </c>
      <c r="X180" t="s">
        <v>721</v>
      </c>
      <c r="Y180" t="s">
        <v>722</v>
      </c>
      <c r="Z180">
        <v>400.2623251</v>
      </c>
    </row>
    <row r="181" spans="1:26" hidden="1">
      <c r="A181">
        <v>180</v>
      </c>
      <c r="B181" t="s">
        <v>723</v>
      </c>
      <c r="C181" t="s">
        <v>134</v>
      </c>
      <c r="D181" s="13" t="b">
        <v>0</v>
      </c>
      <c r="E181">
        <v>7.6210000000000002E-3</v>
      </c>
      <c r="F181">
        <v>2.117988038</v>
      </c>
      <c r="M181">
        <v>25</v>
      </c>
      <c r="N181" t="s">
        <v>179</v>
      </c>
      <c r="P181" t="s">
        <v>180</v>
      </c>
      <c r="X181" t="s">
        <v>724</v>
      </c>
      <c r="Y181" t="s">
        <v>725</v>
      </c>
      <c r="Z181">
        <v>302.15277459999999</v>
      </c>
    </row>
    <row r="182" spans="1:26" hidden="1">
      <c r="A182">
        <v>181</v>
      </c>
      <c r="B182" t="s">
        <v>726</v>
      </c>
      <c r="C182" t="s">
        <v>134</v>
      </c>
      <c r="D182" s="13" t="b">
        <v>0</v>
      </c>
      <c r="E182">
        <v>5.0000000000000001E-3</v>
      </c>
      <c r="F182">
        <v>2.301029996</v>
      </c>
      <c r="M182">
        <v>25</v>
      </c>
      <c r="N182" t="s">
        <v>179</v>
      </c>
      <c r="P182" t="s">
        <v>180</v>
      </c>
      <c r="X182" t="s">
        <v>727</v>
      </c>
      <c r="Y182" t="s">
        <v>728</v>
      </c>
      <c r="Z182">
        <v>316.1684247</v>
      </c>
    </row>
    <row r="183" spans="1:26" hidden="1">
      <c r="A183">
        <v>182</v>
      </c>
      <c r="B183" t="s">
        <v>729</v>
      </c>
      <c r="C183" t="s">
        <v>134</v>
      </c>
      <c r="D183" s="13" t="b">
        <v>0</v>
      </c>
      <c r="E183">
        <v>3.8019999999999998E-3</v>
      </c>
      <c r="F183">
        <v>2.419987887</v>
      </c>
      <c r="M183">
        <v>25</v>
      </c>
      <c r="N183" t="s">
        <v>179</v>
      </c>
      <c r="P183" t="s">
        <v>180</v>
      </c>
      <c r="X183" t="s">
        <v>730</v>
      </c>
      <c r="Y183" t="s">
        <v>731</v>
      </c>
      <c r="Z183">
        <v>330.18407480000002</v>
      </c>
    </row>
    <row r="184" spans="1:26" hidden="1">
      <c r="A184">
        <v>183</v>
      </c>
      <c r="B184" t="s">
        <v>732</v>
      </c>
      <c r="C184" t="s">
        <v>134</v>
      </c>
      <c r="D184" s="13" t="b">
        <v>0</v>
      </c>
      <c r="E184">
        <v>1.524E-3</v>
      </c>
      <c r="F184">
        <v>2.8170150330000001</v>
      </c>
      <c r="M184">
        <v>25</v>
      </c>
      <c r="N184" t="s">
        <v>179</v>
      </c>
      <c r="P184" t="s">
        <v>180</v>
      </c>
      <c r="X184" t="s">
        <v>733</v>
      </c>
      <c r="Y184" t="s">
        <v>734</v>
      </c>
      <c r="Z184">
        <v>344.19972480000001</v>
      </c>
    </row>
    <row r="185" spans="1:26" hidden="1">
      <c r="A185">
        <v>184</v>
      </c>
      <c r="B185" t="s">
        <v>735</v>
      </c>
      <c r="C185" t="s">
        <v>134</v>
      </c>
      <c r="D185" s="13" t="b">
        <v>0</v>
      </c>
      <c r="E185">
        <v>6.5309999999999999E-4</v>
      </c>
      <c r="F185">
        <v>3.1850203160000001</v>
      </c>
      <c r="M185">
        <v>25</v>
      </c>
      <c r="N185" t="s">
        <v>179</v>
      </c>
      <c r="P185" t="s">
        <v>180</v>
      </c>
      <c r="X185" t="s">
        <v>736</v>
      </c>
      <c r="Y185" t="s">
        <v>737</v>
      </c>
      <c r="Z185">
        <v>372.23102490000002</v>
      </c>
    </row>
    <row r="186" spans="1:26" hidden="1">
      <c r="A186">
        <v>185</v>
      </c>
      <c r="B186" t="s">
        <v>738</v>
      </c>
      <c r="C186" t="s">
        <v>134</v>
      </c>
      <c r="D186" s="13" t="b">
        <v>0</v>
      </c>
      <c r="E186">
        <v>1.197E-4</v>
      </c>
      <c r="F186">
        <v>3.9219058499999999</v>
      </c>
      <c r="M186">
        <v>25</v>
      </c>
      <c r="N186" t="s">
        <v>179</v>
      </c>
      <c r="P186" t="s">
        <v>180</v>
      </c>
      <c r="X186" t="s">
        <v>739</v>
      </c>
      <c r="Y186" t="s">
        <v>740</v>
      </c>
      <c r="Z186">
        <v>400.2623251</v>
      </c>
    </row>
    <row r="187" spans="1:26" hidden="1">
      <c r="A187">
        <v>186</v>
      </c>
      <c r="B187" t="s">
        <v>741</v>
      </c>
      <c r="C187" t="s">
        <v>134</v>
      </c>
      <c r="D187" s="13" t="b">
        <v>0</v>
      </c>
      <c r="E187">
        <v>1.9589999999999998E-3</v>
      </c>
      <c r="F187">
        <v>2.7079655640000002</v>
      </c>
      <c r="M187">
        <v>25</v>
      </c>
      <c r="N187" t="s">
        <v>179</v>
      </c>
      <c r="P187" t="s">
        <v>180</v>
      </c>
      <c r="X187" t="s">
        <v>742</v>
      </c>
      <c r="Y187" t="s">
        <v>743</v>
      </c>
      <c r="Z187">
        <v>364.1684247</v>
      </c>
    </row>
    <row r="188" spans="1:26" hidden="1">
      <c r="A188">
        <v>187</v>
      </c>
      <c r="B188" t="s">
        <v>744</v>
      </c>
      <c r="C188" t="s">
        <v>134</v>
      </c>
      <c r="D188" s="13" t="b">
        <v>0</v>
      </c>
      <c r="E188">
        <v>2.393E-2</v>
      </c>
      <c r="F188">
        <v>1.621057301</v>
      </c>
      <c r="M188">
        <v>25</v>
      </c>
      <c r="N188" t="s">
        <v>179</v>
      </c>
      <c r="X188" t="s">
        <v>745</v>
      </c>
      <c r="Y188" t="s">
        <v>746</v>
      </c>
      <c r="Z188">
        <v>304.13203920000001</v>
      </c>
    </row>
    <row r="189" spans="1:26" hidden="1">
      <c r="A189">
        <v>188</v>
      </c>
      <c r="B189" t="s">
        <v>747</v>
      </c>
      <c r="C189" t="s">
        <v>134</v>
      </c>
      <c r="D189" s="13" t="b">
        <v>0</v>
      </c>
      <c r="E189">
        <v>2.477E-2</v>
      </c>
      <c r="F189">
        <v>1.6060739930000001</v>
      </c>
      <c r="M189">
        <v>25</v>
      </c>
      <c r="N189" t="s">
        <v>179</v>
      </c>
      <c r="P189" t="s">
        <v>180</v>
      </c>
      <c r="W189" t="s">
        <v>748</v>
      </c>
      <c r="X189" t="s">
        <v>749</v>
      </c>
      <c r="Y189" t="s">
        <v>750</v>
      </c>
      <c r="Z189">
        <v>288.13712459999999</v>
      </c>
    </row>
    <row r="190" spans="1:26" hidden="1">
      <c r="A190">
        <v>189</v>
      </c>
      <c r="B190" t="s">
        <v>751</v>
      </c>
      <c r="C190" t="s">
        <v>83</v>
      </c>
      <c r="D190" s="1" t="b">
        <v>0</v>
      </c>
      <c r="E190">
        <v>2.3010000000000001E-3</v>
      </c>
      <c r="F190">
        <v>2.6380833809999999</v>
      </c>
      <c r="M190">
        <v>25</v>
      </c>
      <c r="N190" t="s">
        <v>207</v>
      </c>
      <c r="W190" t="s">
        <v>752</v>
      </c>
      <c r="X190" t="s">
        <v>753</v>
      </c>
      <c r="Y190" t="s">
        <v>754</v>
      </c>
      <c r="Z190">
        <v>188.17762999999999</v>
      </c>
    </row>
    <row r="191" spans="1:26" hidden="1">
      <c r="A191">
        <v>190</v>
      </c>
      <c r="B191" t="s">
        <v>755</v>
      </c>
      <c r="C191" t="s">
        <v>83</v>
      </c>
      <c r="D191" s="1" t="b">
        <v>0</v>
      </c>
      <c r="E191">
        <v>2.5999999999999998E-4</v>
      </c>
      <c r="F191">
        <v>3.5850266519999998</v>
      </c>
      <c r="M191">
        <v>25</v>
      </c>
      <c r="N191" t="s">
        <v>207</v>
      </c>
      <c r="X191" t="s">
        <v>756</v>
      </c>
      <c r="Y191" t="s">
        <v>757</v>
      </c>
      <c r="Z191">
        <v>261.23039390000002</v>
      </c>
    </row>
    <row r="192" spans="1:26" hidden="1">
      <c r="A192">
        <v>191</v>
      </c>
      <c r="B192" t="s">
        <v>758</v>
      </c>
      <c r="C192" t="s">
        <v>83</v>
      </c>
      <c r="D192" s="1" t="b">
        <v>0</v>
      </c>
      <c r="E192">
        <v>5.0229999999999997E-3</v>
      </c>
      <c r="F192">
        <v>2.2990368220000001</v>
      </c>
      <c r="M192">
        <v>25</v>
      </c>
      <c r="N192" t="s">
        <v>207</v>
      </c>
      <c r="X192" t="s">
        <v>759</v>
      </c>
      <c r="Y192" t="s">
        <v>760</v>
      </c>
      <c r="Z192">
        <v>349.28282330000002</v>
      </c>
    </row>
    <row r="193" spans="1:26" hidden="1">
      <c r="A193">
        <v>192</v>
      </c>
      <c r="B193" t="s">
        <v>761</v>
      </c>
      <c r="C193" t="s">
        <v>83</v>
      </c>
      <c r="D193" s="1" t="b">
        <v>0</v>
      </c>
      <c r="E193">
        <v>6.4120000000000002E-3</v>
      </c>
      <c r="F193">
        <v>2.1930064859999998</v>
      </c>
      <c r="M193">
        <v>25</v>
      </c>
      <c r="N193" t="s">
        <v>207</v>
      </c>
      <c r="X193" t="s">
        <v>762</v>
      </c>
      <c r="Y193" t="s">
        <v>763</v>
      </c>
      <c r="Z193">
        <v>393.30903810000001</v>
      </c>
    </row>
    <row r="194" spans="1:26">
      <c r="A194">
        <v>193</v>
      </c>
      <c r="B194" s="2" t="s">
        <v>764</v>
      </c>
      <c r="C194" t="s">
        <v>83</v>
      </c>
      <c r="D194" s="1" t="b">
        <v>1</v>
      </c>
      <c r="E194">
        <v>6.8000000000000005E-4</v>
      </c>
      <c r="F194">
        <v>3.1674910870000001</v>
      </c>
      <c r="G194" s="2"/>
      <c r="H194" s="2"/>
      <c r="I194" s="2"/>
      <c r="J194" s="2"/>
      <c r="K194" s="2"/>
      <c r="L194" s="2"/>
      <c r="M194">
        <v>25</v>
      </c>
      <c r="N194" t="s">
        <v>135</v>
      </c>
      <c r="X194" t="s">
        <v>765</v>
      </c>
      <c r="Y194" t="s">
        <v>766</v>
      </c>
      <c r="Z194">
        <v>334.27192430000002</v>
      </c>
    </row>
    <row r="195" spans="1:26">
      <c r="A195">
        <v>194</v>
      </c>
      <c r="B195" s="2" t="s">
        <v>767</v>
      </c>
      <c r="C195" t="s">
        <v>83</v>
      </c>
      <c r="D195" s="1" t="b">
        <v>1</v>
      </c>
      <c r="E195">
        <v>7.6000000000000004E-4</v>
      </c>
      <c r="F195">
        <v>3.119186408</v>
      </c>
      <c r="G195" s="2"/>
      <c r="H195" s="3">
        <v>3.1099999999999999E-6</v>
      </c>
      <c r="I195" s="2"/>
      <c r="J195" s="2"/>
      <c r="K195" s="2"/>
      <c r="L195" s="2"/>
      <c r="M195">
        <v>25</v>
      </c>
      <c r="N195" t="s">
        <v>135</v>
      </c>
      <c r="P195" s="2" t="s">
        <v>768</v>
      </c>
      <c r="X195" t="s">
        <v>769</v>
      </c>
      <c r="Y195" t="s">
        <v>770</v>
      </c>
      <c r="Z195">
        <v>378.29813910000001</v>
      </c>
    </row>
    <row r="196" spans="1:26">
      <c r="A196">
        <v>195</v>
      </c>
      <c r="B196" s="2" t="s">
        <v>771</v>
      </c>
      <c r="C196" t="s">
        <v>83</v>
      </c>
      <c r="D196" s="1" t="b">
        <v>1</v>
      </c>
      <c r="E196">
        <v>8.9999999999999998E-4</v>
      </c>
      <c r="F196">
        <v>3.0457574909999998</v>
      </c>
      <c r="G196">
        <v>30</v>
      </c>
      <c r="H196">
        <v>3.0000000000000001E-6</v>
      </c>
      <c r="I196">
        <v>0.55000000000000004</v>
      </c>
      <c r="J196">
        <v>42</v>
      </c>
      <c r="K196">
        <v>4.28</v>
      </c>
      <c r="L196">
        <v>5.2899999999999998E-5</v>
      </c>
      <c r="M196">
        <v>25</v>
      </c>
      <c r="N196" t="s">
        <v>135</v>
      </c>
      <c r="O196" t="s">
        <v>137</v>
      </c>
      <c r="R196" t="s">
        <v>137</v>
      </c>
      <c r="S196" t="s">
        <v>137</v>
      </c>
      <c r="X196" t="s">
        <v>772</v>
      </c>
      <c r="Y196" t="s">
        <v>773</v>
      </c>
      <c r="Z196">
        <v>422.32435379999998</v>
      </c>
    </row>
    <row r="197" spans="1:26">
      <c r="A197">
        <v>196</v>
      </c>
      <c r="B197" s="2" t="s">
        <v>774</v>
      </c>
      <c r="C197" t="s">
        <v>83</v>
      </c>
      <c r="D197" s="1" t="b">
        <v>1</v>
      </c>
      <c r="E197">
        <v>1E-3</v>
      </c>
      <c r="F197">
        <v>3</v>
      </c>
      <c r="G197">
        <v>35.6</v>
      </c>
      <c r="H197">
        <v>2.3800000000000001E-6</v>
      </c>
      <c r="I197">
        <v>0.7</v>
      </c>
      <c r="J197">
        <v>36.4</v>
      </c>
      <c r="K197">
        <v>4.22</v>
      </c>
      <c r="L197">
        <v>5.9899999999999999E-5</v>
      </c>
      <c r="M197">
        <v>25</v>
      </c>
      <c r="N197" t="s">
        <v>135</v>
      </c>
      <c r="O197" t="s">
        <v>137</v>
      </c>
      <c r="R197" t="s">
        <v>137</v>
      </c>
      <c r="S197" t="s">
        <v>137</v>
      </c>
      <c r="X197" t="s">
        <v>775</v>
      </c>
      <c r="Y197" t="s">
        <v>776</v>
      </c>
      <c r="Z197">
        <v>510.3767833</v>
      </c>
    </row>
    <row r="198" spans="1:26" hidden="1">
      <c r="A198">
        <v>197</v>
      </c>
      <c r="B198" t="s">
        <v>777</v>
      </c>
      <c r="C198" t="s">
        <v>134</v>
      </c>
      <c r="D198" s="13" t="b">
        <v>0</v>
      </c>
      <c r="E198">
        <v>1.23E-2</v>
      </c>
      <c r="F198">
        <v>1.910094889</v>
      </c>
      <c r="M198">
        <v>25</v>
      </c>
      <c r="N198" t="s">
        <v>179</v>
      </c>
      <c r="P198" t="s">
        <v>224</v>
      </c>
      <c r="X198" t="s">
        <v>778</v>
      </c>
      <c r="Y198" t="s">
        <v>779</v>
      </c>
      <c r="Z198">
        <v>348.15825389999998</v>
      </c>
    </row>
    <row r="199" spans="1:26" hidden="1">
      <c r="A199">
        <v>198</v>
      </c>
      <c r="B199" t="s">
        <v>780</v>
      </c>
      <c r="C199" t="s">
        <v>134</v>
      </c>
      <c r="D199" s="13" t="b">
        <v>0</v>
      </c>
      <c r="E199">
        <v>1.6330000000000001E-2</v>
      </c>
      <c r="F199">
        <v>1.7870138149999999</v>
      </c>
      <c r="M199">
        <v>25</v>
      </c>
      <c r="N199" t="s">
        <v>179</v>
      </c>
      <c r="X199" t="s">
        <v>781</v>
      </c>
      <c r="Y199" t="s">
        <v>782</v>
      </c>
      <c r="Z199">
        <v>288.13712459999999</v>
      </c>
    </row>
    <row r="200" spans="1:26" hidden="1">
      <c r="A200">
        <v>199</v>
      </c>
      <c r="B200" t="s">
        <v>783</v>
      </c>
      <c r="C200" t="s">
        <v>54</v>
      </c>
      <c r="D200" s="1" t="b">
        <v>0</v>
      </c>
      <c r="G200">
        <v>31.4</v>
      </c>
      <c r="O200" t="s">
        <v>29</v>
      </c>
      <c r="Q200" t="s">
        <v>349</v>
      </c>
      <c r="X200" t="s">
        <v>784</v>
      </c>
      <c r="Y200" t="s">
        <v>785</v>
      </c>
      <c r="Z200">
        <v>351.1772914</v>
      </c>
    </row>
    <row r="201" spans="1:26">
      <c r="A201">
        <v>200</v>
      </c>
      <c r="B201" s="2" t="s">
        <v>786</v>
      </c>
      <c r="C201" t="s">
        <v>83</v>
      </c>
      <c r="D201" s="1" t="b">
        <v>1</v>
      </c>
      <c r="E201">
        <v>2.6400000000000002E-4</v>
      </c>
      <c r="F201">
        <v>3.578396073</v>
      </c>
      <c r="G201" s="2">
        <v>34.9</v>
      </c>
      <c r="H201" s="3">
        <v>3.7500000000000001E-6</v>
      </c>
      <c r="I201" s="2">
        <f>44/100</f>
        <v>0.44</v>
      </c>
      <c r="J201" s="2">
        <v>37.1</v>
      </c>
      <c r="K201" s="2">
        <v>4.38</v>
      </c>
      <c r="L201" s="2">
        <f>10^(-K201)</f>
        <v>4.1686938347033504E-5</v>
      </c>
      <c r="M201">
        <v>25</v>
      </c>
      <c r="N201" t="s">
        <v>135</v>
      </c>
      <c r="W201" t="s">
        <v>787</v>
      </c>
      <c r="X201" t="s">
        <v>788</v>
      </c>
      <c r="Y201" t="s">
        <v>789</v>
      </c>
      <c r="Z201">
        <v>273.23039390000002</v>
      </c>
    </row>
    <row r="202" spans="1:26">
      <c r="A202">
        <v>201</v>
      </c>
      <c r="B202" s="2" t="s">
        <v>790</v>
      </c>
      <c r="C202" t="s">
        <v>83</v>
      </c>
      <c r="D202" s="1" t="b">
        <v>1</v>
      </c>
      <c r="E202">
        <v>5.0000000000000001E-4</v>
      </c>
      <c r="F202">
        <v>3.301029996</v>
      </c>
      <c r="G202" s="2">
        <f>72.4-J202</f>
        <v>31.100000000000009</v>
      </c>
      <c r="H202" s="3">
        <v>3.4000000000000001E-6</v>
      </c>
      <c r="I202" s="2">
        <f>49/100</f>
        <v>0.49</v>
      </c>
      <c r="J202" s="2">
        <v>41.3</v>
      </c>
      <c r="K202" s="2"/>
      <c r="L202" s="2"/>
      <c r="M202" s="2">
        <v>23</v>
      </c>
      <c r="N202" t="s">
        <v>135</v>
      </c>
      <c r="O202" s="2" t="s">
        <v>791</v>
      </c>
      <c r="Q202" s="2" t="s">
        <v>791</v>
      </c>
      <c r="R202" s="2" t="s">
        <v>791</v>
      </c>
      <c r="S202" s="2" t="s">
        <v>791</v>
      </c>
      <c r="T202" s="2" t="s">
        <v>791</v>
      </c>
      <c r="X202" t="s">
        <v>792</v>
      </c>
      <c r="Y202" t="s">
        <v>793</v>
      </c>
      <c r="Z202">
        <v>361.28282330000002</v>
      </c>
    </row>
    <row r="203" spans="1:26" hidden="1">
      <c r="A203">
        <v>202</v>
      </c>
      <c r="B203" t="s">
        <v>794</v>
      </c>
      <c r="C203" t="s">
        <v>54</v>
      </c>
      <c r="D203" s="1" t="b">
        <v>0</v>
      </c>
      <c r="G203">
        <v>39</v>
      </c>
      <c r="O203" t="s">
        <v>29</v>
      </c>
      <c r="Q203" t="s">
        <v>795</v>
      </c>
      <c r="X203" t="s">
        <v>796</v>
      </c>
      <c r="Y203" t="s">
        <v>797</v>
      </c>
      <c r="Z203">
        <v>382.27509149999997</v>
      </c>
    </row>
    <row r="204" spans="1:26" hidden="1">
      <c r="A204">
        <v>203</v>
      </c>
      <c r="B204" t="s">
        <v>798</v>
      </c>
      <c r="C204" t="s">
        <v>28</v>
      </c>
      <c r="D204" s="1" t="b">
        <v>0</v>
      </c>
      <c r="E204">
        <v>2.3389999999999999E-3</v>
      </c>
      <c r="F204">
        <v>2.6309697779999999</v>
      </c>
      <c r="M204">
        <v>25</v>
      </c>
      <c r="N204" t="s">
        <v>484</v>
      </c>
      <c r="X204" t="s">
        <v>799</v>
      </c>
      <c r="Y204" t="s">
        <v>800</v>
      </c>
      <c r="Z204">
        <v>656.32395140000006</v>
      </c>
    </row>
    <row r="205" spans="1:26" hidden="1">
      <c r="A205">
        <v>204</v>
      </c>
      <c r="B205" t="s">
        <v>801</v>
      </c>
      <c r="C205" t="s">
        <v>83</v>
      </c>
      <c r="D205" s="1" t="b">
        <v>0</v>
      </c>
      <c r="G205">
        <v>34.1</v>
      </c>
      <c r="O205" t="s">
        <v>29</v>
      </c>
      <c r="Q205" t="s">
        <v>312</v>
      </c>
      <c r="X205" t="s">
        <v>802</v>
      </c>
      <c r="Y205" t="s">
        <v>803</v>
      </c>
      <c r="Z205">
        <v>342.28824309999999</v>
      </c>
    </row>
    <row r="206" spans="1:26" hidden="1">
      <c r="A206">
        <v>205</v>
      </c>
      <c r="B206" t="s">
        <v>804</v>
      </c>
      <c r="C206" t="s">
        <v>311</v>
      </c>
      <c r="D206" s="1" t="b">
        <v>0</v>
      </c>
      <c r="G206">
        <v>25.2</v>
      </c>
      <c r="O206" t="s">
        <v>29</v>
      </c>
      <c r="Q206" t="s">
        <v>312</v>
      </c>
      <c r="X206" t="s">
        <v>805</v>
      </c>
      <c r="Y206" t="s">
        <v>806</v>
      </c>
      <c r="Z206">
        <v>468.28692269999999</v>
      </c>
    </row>
    <row r="207" spans="1:26">
      <c r="A207">
        <v>206</v>
      </c>
      <c r="B207" s="2" t="s">
        <v>807</v>
      </c>
      <c r="C207" t="s">
        <v>161</v>
      </c>
      <c r="D207" s="1" t="b">
        <v>1</v>
      </c>
      <c r="E207">
        <v>2.3E-3</v>
      </c>
      <c r="F207">
        <v>2.638272164</v>
      </c>
      <c r="G207">
        <v>43</v>
      </c>
      <c r="H207">
        <v>2.3099999999999999E-6</v>
      </c>
      <c r="I207">
        <v>0.72</v>
      </c>
      <c r="J207">
        <v>29.75</v>
      </c>
      <c r="K207">
        <v>3.3323569229999999</v>
      </c>
      <c r="L207">
        <v>3.5708842999999997E-2</v>
      </c>
      <c r="M207">
        <v>20</v>
      </c>
      <c r="N207" t="s">
        <v>162</v>
      </c>
      <c r="O207" t="s">
        <v>163</v>
      </c>
      <c r="P207" t="s">
        <v>808</v>
      </c>
      <c r="Q207" s="2" t="s">
        <v>809</v>
      </c>
      <c r="R207" t="s">
        <v>810</v>
      </c>
      <c r="S207" t="s">
        <v>31</v>
      </c>
      <c r="T207" s="2" t="s">
        <v>809</v>
      </c>
      <c r="U207" t="s">
        <v>31</v>
      </c>
      <c r="V207" t="s">
        <v>31</v>
      </c>
      <c r="W207" t="s">
        <v>811</v>
      </c>
      <c r="X207" t="s">
        <v>812</v>
      </c>
      <c r="Y207" t="s">
        <v>813</v>
      </c>
      <c r="Z207">
        <v>850.36818819999996</v>
      </c>
    </row>
    <row r="208" spans="1:26">
      <c r="A208">
        <v>207</v>
      </c>
      <c r="B208" s="2" t="s">
        <v>814</v>
      </c>
      <c r="C208" t="s">
        <v>161</v>
      </c>
      <c r="D208" s="1" t="b">
        <v>1</v>
      </c>
      <c r="E208">
        <v>9.5E-4</v>
      </c>
      <c r="F208">
        <v>3.022276395</v>
      </c>
      <c r="G208">
        <v>44.1</v>
      </c>
      <c r="H208">
        <v>2.48E-6</v>
      </c>
      <c r="I208">
        <v>0.67</v>
      </c>
      <c r="J208">
        <v>28.65</v>
      </c>
      <c r="K208">
        <v>3.589765318</v>
      </c>
      <c r="L208">
        <v>2.7604808000000002E-2</v>
      </c>
      <c r="M208">
        <v>20</v>
      </c>
      <c r="N208" t="s">
        <v>162</v>
      </c>
      <c r="O208" t="s">
        <v>163</v>
      </c>
      <c r="P208" t="s">
        <v>164</v>
      </c>
      <c r="Q208" s="2" t="s">
        <v>809</v>
      </c>
      <c r="R208" t="s">
        <v>810</v>
      </c>
      <c r="S208" t="s">
        <v>31</v>
      </c>
      <c r="T208" s="2" t="s">
        <v>809</v>
      </c>
      <c r="U208" t="s">
        <v>31</v>
      </c>
      <c r="V208" t="s">
        <v>31</v>
      </c>
      <c r="W208" t="s">
        <v>815</v>
      </c>
      <c r="X208" t="s">
        <v>816</v>
      </c>
      <c r="Y208" t="s">
        <v>817</v>
      </c>
      <c r="Z208">
        <v>688.3153648</v>
      </c>
    </row>
    <row r="209" spans="1:26">
      <c r="A209">
        <v>208</v>
      </c>
      <c r="B209" s="2" t="s">
        <v>818</v>
      </c>
      <c r="C209" t="s">
        <v>161</v>
      </c>
      <c r="D209" s="1" t="b">
        <v>1</v>
      </c>
      <c r="E209">
        <v>4.6000000000000001E-4</v>
      </c>
      <c r="F209">
        <v>3.337242168</v>
      </c>
      <c r="G209">
        <v>37.4</v>
      </c>
      <c r="H209">
        <v>2.9699999999999999E-6</v>
      </c>
      <c r="I209">
        <v>0.56000000000000005</v>
      </c>
      <c r="J209">
        <v>35.35</v>
      </c>
      <c r="K209">
        <v>4.2129886169999997</v>
      </c>
      <c r="L209">
        <v>1.4802064E-2</v>
      </c>
      <c r="M209">
        <v>20</v>
      </c>
      <c r="N209" t="s">
        <v>162</v>
      </c>
      <c r="O209" t="s">
        <v>163</v>
      </c>
      <c r="P209" t="s">
        <v>164</v>
      </c>
      <c r="Q209" s="2" t="s">
        <v>809</v>
      </c>
      <c r="R209" t="s">
        <v>810</v>
      </c>
      <c r="S209" t="s">
        <v>31</v>
      </c>
      <c r="T209" s="2" t="s">
        <v>809</v>
      </c>
      <c r="U209" t="s">
        <v>31</v>
      </c>
      <c r="V209" t="s">
        <v>31</v>
      </c>
      <c r="W209" t="s">
        <v>819</v>
      </c>
      <c r="X209" t="s">
        <v>820</v>
      </c>
      <c r="Y209" t="s">
        <v>821</v>
      </c>
      <c r="Z209">
        <v>526.26254140000003</v>
      </c>
    </row>
    <row r="210" spans="1:26" hidden="1">
      <c r="A210">
        <v>209</v>
      </c>
      <c r="B210" t="s">
        <v>822</v>
      </c>
      <c r="C210" t="s">
        <v>28</v>
      </c>
      <c r="D210" s="1" t="b">
        <v>0</v>
      </c>
      <c r="G210">
        <v>34</v>
      </c>
      <c r="O210" t="s">
        <v>29</v>
      </c>
      <c r="Q210" t="s">
        <v>494</v>
      </c>
      <c r="X210" t="s">
        <v>823</v>
      </c>
      <c r="Y210" t="s">
        <v>824</v>
      </c>
      <c r="Z210">
        <v>698.51312889999997</v>
      </c>
    </row>
    <row r="211" spans="1:26" hidden="1">
      <c r="A211">
        <v>210</v>
      </c>
      <c r="B211" t="s">
        <v>825</v>
      </c>
      <c r="C211" t="s">
        <v>28</v>
      </c>
      <c r="D211" s="1" t="b">
        <v>0</v>
      </c>
      <c r="G211">
        <v>30</v>
      </c>
      <c r="O211" t="s">
        <v>29</v>
      </c>
      <c r="Q211" t="s">
        <v>494</v>
      </c>
      <c r="X211" t="s">
        <v>826</v>
      </c>
      <c r="Y211" t="s">
        <v>827</v>
      </c>
      <c r="Z211">
        <v>642.45052859999998</v>
      </c>
    </row>
    <row r="212" spans="1:26" hidden="1">
      <c r="A212">
        <v>211</v>
      </c>
      <c r="B212" t="s">
        <v>828</v>
      </c>
      <c r="C212" t="s">
        <v>134</v>
      </c>
      <c r="D212" s="13" t="b">
        <v>0</v>
      </c>
      <c r="E212">
        <v>9.8000000000000004E-2</v>
      </c>
      <c r="F212">
        <v>1.008773924</v>
      </c>
      <c r="M212">
        <v>25</v>
      </c>
      <c r="N212" t="s">
        <v>179</v>
      </c>
      <c r="P212" t="s">
        <v>498</v>
      </c>
      <c r="X212" t="s">
        <v>829</v>
      </c>
      <c r="Y212" t="s">
        <v>830</v>
      </c>
      <c r="Z212">
        <v>224.1178616</v>
      </c>
    </row>
    <row r="213" spans="1:26">
      <c r="A213">
        <v>212</v>
      </c>
      <c r="B213" s="2" t="s">
        <v>831</v>
      </c>
      <c r="C213" t="s">
        <v>311</v>
      </c>
      <c r="D213" s="1" t="b">
        <v>1</v>
      </c>
      <c r="E213">
        <v>1.2999999999999999E-2</v>
      </c>
      <c r="F213">
        <v>1.8860566480000001</v>
      </c>
      <c r="G213" s="2"/>
      <c r="H213" s="3">
        <v>2.7700000000000002E-6</v>
      </c>
      <c r="I213" s="2">
        <f>59.5/100</f>
        <v>0.59499999999999997</v>
      </c>
      <c r="J213" s="2"/>
      <c r="K213" s="2"/>
      <c r="L213" s="2"/>
      <c r="M213">
        <v>27</v>
      </c>
      <c r="N213" t="s">
        <v>135</v>
      </c>
      <c r="P213" s="2" t="s">
        <v>502</v>
      </c>
      <c r="R213" s="2" t="s">
        <v>502</v>
      </c>
      <c r="T213" s="2" t="s">
        <v>502</v>
      </c>
      <c r="W213" t="s">
        <v>832</v>
      </c>
      <c r="X213" t="s">
        <v>833</v>
      </c>
      <c r="Y213" t="s">
        <v>834</v>
      </c>
      <c r="Z213">
        <v>257.23547919999999</v>
      </c>
    </row>
    <row r="214" spans="1:26">
      <c r="A214">
        <v>213</v>
      </c>
      <c r="B214" t="s">
        <v>835</v>
      </c>
      <c r="C214" t="s">
        <v>311</v>
      </c>
      <c r="D214" s="1" t="b">
        <v>1</v>
      </c>
      <c r="E214">
        <v>5.1999999999999998E-3</v>
      </c>
      <c r="F214">
        <v>2.2839966559999998</v>
      </c>
      <c r="G214">
        <v>39.9</v>
      </c>
      <c r="H214">
        <v>3.5899999999999999E-6</v>
      </c>
      <c r="I214">
        <v>0.46254570099999998</v>
      </c>
      <c r="J214">
        <v>32.1</v>
      </c>
      <c r="K214" s="2">
        <v>2.875</v>
      </c>
      <c r="L214" s="2">
        <f>10^(-K214)</f>
        <v>1.3335214321633228E-3</v>
      </c>
      <c r="M214">
        <v>25</v>
      </c>
      <c r="N214" t="s">
        <v>135</v>
      </c>
      <c r="O214" s="2"/>
      <c r="P214" s="2" t="s">
        <v>836</v>
      </c>
      <c r="Q214" s="2"/>
      <c r="R214" s="2" t="s">
        <v>836</v>
      </c>
      <c r="S214" s="2" t="s">
        <v>836</v>
      </c>
      <c r="T214" s="2" t="s">
        <v>836</v>
      </c>
      <c r="U214" s="2" t="s">
        <v>836</v>
      </c>
      <c r="V214" s="2" t="s">
        <v>31</v>
      </c>
      <c r="X214" t="s">
        <v>837</v>
      </c>
      <c r="Y214" t="s">
        <v>838</v>
      </c>
      <c r="Z214">
        <v>277.20417909999998</v>
      </c>
    </row>
    <row r="215" spans="1:26" hidden="1">
      <c r="A215">
        <v>214</v>
      </c>
      <c r="B215" t="s">
        <v>839</v>
      </c>
      <c r="C215" t="s">
        <v>134</v>
      </c>
      <c r="D215" s="13" t="b">
        <v>0</v>
      </c>
      <c r="E215">
        <v>1.489E-2</v>
      </c>
      <c r="F215">
        <v>1.8271053020000001</v>
      </c>
      <c r="M215">
        <v>25</v>
      </c>
      <c r="N215" t="s">
        <v>179</v>
      </c>
      <c r="W215" t="s">
        <v>840</v>
      </c>
      <c r="X215" t="s">
        <v>841</v>
      </c>
      <c r="Y215" t="s">
        <v>842</v>
      </c>
      <c r="Z215">
        <v>272.14220990000001</v>
      </c>
    </row>
    <row r="216" spans="1:26" hidden="1">
      <c r="A216">
        <v>215</v>
      </c>
      <c r="B216" t="s">
        <v>843</v>
      </c>
      <c r="C216" t="s">
        <v>134</v>
      </c>
      <c r="D216" s="13" t="b">
        <v>0</v>
      </c>
      <c r="E216">
        <v>2.032E-3</v>
      </c>
      <c r="F216">
        <v>2.6920762960000002</v>
      </c>
      <c r="M216">
        <v>25</v>
      </c>
      <c r="N216" t="s">
        <v>179</v>
      </c>
      <c r="P216" t="s">
        <v>180</v>
      </c>
      <c r="W216" t="s">
        <v>844</v>
      </c>
      <c r="X216" t="s">
        <v>845</v>
      </c>
      <c r="Y216" t="s">
        <v>846</v>
      </c>
      <c r="Z216">
        <v>348.17351009999999</v>
      </c>
    </row>
    <row r="217" spans="1:26" hidden="1">
      <c r="A217">
        <v>216</v>
      </c>
      <c r="B217" t="s">
        <v>847</v>
      </c>
      <c r="C217" t="s">
        <v>134</v>
      </c>
      <c r="D217" s="13" t="b">
        <v>0</v>
      </c>
      <c r="E217">
        <v>5.1520000000000003E-3</v>
      </c>
      <c r="F217">
        <v>2.2880241460000001</v>
      </c>
      <c r="H217">
        <v>4.1399999999999997E-7</v>
      </c>
      <c r="I217">
        <v>4.01</v>
      </c>
      <c r="M217">
        <v>25</v>
      </c>
      <c r="N217" t="s">
        <v>179</v>
      </c>
      <c r="P217" t="s">
        <v>180</v>
      </c>
      <c r="T217" t="s">
        <v>289</v>
      </c>
      <c r="W217" t="s">
        <v>848</v>
      </c>
      <c r="X217" t="s">
        <v>849</v>
      </c>
      <c r="Y217" t="s">
        <v>850</v>
      </c>
      <c r="Z217">
        <v>316.1684247</v>
      </c>
    </row>
    <row r="218" spans="1:26" hidden="1">
      <c r="A218">
        <v>217</v>
      </c>
      <c r="B218" t="s">
        <v>851</v>
      </c>
      <c r="C218" t="s">
        <v>134</v>
      </c>
      <c r="D218" s="13" t="b">
        <v>0</v>
      </c>
      <c r="E218">
        <v>1.2589999999999999E-3</v>
      </c>
      <c r="F218">
        <v>2.89997427</v>
      </c>
      <c r="M218">
        <v>25</v>
      </c>
      <c r="N218" t="s">
        <v>179</v>
      </c>
      <c r="P218" t="s">
        <v>294</v>
      </c>
      <c r="W218" t="s">
        <v>852</v>
      </c>
      <c r="X218" t="s">
        <v>853</v>
      </c>
      <c r="Y218" t="s">
        <v>854</v>
      </c>
      <c r="Z218">
        <v>376.2048102</v>
      </c>
    </row>
    <row r="219" spans="1:26" hidden="1">
      <c r="A219">
        <v>218</v>
      </c>
      <c r="B219" t="s">
        <v>855</v>
      </c>
      <c r="C219" t="s">
        <v>134</v>
      </c>
      <c r="D219" s="13" t="b">
        <v>0</v>
      </c>
      <c r="E219">
        <v>2.3010000000000001E-3</v>
      </c>
      <c r="F219">
        <v>2.6380833809999999</v>
      </c>
      <c r="M219">
        <v>25</v>
      </c>
      <c r="N219" t="s">
        <v>179</v>
      </c>
      <c r="P219" t="s">
        <v>180</v>
      </c>
      <c r="X219" t="s">
        <v>856</v>
      </c>
      <c r="Y219" t="s">
        <v>857</v>
      </c>
      <c r="Z219">
        <v>344.19972480000001</v>
      </c>
    </row>
    <row r="220" spans="1:26" hidden="1">
      <c r="A220">
        <v>219</v>
      </c>
      <c r="B220" t="s">
        <v>858</v>
      </c>
      <c r="C220" t="s">
        <v>134</v>
      </c>
      <c r="D220" s="13" t="b">
        <v>0</v>
      </c>
      <c r="E220">
        <v>6.6530000000000001E-3</v>
      </c>
      <c r="F220">
        <v>2.1769824770000001</v>
      </c>
      <c r="M220">
        <v>25</v>
      </c>
      <c r="N220" t="s">
        <v>179</v>
      </c>
      <c r="P220" t="s">
        <v>180</v>
      </c>
      <c r="X220" t="s">
        <v>859</v>
      </c>
      <c r="Y220" t="s">
        <v>860</v>
      </c>
      <c r="Z220">
        <v>330.18407480000002</v>
      </c>
    </row>
    <row r="221" spans="1:26" hidden="1">
      <c r="A221">
        <v>220</v>
      </c>
      <c r="B221" t="s">
        <v>861</v>
      </c>
      <c r="C221" t="s">
        <v>134</v>
      </c>
      <c r="D221" s="13" t="b">
        <v>0</v>
      </c>
      <c r="E221">
        <v>9.1200000000000005E-4</v>
      </c>
      <c r="F221">
        <v>3.0400051619999999</v>
      </c>
      <c r="M221">
        <v>25</v>
      </c>
      <c r="N221" t="s">
        <v>179</v>
      </c>
      <c r="P221" t="s">
        <v>294</v>
      </c>
      <c r="W221" t="s">
        <v>862</v>
      </c>
      <c r="X221" t="s">
        <v>863</v>
      </c>
      <c r="Y221" t="s">
        <v>864</v>
      </c>
      <c r="Z221">
        <v>390.22046030000001</v>
      </c>
    </row>
    <row r="222" spans="1:26" hidden="1">
      <c r="A222">
        <v>221</v>
      </c>
      <c r="B222" t="s">
        <v>865</v>
      </c>
      <c r="C222" t="s">
        <v>134</v>
      </c>
      <c r="D222" s="13" t="b">
        <v>0</v>
      </c>
      <c r="E222">
        <v>4.2459999999999998E-3</v>
      </c>
      <c r="F222">
        <v>2.37202001</v>
      </c>
      <c r="H222">
        <v>4.9999999999999998E-7</v>
      </c>
      <c r="I222">
        <v>3.32</v>
      </c>
      <c r="M222">
        <v>25</v>
      </c>
      <c r="N222" t="s">
        <v>179</v>
      </c>
      <c r="P222" t="s">
        <v>180</v>
      </c>
      <c r="T222" t="s">
        <v>289</v>
      </c>
      <c r="W222" t="s">
        <v>866</v>
      </c>
      <c r="X222" t="s">
        <v>867</v>
      </c>
      <c r="Y222" t="s">
        <v>868</v>
      </c>
      <c r="Z222">
        <v>344.19972480000001</v>
      </c>
    </row>
    <row r="223" spans="1:26" hidden="1">
      <c r="A223">
        <v>222</v>
      </c>
      <c r="B223" t="s">
        <v>869</v>
      </c>
      <c r="C223" t="s">
        <v>134</v>
      </c>
      <c r="D223" s="13" t="b">
        <v>0</v>
      </c>
      <c r="E223">
        <v>2.6120000000000002E-3</v>
      </c>
      <c r="F223">
        <v>2.5830268269999999</v>
      </c>
      <c r="M223">
        <v>25</v>
      </c>
      <c r="N223" t="s">
        <v>179</v>
      </c>
      <c r="X223" t="s">
        <v>870</v>
      </c>
      <c r="Y223" t="s">
        <v>871</v>
      </c>
      <c r="Z223">
        <v>344.16333930000002</v>
      </c>
    </row>
    <row r="224" spans="1:26" hidden="1">
      <c r="A224">
        <v>223</v>
      </c>
      <c r="B224" t="s">
        <v>872</v>
      </c>
      <c r="C224" t="s">
        <v>134</v>
      </c>
      <c r="D224" s="13" t="b">
        <v>0</v>
      </c>
      <c r="E224">
        <v>1.6330000000000001E-2</v>
      </c>
      <c r="F224">
        <v>1.7870138149999999</v>
      </c>
      <c r="M224">
        <v>25</v>
      </c>
      <c r="N224" t="s">
        <v>179</v>
      </c>
      <c r="W224" t="s">
        <v>873</v>
      </c>
      <c r="X224" t="s">
        <v>874</v>
      </c>
      <c r="Y224" t="s">
        <v>875</v>
      </c>
      <c r="Z224">
        <v>288.13712459999999</v>
      </c>
    </row>
    <row r="225" spans="1:26" hidden="1">
      <c r="A225">
        <v>224</v>
      </c>
      <c r="B225" t="s">
        <v>876</v>
      </c>
      <c r="C225" t="s">
        <v>28</v>
      </c>
      <c r="D225" s="1" t="b">
        <v>0</v>
      </c>
      <c r="E225">
        <v>3.0969999999999999E-4</v>
      </c>
      <c r="F225">
        <v>3.5090587950000001</v>
      </c>
      <c r="M225">
        <v>25</v>
      </c>
      <c r="N225" t="s">
        <v>484</v>
      </c>
      <c r="P225" t="s">
        <v>648</v>
      </c>
      <c r="X225" t="s">
        <v>877</v>
      </c>
      <c r="Y225" t="s">
        <v>878</v>
      </c>
      <c r="Z225">
        <v>778.32521440000005</v>
      </c>
    </row>
    <row r="226" spans="1:26" hidden="1">
      <c r="A226">
        <v>225</v>
      </c>
      <c r="B226" t="s">
        <v>879</v>
      </c>
      <c r="C226" t="s">
        <v>28</v>
      </c>
      <c r="D226" s="1" t="b">
        <v>0</v>
      </c>
      <c r="E226">
        <v>3.4989999999999999E-3</v>
      </c>
      <c r="F226">
        <v>2.4560560580000002</v>
      </c>
      <c r="M226">
        <v>25</v>
      </c>
      <c r="N226" t="s">
        <v>484</v>
      </c>
      <c r="P226" t="s">
        <v>648</v>
      </c>
      <c r="X226" t="s">
        <v>880</v>
      </c>
      <c r="Y226" t="s">
        <v>881</v>
      </c>
      <c r="Z226">
        <v>764.30956430000003</v>
      </c>
    </row>
    <row r="227" spans="1:26" hidden="1">
      <c r="A227">
        <v>226</v>
      </c>
      <c r="B227" t="s">
        <v>882</v>
      </c>
      <c r="C227" t="s">
        <v>28</v>
      </c>
      <c r="D227" s="1" t="b">
        <v>0</v>
      </c>
      <c r="E227">
        <v>4.2949999999999998E-4</v>
      </c>
      <c r="F227">
        <v>3.3670368320000001</v>
      </c>
      <c r="M227">
        <v>25</v>
      </c>
      <c r="N227" t="s">
        <v>484</v>
      </c>
      <c r="P227" t="s">
        <v>648</v>
      </c>
      <c r="X227" t="s">
        <v>883</v>
      </c>
      <c r="Y227" t="s">
        <v>884</v>
      </c>
      <c r="Z227">
        <v>744.27211620000003</v>
      </c>
    </row>
    <row r="228" spans="1:26" hidden="1">
      <c r="A228">
        <v>227</v>
      </c>
      <c r="B228" t="s">
        <v>885</v>
      </c>
      <c r="C228" t="s">
        <v>28</v>
      </c>
      <c r="D228" s="1" t="b">
        <v>0</v>
      </c>
      <c r="E228">
        <v>3.9990000000000002E-4</v>
      </c>
      <c r="F228">
        <v>3.3980485960000002</v>
      </c>
      <c r="M228">
        <v>25</v>
      </c>
      <c r="N228" t="s">
        <v>484</v>
      </c>
      <c r="P228" t="s">
        <v>648</v>
      </c>
      <c r="X228" t="s">
        <v>886</v>
      </c>
      <c r="Y228" t="s">
        <v>887</v>
      </c>
      <c r="Z228">
        <v>750.29391420000002</v>
      </c>
    </row>
    <row r="229" spans="1:26" hidden="1">
      <c r="A229">
        <v>228</v>
      </c>
      <c r="B229" t="s">
        <v>888</v>
      </c>
      <c r="C229" t="s">
        <v>83</v>
      </c>
      <c r="D229" s="1" t="b">
        <v>0</v>
      </c>
      <c r="G229">
        <v>23.5</v>
      </c>
      <c r="O229" t="s">
        <v>29</v>
      </c>
      <c r="Q229" t="s">
        <v>578</v>
      </c>
      <c r="X229" t="s">
        <v>889</v>
      </c>
      <c r="Y229" t="s">
        <v>890</v>
      </c>
      <c r="Z229">
        <v>216.2089301</v>
      </c>
    </row>
    <row r="230" spans="1:26" hidden="1">
      <c r="A230">
        <v>229</v>
      </c>
      <c r="B230" t="s">
        <v>891</v>
      </c>
      <c r="C230" t="s">
        <v>83</v>
      </c>
      <c r="D230" s="1" t="b">
        <v>0</v>
      </c>
      <c r="E230">
        <v>1.7990000000000001E-4</v>
      </c>
      <c r="F230">
        <v>3.7449688370000001</v>
      </c>
      <c r="G230">
        <v>22.5</v>
      </c>
      <c r="H230">
        <v>6.2999999999999998E-6</v>
      </c>
      <c r="I230">
        <v>0.26</v>
      </c>
      <c r="J230">
        <v>49.3</v>
      </c>
      <c r="K230">
        <v>4.5599999999999996</v>
      </c>
      <c r="L230">
        <v>2.7699999999999999E-5</v>
      </c>
      <c r="M230">
        <v>25</v>
      </c>
      <c r="N230" t="s">
        <v>207</v>
      </c>
      <c r="O230" t="s">
        <v>29</v>
      </c>
      <c r="Q230" t="s">
        <v>578</v>
      </c>
      <c r="R230" t="s">
        <v>137</v>
      </c>
      <c r="S230" t="s">
        <v>137</v>
      </c>
      <c r="W230" t="s">
        <v>892</v>
      </c>
      <c r="X230" t="s">
        <v>893</v>
      </c>
      <c r="Y230" t="s">
        <v>894</v>
      </c>
      <c r="Z230">
        <v>202.19328010000001</v>
      </c>
    </row>
    <row r="231" spans="1:26" hidden="1">
      <c r="A231">
        <v>230</v>
      </c>
      <c r="B231" t="s">
        <v>895</v>
      </c>
      <c r="C231" t="s">
        <v>28</v>
      </c>
      <c r="D231" s="1" t="b">
        <v>0</v>
      </c>
      <c r="E231">
        <v>1.14E-3</v>
      </c>
      <c r="F231">
        <v>2.9430951489999999</v>
      </c>
      <c r="G231">
        <v>37.6</v>
      </c>
      <c r="H231">
        <v>1.9E-6</v>
      </c>
      <c r="I231">
        <v>0.87</v>
      </c>
      <c r="J231">
        <v>34.369999999999997</v>
      </c>
      <c r="K231">
        <v>3.580044252</v>
      </c>
      <c r="L231">
        <v>2.63E-4</v>
      </c>
      <c r="M231">
        <v>25</v>
      </c>
      <c r="N231" t="s">
        <v>896</v>
      </c>
      <c r="O231" t="s">
        <v>29</v>
      </c>
      <c r="Q231" t="s">
        <v>896</v>
      </c>
      <c r="R231" t="s">
        <v>896</v>
      </c>
      <c r="S231" t="s">
        <v>31</v>
      </c>
      <c r="T231" t="s">
        <v>896</v>
      </c>
      <c r="V231" t="s">
        <v>896</v>
      </c>
      <c r="W231" t="s">
        <v>897</v>
      </c>
      <c r="X231" t="s">
        <v>898</v>
      </c>
      <c r="Y231" t="s">
        <v>899</v>
      </c>
      <c r="Z231">
        <v>774.40220169999998</v>
      </c>
    </row>
    <row r="232" spans="1:26" hidden="1">
      <c r="A232">
        <v>231</v>
      </c>
      <c r="B232" t="s">
        <v>900</v>
      </c>
      <c r="C232" t="s">
        <v>28</v>
      </c>
      <c r="D232" s="1" t="b">
        <v>0</v>
      </c>
      <c r="E232">
        <v>1.07E-3</v>
      </c>
      <c r="F232">
        <v>2.9706162219999999</v>
      </c>
      <c r="G232">
        <v>35.200000000000003</v>
      </c>
      <c r="H232">
        <v>3.5200000000000002E-6</v>
      </c>
      <c r="I232">
        <v>0.55000000000000004</v>
      </c>
      <c r="J232">
        <v>36.770000000000003</v>
      </c>
      <c r="K232">
        <v>3.440093375</v>
      </c>
      <c r="L232">
        <v>3.6299999999999999E-4</v>
      </c>
      <c r="M232">
        <v>25</v>
      </c>
      <c r="N232" t="s">
        <v>896</v>
      </c>
      <c r="O232" t="s">
        <v>29</v>
      </c>
      <c r="Q232" t="s">
        <v>896</v>
      </c>
      <c r="R232" t="s">
        <v>896</v>
      </c>
      <c r="S232" t="s">
        <v>31</v>
      </c>
      <c r="T232" t="s">
        <v>896</v>
      </c>
      <c r="V232" t="s">
        <v>896</v>
      </c>
      <c r="W232" t="s">
        <v>901</v>
      </c>
      <c r="X232" t="s">
        <v>902</v>
      </c>
      <c r="Y232" t="s">
        <v>903</v>
      </c>
      <c r="Z232">
        <v>746.37090160000002</v>
      </c>
    </row>
    <row r="233" spans="1:26" hidden="1">
      <c r="A233">
        <v>232</v>
      </c>
      <c r="B233" t="s">
        <v>904</v>
      </c>
      <c r="C233" t="s">
        <v>28</v>
      </c>
      <c r="D233" s="1" t="b">
        <v>0</v>
      </c>
      <c r="E233">
        <v>1.0200000000000001E-3</v>
      </c>
      <c r="F233">
        <v>2.991399828</v>
      </c>
      <c r="G233">
        <v>32.9</v>
      </c>
      <c r="H233">
        <v>3.2899999999999998E-6</v>
      </c>
      <c r="I233">
        <v>0.72</v>
      </c>
      <c r="J233">
        <v>39.07</v>
      </c>
      <c r="K233">
        <v>3.721246399</v>
      </c>
      <c r="L233">
        <v>1.9000000000000001E-4</v>
      </c>
      <c r="M233">
        <v>25</v>
      </c>
      <c r="N233" t="s">
        <v>896</v>
      </c>
      <c r="O233" t="s">
        <v>29</v>
      </c>
      <c r="Q233" t="s">
        <v>896</v>
      </c>
      <c r="R233" t="s">
        <v>896</v>
      </c>
      <c r="S233" t="s">
        <v>31</v>
      </c>
      <c r="T233" t="s">
        <v>896</v>
      </c>
      <c r="V233" t="s">
        <v>896</v>
      </c>
      <c r="W233" t="s">
        <v>905</v>
      </c>
      <c r="X233" t="s">
        <v>906</v>
      </c>
      <c r="Y233" t="s">
        <v>907</v>
      </c>
      <c r="Z233">
        <v>732.35525159999997</v>
      </c>
    </row>
    <row r="234" spans="1:26" hidden="1">
      <c r="A234">
        <v>233</v>
      </c>
      <c r="B234" t="s">
        <v>908</v>
      </c>
      <c r="C234" t="s">
        <v>28</v>
      </c>
      <c r="D234" s="1" t="b">
        <v>0</v>
      </c>
      <c r="E234">
        <v>7.6000000000000004E-4</v>
      </c>
      <c r="F234">
        <v>3.119186408</v>
      </c>
      <c r="G234">
        <v>28.1</v>
      </c>
      <c r="H234">
        <v>2.8100000000000002E-6</v>
      </c>
      <c r="I234">
        <v>0.71</v>
      </c>
      <c r="J234">
        <v>43.87</v>
      </c>
      <c r="K234">
        <v>4.1135092750000002</v>
      </c>
      <c r="L234">
        <v>7.7000000000000001E-5</v>
      </c>
      <c r="M234">
        <v>25</v>
      </c>
      <c r="N234" t="s">
        <v>896</v>
      </c>
      <c r="O234" t="s">
        <v>29</v>
      </c>
      <c r="Q234" t="s">
        <v>896</v>
      </c>
      <c r="R234" t="s">
        <v>896</v>
      </c>
      <c r="S234" t="s">
        <v>31</v>
      </c>
      <c r="T234" t="s">
        <v>896</v>
      </c>
      <c r="V234" t="s">
        <v>896</v>
      </c>
      <c r="W234" t="s">
        <v>909</v>
      </c>
      <c r="X234" t="s">
        <v>910</v>
      </c>
      <c r="Y234" t="s">
        <v>911</v>
      </c>
      <c r="Z234">
        <v>718.33960149999996</v>
      </c>
    </row>
    <row r="235" spans="1:26" hidden="1">
      <c r="A235">
        <v>234</v>
      </c>
      <c r="B235" t="s">
        <v>912</v>
      </c>
      <c r="C235" t="s">
        <v>28</v>
      </c>
      <c r="D235" s="1" t="b">
        <v>0</v>
      </c>
      <c r="E235">
        <v>7.2000000000000005E-4</v>
      </c>
      <c r="F235">
        <v>3.1426675039999998</v>
      </c>
      <c r="G235">
        <v>30</v>
      </c>
      <c r="H235">
        <v>2.5299999999999999E-6</v>
      </c>
      <c r="I235">
        <v>0.65</v>
      </c>
      <c r="J235">
        <v>41.97</v>
      </c>
      <c r="K235">
        <v>3.9100948889999998</v>
      </c>
      <c r="L235">
        <v>1.2300000000000001E-4</v>
      </c>
      <c r="M235">
        <v>25</v>
      </c>
      <c r="N235" t="s">
        <v>896</v>
      </c>
      <c r="O235" t="s">
        <v>29</v>
      </c>
      <c r="Q235" t="s">
        <v>896</v>
      </c>
      <c r="R235" t="s">
        <v>896</v>
      </c>
      <c r="S235" t="s">
        <v>31</v>
      </c>
      <c r="T235" t="s">
        <v>896</v>
      </c>
      <c r="V235" t="s">
        <v>896</v>
      </c>
      <c r="W235" t="s">
        <v>913</v>
      </c>
      <c r="X235" t="s">
        <v>914</v>
      </c>
      <c r="Y235" t="s">
        <v>915</v>
      </c>
      <c r="Z235">
        <v>704.32395140000006</v>
      </c>
    </row>
    <row r="236" spans="1:26" hidden="1">
      <c r="A236">
        <v>235</v>
      </c>
      <c r="B236" t="s">
        <v>916</v>
      </c>
      <c r="C236" t="s">
        <v>54</v>
      </c>
      <c r="D236" s="1" t="b">
        <v>0</v>
      </c>
      <c r="E236">
        <v>1.021E-3</v>
      </c>
      <c r="F236">
        <v>2.9909742580000001</v>
      </c>
      <c r="G236">
        <v>28.3</v>
      </c>
      <c r="H236">
        <v>2.1299999999999999E-6</v>
      </c>
      <c r="I236">
        <v>0.78</v>
      </c>
      <c r="J236">
        <v>44.07</v>
      </c>
      <c r="K236">
        <v>3.91</v>
      </c>
      <c r="L236">
        <v>1.2300000000000001E-4</v>
      </c>
      <c r="M236">
        <v>25</v>
      </c>
      <c r="N236" t="s">
        <v>917</v>
      </c>
      <c r="O236" t="s">
        <v>29</v>
      </c>
      <c r="Q236" t="s">
        <v>917</v>
      </c>
      <c r="R236" t="s">
        <v>917</v>
      </c>
      <c r="S236" t="s">
        <v>917</v>
      </c>
      <c r="T236" t="s">
        <v>917</v>
      </c>
      <c r="V236" t="s">
        <v>917</v>
      </c>
      <c r="W236" t="s">
        <v>918</v>
      </c>
      <c r="X236" t="s">
        <v>919</v>
      </c>
      <c r="Y236" t="s">
        <v>920</v>
      </c>
      <c r="Z236">
        <v>376.1725404</v>
      </c>
    </row>
    <row r="237" spans="1:26" hidden="1">
      <c r="A237">
        <v>236</v>
      </c>
      <c r="B237" t="s">
        <v>921</v>
      </c>
      <c r="C237" t="s">
        <v>54</v>
      </c>
      <c r="D237" s="1" t="b">
        <v>0</v>
      </c>
      <c r="E237">
        <v>3.0100000000000001E-3</v>
      </c>
      <c r="F237">
        <v>2.521433504</v>
      </c>
      <c r="G237">
        <v>31.26</v>
      </c>
      <c r="H237">
        <v>2.0999999999999998E-6</v>
      </c>
      <c r="I237">
        <v>0.79</v>
      </c>
      <c r="J237">
        <v>41.14</v>
      </c>
      <c r="K237">
        <v>3.4</v>
      </c>
      <c r="L237">
        <v>3.9800000000000002E-4</v>
      </c>
      <c r="M237">
        <v>25</v>
      </c>
      <c r="N237" t="s">
        <v>917</v>
      </c>
      <c r="O237" t="s">
        <v>29</v>
      </c>
      <c r="Q237" t="s">
        <v>917</v>
      </c>
      <c r="R237" t="s">
        <v>917</v>
      </c>
      <c r="S237" t="s">
        <v>917</v>
      </c>
      <c r="T237" t="s">
        <v>917</v>
      </c>
      <c r="V237" t="s">
        <v>917</v>
      </c>
      <c r="W237" t="s">
        <v>922</v>
      </c>
      <c r="X237" t="s">
        <v>923</v>
      </c>
      <c r="Y237" t="s">
        <v>924</v>
      </c>
      <c r="Z237">
        <v>332.22305599999999</v>
      </c>
    </row>
    <row r="238" spans="1:26">
      <c r="A238">
        <v>237</v>
      </c>
      <c r="B238" s="2" t="s">
        <v>925</v>
      </c>
      <c r="C238" t="s">
        <v>83</v>
      </c>
      <c r="D238" s="1" t="b">
        <v>1</v>
      </c>
      <c r="E238">
        <v>2.9999999999999997E-4</v>
      </c>
      <c r="F238">
        <v>3.5228787449999999</v>
      </c>
      <c r="G238" s="2"/>
      <c r="H238" s="2"/>
      <c r="I238" s="2"/>
      <c r="J238" s="2"/>
      <c r="K238" s="2"/>
      <c r="L238" s="2"/>
      <c r="M238">
        <v>25</v>
      </c>
      <c r="N238" t="s">
        <v>135</v>
      </c>
      <c r="P238" s="2" t="s">
        <v>926</v>
      </c>
      <c r="X238" t="s">
        <v>927</v>
      </c>
      <c r="Y238" t="s">
        <v>928</v>
      </c>
      <c r="Z238">
        <v>524.39243339999996</v>
      </c>
    </row>
    <row r="239" spans="1:26" hidden="1">
      <c r="A239">
        <v>238</v>
      </c>
      <c r="B239" t="s">
        <v>929</v>
      </c>
      <c r="C239" t="s">
        <v>134</v>
      </c>
      <c r="D239" s="13" t="b">
        <v>0</v>
      </c>
      <c r="E239">
        <v>1.3089999999999999E-2</v>
      </c>
      <c r="F239">
        <v>1.8830603530000001</v>
      </c>
      <c r="M239">
        <v>25</v>
      </c>
      <c r="N239" t="s">
        <v>179</v>
      </c>
      <c r="P239" t="s">
        <v>180</v>
      </c>
      <c r="X239" t="s">
        <v>930</v>
      </c>
      <c r="Y239" t="s">
        <v>931</v>
      </c>
      <c r="Z239">
        <v>394.17898939999998</v>
      </c>
    </row>
    <row r="240" spans="1:26">
      <c r="A240">
        <v>239</v>
      </c>
      <c r="B240" s="2" t="s">
        <v>932</v>
      </c>
      <c r="C240" t="s">
        <v>83</v>
      </c>
      <c r="D240" s="1" t="b">
        <v>1</v>
      </c>
      <c r="E240">
        <v>2.1979999999999999E-3</v>
      </c>
      <c r="F240">
        <v>2.6579723120000001</v>
      </c>
      <c r="M240">
        <v>25</v>
      </c>
      <c r="N240" t="s">
        <v>207</v>
      </c>
      <c r="X240" t="s">
        <v>933</v>
      </c>
      <c r="Y240" t="s">
        <v>934</v>
      </c>
      <c r="Z240">
        <v>320.21988870000001</v>
      </c>
    </row>
    <row r="241" spans="1:26">
      <c r="A241">
        <v>240</v>
      </c>
      <c r="B241" t="s">
        <v>935</v>
      </c>
      <c r="C241" t="s">
        <v>54</v>
      </c>
      <c r="D241" s="1" t="b">
        <v>1</v>
      </c>
      <c r="E241">
        <v>5.8599999999999998E-3</v>
      </c>
      <c r="F241">
        <v>2.2321023840000001</v>
      </c>
      <c r="G241">
        <v>34.5</v>
      </c>
      <c r="H241">
        <v>1.99E-6</v>
      </c>
      <c r="I241">
        <v>0.83</v>
      </c>
      <c r="J241">
        <v>37.299999999999997</v>
      </c>
      <c r="K241">
        <v>3.0022820349999999</v>
      </c>
      <c r="L241">
        <v>4.9673582000000001E-2</v>
      </c>
      <c r="M241">
        <v>25</v>
      </c>
      <c r="N241" t="s">
        <v>349</v>
      </c>
      <c r="O241" t="s">
        <v>29</v>
      </c>
      <c r="Q241" t="s">
        <v>349</v>
      </c>
      <c r="R241" t="s">
        <v>349</v>
      </c>
      <c r="S241" t="s">
        <v>349</v>
      </c>
      <c r="T241" t="s">
        <v>349</v>
      </c>
      <c r="U241" t="s">
        <v>31</v>
      </c>
      <c r="V241" t="s">
        <v>31</v>
      </c>
      <c r="X241" t="s">
        <v>936</v>
      </c>
      <c r="Y241" t="s">
        <v>937</v>
      </c>
      <c r="Z241">
        <v>379.20859159999998</v>
      </c>
    </row>
    <row r="242" spans="1:26">
      <c r="A242">
        <v>241</v>
      </c>
      <c r="B242" s="2" t="s">
        <v>938</v>
      </c>
      <c r="C242" t="s">
        <v>54</v>
      </c>
      <c r="D242" s="1" t="b">
        <v>1</v>
      </c>
      <c r="E242">
        <v>3.0200000000000001E-3</v>
      </c>
      <c r="F242">
        <v>2.5199930570000002</v>
      </c>
      <c r="G242">
        <v>30.77</v>
      </c>
      <c r="H242">
        <v>1.6899999999999999E-6</v>
      </c>
      <c r="I242">
        <v>0.98</v>
      </c>
      <c r="J242">
        <v>41.2</v>
      </c>
      <c r="K242">
        <v>3.620189806</v>
      </c>
      <c r="L242">
        <v>2.6777592999999999E-2</v>
      </c>
      <c r="M242">
        <v>25</v>
      </c>
      <c r="N242" t="s">
        <v>349</v>
      </c>
      <c r="O242" t="s">
        <v>31</v>
      </c>
      <c r="R242" t="s">
        <v>349</v>
      </c>
      <c r="S242" t="s">
        <v>349</v>
      </c>
      <c r="T242" t="s">
        <v>349</v>
      </c>
      <c r="U242" t="s">
        <v>31</v>
      </c>
      <c r="V242" t="s">
        <v>31</v>
      </c>
      <c r="X242" t="s">
        <v>939</v>
      </c>
      <c r="Y242" t="s">
        <v>940</v>
      </c>
      <c r="Z242">
        <v>365.19294150000002</v>
      </c>
    </row>
    <row r="243" spans="1:26" hidden="1">
      <c r="A243">
        <v>242</v>
      </c>
      <c r="B243" t="s">
        <v>941</v>
      </c>
      <c r="C243" t="s">
        <v>134</v>
      </c>
      <c r="D243" s="13" t="b">
        <v>0</v>
      </c>
      <c r="E243">
        <v>1.2999999999999999E-2</v>
      </c>
      <c r="F243">
        <v>1.8860566480000001</v>
      </c>
      <c r="M243">
        <v>25</v>
      </c>
      <c r="N243" t="s">
        <v>179</v>
      </c>
      <c r="W243" t="s">
        <v>942</v>
      </c>
      <c r="X243" t="s">
        <v>943</v>
      </c>
      <c r="Y243" t="s">
        <v>944</v>
      </c>
      <c r="Z243">
        <v>270.12655990000002</v>
      </c>
    </row>
    <row r="244" spans="1:26">
      <c r="A244">
        <v>243</v>
      </c>
      <c r="B244" s="2" t="s">
        <v>945</v>
      </c>
      <c r="C244" t="s">
        <v>161</v>
      </c>
      <c r="D244" s="1" t="b">
        <v>1</v>
      </c>
      <c r="E244">
        <v>2.34E-4</v>
      </c>
      <c r="F244">
        <v>3.6307841430000001</v>
      </c>
      <c r="G244">
        <v>26.1</v>
      </c>
      <c r="H244">
        <v>4.34E-6</v>
      </c>
      <c r="I244">
        <v>0.38</v>
      </c>
      <c r="J244">
        <v>45.87</v>
      </c>
      <c r="K244">
        <v>4.67</v>
      </c>
      <c r="L244">
        <v>2.1399999999999998E-5</v>
      </c>
      <c r="M244">
        <v>25</v>
      </c>
      <c r="N244" t="s">
        <v>162</v>
      </c>
      <c r="O244" t="s">
        <v>946</v>
      </c>
      <c r="P244" t="s">
        <v>946</v>
      </c>
      <c r="R244" t="s">
        <v>946</v>
      </c>
      <c r="S244" t="s">
        <v>31</v>
      </c>
      <c r="T244" t="s">
        <v>946</v>
      </c>
      <c r="U244" s="2" t="s">
        <v>946</v>
      </c>
      <c r="W244" t="s">
        <v>947</v>
      </c>
      <c r="X244" t="s">
        <v>948</v>
      </c>
      <c r="Y244" t="s">
        <v>949</v>
      </c>
      <c r="Z244">
        <v>271.21474380000001</v>
      </c>
    </row>
    <row r="245" spans="1:26" hidden="1">
      <c r="A245">
        <v>244</v>
      </c>
      <c r="B245" t="s">
        <v>950</v>
      </c>
      <c r="C245" t="s">
        <v>134</v>
      </c>
      <c r="D245" s="1" t="b">
        <v>0</v>
      </c>
      <c r="E245">
        <v>1.32E-2</v>
      </c>
      <c r="F245">
        <v>1.879426069</v>
      </c>
      <c r="G245">
        <v>35.200000000000003</v>
      </c>
      <c r="H245">
        <v>1.55E-6</v>
      </c>
      <c r="I245">
        <v>1.07</v>
      </c>
      <c r="J245">
        <v>36.799999999999997</v>
      </c>
      <c r="K245">
        <v>2.85</v>
      </c>
      <c r="L245">
        <v>1.42E-3</v>
      </c>
      <c r="M245">
        <v>25</v>
      </c>
      <c r="N245" t="s">
        <v>951</v>
      </c>
      <c r="R245" t="s">
        <v>137</v>
      </c>
      <c r="S245" t="s">
        <v>137</v>
      </c>
      <c r="W245" t="s">
        <v>952</v>
      </c>
      <c r="X245" t="s">
        <v>953</v>
      </c>
      <c r="Y245" t="s">
        <v>954</v>
      </c>
      <c r="Z245">
        <v>293.19668799999999</v>
      </c>
    </row>
    <row r="246" spans="1:26" hidden="1">
      <c r="A246">
        <v>245</v>
      </c>
      <c r="B246" t="s">
        <v>955</v>
      </c>
      <c r="C246" t="s">
        <v>161</v>
      </c>
      <c r="D246" s="1" t="b">
        <v>0</v>
      </c>
      <c r="E246">
        <v>2.3000000000000001E-4</v>
      </c>
      <c r="F246">
        <v>3.638272164</v>
      </c>
      <c r="G246">
        <v>38.1</v>
      </c>
      <c r="H246">
        <v>4.1400000000000002E-6</v>
      </c>
      <c r="I246">
        <v>0.4</v>
      </c>
      <c r="J246">
        <v>33.9</v>
      </c>
      <c r="K246">
        <v>3.29</v>
      </c>
      <c r="L246">
        <v>5.0000000000000002E-5</v>
      </c>
      <c r="M246">
        <v>25</v>
      </c>
      <c r="N246" t="s">
        <v>89</v>
      </c>
      <c r="P246" t="s">
        <v>103</v>
      </c>
      <c r="Q246" t="s">
        <v>446</v>
      </c>
      <c r="R246" t="s">
        <v>446</v>
      </c>
      <c r="S246" t="s">
        <v>446</v>
      </c>
      <c r="T246" t="s">
        <v>446</v>
      </c>
      <c r="U246" t="s">
        <v>446</v>
      </c>
      <c r="W246" t="s">
        <v>956</v>
      </c>
      <c r="X246" t="s">
        <v>957</v>
      </c>
      <c r="Y246" t="s">
        <v>958</v>
      </c>
      <c r="Z246">
        <v>287.24604390000002</v>
      </c>
    </row>
    <row r="247" spans="1:26" hidden="1">
      <c r="A247">
        <v>246</v>
      </c>
      <c r="B247" t="s">
        <v>959</v>
      </c>
      <c r="C247" t="s">
        <v>83</v>
      </c>
      <c r="D247" s="1" t="b">
        <v>0</v>
      </c>
      <c r="E247">
        <v>2.6400000000000002E-4</v>
      </c>
      <c r="F247">
        <v>3.578396073</v>
      </c>
      <c r="G247">
        <v>34.700000000000003</v>
      </c>
      <c r="H247">
        <v>3.7500000000000001E-6</v>
      </c>
      <c r="I247">
        <v>0.44</v>
      </c>
      <c r="J247">
        <v>37.1</v>
      </c>
      <c r="K247">
        <v>4.38</v>
      </c>
      <c r="L247">
        <v>4.1900000000000002E-5</v>
      </c>
      <c r="M247">
        <v>25</v>
      </c>
      <c r="N247" t="s">
        <v>89</v>
      </c>
      <c r="O247" t="s">
        <v>29</v>
      </c>
      <c r="P247" t="s">
        <v>103</v>
      </c>
      <c r="Q247" t="s">
        <v>578</v>
      </c>
      <c r="R247" t="s">
        <v>135</v>
      </c>
      <c r="S247" t="s">
        <v>135</v>
      </c>
      <c r="W247" t="s">
        <v>960</v>
      </c>
      <c r="X247" t="s">
        <v>961</v>
      </c>
      <c r="Y247" t="s">
        <v>962</v>
      </c>
      <c r="Z247">
        <v>287.24604390000002</v>
      </c>
    </row>
    <row r="248" spans="1:26">
      <c r="A248">
        <v>247</v>
      </c>
      <c r="B248" s="2" t="s">
        <v>963</v>
      </c>
      <c r="C248" t="s">
        <v>28</v>
      </c>
      <c r="D248" s="1" t="b">
        <v>1</v>
      </c>
      <c r="G248">
        <v>36</v>
      </c>
      <c r="O248" t="s">
        <v>29</v>
      </c>
      <c r="Q248" t="s">
        <v>964</v>
      </c>
      <c r="X248" t="s">
        <v>965</v>
      </c>
      <c r="Y248" t="s">
        <v>966</v>
      </c>
      <c r="Z248">
        <v>902.63670669999999</v>
      </c>
    </row>
    <row r="249" spans="1:26">
      <c r="A249">
        <v>248</v>
      </c>
      <c r="B249" s="2" t="s">
        <v>967</v>
      </c>
      <c r="C249" t="s">
        <v>28</v>
      </c>
      <c r="D249" s="1" t="b">
        <v>1</v>
      </c>
      <c r="G249">
        <v>34</v>
      </c>
      <c r="O249" t="s">
        <v>29</v>
      </c>
      <c r="Q249" t="s">
        <v>964</v>
      </c>
      <c r="X249" t="s">
        <v>968</v>
      </c>
      <c r="Y249" t="s">
        <v>969</v>
      </c>
      <c r="Z249">
        <v>860.58975650000002</v>
      </c>
    </row>
    <row r="250" spans="1:26">
      <c r="A250">
        <v>249</v>
      </c>
      <c r="B250" s="2" t="s">
        <v>970</v>
      </c>
      <c r="C250" t="s">
        <v>28</v>
      </c>
      <c r="D250" s="1" t="b">
        <v>1</v>
      </c>
      <c r="G250">
        <v>36</v>
      </c>
      <c r="O250" t="s">
        <v>29</v>
      </c>
      <c r="Q250" t="s">
        <v>964</v>
      </c>
      <c r="X250" t="s">
        <v>971</v>
      </c>
      <c r="Y250" t="s">
        <v>972</v>
      </c>
      <c r="Z250">
        <v>818.54280630000005</v>
      </c>
    </row>
    <row r="251" spans="1:26">
      <c r="A251">
        <v>250</v>
      </c>
      <c r="B251" s="2" t="s">
        <v>973</v>
      </c>
      <c r="C251" t="s">
        <v>54</v>
      </c>
      <c r="D251" s="1" t="b">
        <v>1</v>
      </c>
      <c r="E251">
        <v>5.7999999999999996E-3</v>
      </c>
      <c r="F251">
        <v>2.2365720059999998</v>
      </c>
      <c r="G251">
        <v>32</v>
      </c>
      <c r="H251">
        <v>2.48E-6</v>
      </c>
      <c r="I251">
        <v>0.67</v>
      </c>
      <c r="J251">
        <v>40</v>
      </c>
      <c r="K251">
        <v>2.9428657880000002</v>
      </c>
      <c r="L251">
        <v>5.2714443999999999E-2</v>
      </c>
      <c r="M251">
        <v>25</v>
      </c>
      <c r="N251" t="s">
        <v>627</v>
      </c>
      <c r="O251" t="s">
        <v>29</v>
      </c>
      <c r="Q251" t="s">
        <v>627</v>
      </c>
      <c r="S251" t="s">
        <v>627</v>
      </c>
      <c r="T251" t="s">
        <v>627</v>
      </c>
      <c r="U251" t="s">
        <v>31</v>
      </c>
      <c r="V251" t="s">
        <v>31</v>
      </c>
      <c r="W251" t="s">
        <v>974</v>
      </c>
      <c r="X251" t="s">
        <v>975</v>
      </c>
      <c r="Y251" t="s">
        <v>976</v>
      </c>
      <c r="Z251">
        <v>405.2632438</v>
      </c>
    </row>
    <row r="252" spans="1:26">
      <c r="A252">
        <v>251</v>
      </c>
      <c r="B252" s="2" t="s">
        <v>977</v>
      </c>
      <c r="C252" t="s">
        <v>161</v>
      </c>
      <c r="D252" s="1" t="b">
        <v>1</v>
      </c>
      <c r="E252">
        <v>4.4700000000000002E-4</v>
      </c>
      <c r="F252">
        <v>3.3496924770000001</v>
      </c>
      <c r="G252">
        <v>37.200000000000003</v>
      </c>
      <c r="H252">
        <v>3.32E-6</v>
      </c>
      <c r="I252">
        <v>0.499</v>
      </c>
      <c r="J252">
        <v>34.770000000000003</v>
      </c>
      <c r="K252">
        <v>4.0199999999999996</v>
      </c>
      <c r="L252">
        <v>1.7952965000000001E-2</v>
      </c>
      <c r="M252">
        <v>25</v>
      </c>
      <c r="N252" t="s">
        <v>162</v>
      </c>
      <c r="O252" t="s">
        <v>163</v>
      </c>
      <c r="P252" t="s">
        <v>164</v>
      </c>
      <c r="R252" t="s">
        <v>632</v>
      </c>
      <c r="S252" t="s">
        <v>31</v>
      </c>
      <c r="U252" t="s">
        <v>632</v>
      </c>
      <c r="V252" t="s">
        <v>31</v>
      </c>
      <c r="W252" t="s">
        <v>978</v>
      </c>
      <c r="X252" t="s">
        <v>979</v>
      </c>
      <c r="Y252" t="s">
        <v>980</v>
      </c>
      <c r="Z252">
        <v>541.30982589999996</v>
      </c>
    </row>
    <row r="253" spans="1:26" hidden="1">
      <c r="A253">
        <v>252</v>
      </c>
      <c r="B253" t="s">
        <v>981</v>
      </c>
      <c r="C253" t="s">
        <v>161</v>
      </c>
      <c r="D253" s="1" t="b">
        <v>0</v>
      </c>
      <c r="E253">
        <v>3.9999999999999998E-6</v>
      </c>
      <c r="F253">
        <v>5.397940009</v>
      </c>
      <c r="M253">
        <v>25</v>
      </c>
      <c r="N253" t="s">
        <v>89</v>
      </c>
      <c r="P253" t="s">
        <v>103</v>
      </c>
      <c r="W253" t="s">
        <v>982</v>
      </c>
      <c r="X253" t="s">
        <v>983</v>
      </c>
      <c r="Y253" t="s">
        <v>984</v>
      </c>
      <c r="Z253">
        <v>283.21474380000001</v>
      </c>
    </row>
    <row r="254" spans="1:26" hidden="1">
      <c r="A254">
        <v>253</v>
      </c>
      <c r="B254" t="s">
        <v>985</v>
      </c>
      <c r="C254" t="s">
        <v>54</v>
      </c>
      <c r="D254" s="1" t="b">
        <v>0</v>
      </c>
      <c r="E254">
        <v>1.2199999999999999E-3</v>
      </c>
      <c r="F254">
        <v>2.9136401689999998</v>
      </c>
      <c r="G254">
        <v>40</v>
      </c>
      <c r="H254">
        <v>2.7E-6</v>
      </c>
      <c r="I254">
        <v>0.8</v>
      </c>
      <c r="J254">
        <v>31.78</v>
      </c>
      <c r="K254">
        <v>3.57</v>
      </c>
      <c r="L254">
        <v>2.7E-4</v>
      </c>
      <c r="M254">
        <v>25</v>
      </c>
      <c r="N254" t="s">
        <v>986</v>
      </c>
      <c r="O254" t="s">
        <v>29</v>
      </c>
      <c r="Q254" t="s">
        <v>986</v>
      </c>
      <c r="R254" t="s">
        <v>986</v>
      </c>
      <c r="T254" t="s">
        <v>986</v>
      </c>
      <c r="W254" t="s">
        <v>987</v>
      </c>
      <c r="X254" t="s">
        <v>988</v>
      </c>
      <c r="Y254" t="s">
        <v>989</v>
      </c>
      <c r="Z254">
        <v>394.29622089999998</v>
      </c>
    </row>
    <row r="255" spans="1:26" hidden="1">
      <c r="A255">
        <v>254</v>
      </c>
      <c r="B255" t="s">
        <v>990</v>
      </c>
      <c r="C255" t="s">
        <v>28</v>
      </c>
      <c r="D255" s="1" t="b">
        <v>0</v>
      </c>
      <c r="E255">
        <v>2.5599999999999999E-4</v>
      </c>
      <c r="F255">
        <v>3.5917600350000001</v>
      </c>
      <c r="G255">
        <v>36.33</v>
      </c>
      <c r="H255">
        <v>1.81E-6</v>
      </c>
      <c r="I255">
        <v>0.91</v>
      </c>
      <c r="J255">
        <v>35.770000000000003</v>
      </c>
      <c r="K255">
        <v>4.0972426569999998</v>
      </c>
      <c r="L255">
        <v>1.6618435000000001E-2</v>
      </c>
      <c r="M255">
        <v>25</v>
      </c>
      <c r="N255" t="s">
        <v>468</v>
      </c>
      <c r="Q255" t="s">
        <v>468</v>
      </c>
      <c r="R255" t="s">
        <v>468</v>
      </c>
      <c r="S255" t="s">
        <v>468</v>
      </c>
      <c r="U255" t="s">
        <v>31</v>
      </c>
      <c r="V255" t="s">
        <v>31</v>
      </c>
      <c r="X255" t="s">
        <v>991</v>
      </c>
      <c r="Y255" t="s">
        <v>992</v>
      </c>
      <c r="Z255">
        <v>766.43350190000001</v>
      </c>
    </row>
    <row r="256" spans="1:26" hidden="1">
      <c r="A256">
        <v>255</v>
      </c>
      <c r="B256" t="s">
        <v>993</v>
      </c>
      <c r="C256" t="s">
        <v>28</v>
      </c>
      <c r="D256" s="1" t="b">
        <v>0</v>
      </c>
      <c r="E256">
        <v>3.6099999999999999E-4</v>
      </c>
      <c r="F256">
        <v>3.442492798</v>
      </c>
      <c r="G256">
        <v>38.119999999999997</v>
      </c>
      <c r="H256">
        <v>1.5999999999999999E-6</v>
      </c>
      <c r="I256">
        <v>1.05</v>
      </c>
      <c r="J256">
        <v>33.880000000000003</v>
      </c>
      <c r="K256">
        <v>3.9489996120000002</v>
      </c>
      <c r="L256">
        <v>1.9273973999999999E-2</v>
      </c>
      <c r="M256">
        <v>25</v>
      </c>
      <c r="N256" t="s">
        <v>468</v>
      </c>
      <c r="Q256" t="s">
        <v>468</v>
      </c>
      <c r="R256" t="s">
        <v>468</v>
      </c>
      <c r="S256" t="s">
        <v>468</v>
      </c>
      <c r="U256" t="s">
        <v>31</v>
      </c>
      <c r="V256" t="s">
        <v>31</v>
      </c>
      <c r="X256" t="s">
        <v>994</v>
      </c>
      <c r="Y256" t="s">
        <v>995</v>
      </c>
      <c r="Z256">
        <v>678.53453300000001</v>
      </c>
    </row>
    <row r="257" spans="1:26" hidden="1">
      <c r="A257">
        <v>256</v>
      </c>
      <c r="B257" t="s">
        <v>996</v>
      </c>
      <c r="C257" t="s">
        <v>28</v>
      </c>
      <c r="D257" s="1" t="b">
        <v>0</v>
      </c>
      <c r="G257">
        <v>38.4</v>
      </c>
      <c r="O257" t="s">
        <v>29</v>
      </c>
      <c r="Q257" t="s">
        <v>997</v>
      </c>
      <c r="X257" t="s">
        <v>998</v>
      </c>
      <c r="Y257" t="s">
        <v>999</v>
      </c>
      <c r="Z257">
        <v>810.49610210000003</v>
      </c>
    </row>
    <row r="258" spans="1:26" hidden="1">
      <c r="A258">
        <v>257</v>
      </c>
      <c r="B258" t="s">
        <v>1000</v>
      </c>
      <c r="C258" t="s">
        <v>28</v>
      </c>
      <c r="D258" s="1" t="b">
        <v>0</v>
      </c>
      <c r="E258">
        <v>8.9999999999999998E-4</v>
      </c>
      <c r="F258">
        <v>3.0457574909999998</v>
      </c>
      <c r="G258">
        <v>45.9</v>
      </c>
      <c r="H258">
        <v>1.1400000000000001E-6</v>
      </c>
      <c r="I258">
        <v>1.45</v>
      </c>
      <c r="J258">
        <v>26.1</v>
      </c>
      <c r="K258">
        <v>3.36</v>
      </c>
      <c r="L258">
        <v>4.37E-4</v>
      </c>
      <c r="M258">
        <v>25</v>
      </c>
      <c r="N258" t="s">
        <v>1001</v>
      </c>
      <c r="O258" t="s">
        <v>29</v>
      </c>
      <c r="Q258" t="s">
        <v>1001</v>
      </c>
      <c r="R258" t="s">
        <v>1001</v>
      </c>
      <c r="T258" t="s">
        <v>1001</v>
      </c>
      <c r="U258" t="s">
        <v>1001</v>
      </c>
      <c r="W258" t="s">
        <v>1002</v>
      </c>
      <c r="X258" t="s">
        <v>1003</v>
      </c>
      <c r="Y258" t="s">
        <v>1004</v>
      </c>
      <c r="Z258">
        <v>742.56583320000004</v>
      </c>
    </row>
    <row r="259" spans="1:26" hidden="1">
      <c r="A259">
        <v>258</v>
      </c>
      <c r="B259" t="s">
        <v>1005</v>
      </c>
      <c r="C259" t="s">
        <v>54</v>
      </c>
      <c r="D259" s="1" t="b">
        <v>0</v>
      </c>
      <c r="E259">
        <v>2.5599999999999999E-4</v>
      </c>
      <c r="F259">
        <v>3.5917600350000001</v>
      </c>
      <c r="G259">
        <v>29.2</v>
      </c>
      <c r="H259">
        <v>9.5100000000000004E-6</v>
      </c>
      <c r="I259">
        <v>1.75</v>
      </c>
      <c r="J259">
        <v>43.27</v>
      </c>
      <c r="K259">
        <v>5.86</v>
      </c>
      <c r="L259">
        <v>1.3799999999999999E-3</v>
      </c>
      <c r="M259">
        <v>25</v>
      </c>
      <c r="N259" t="s">
        <v>1006</v>
      </c>
      <c r="O259" t="s">
        <v>29</v>
      </c>
      <c r="Q259" t="s">
        <v>1006</v>
      </c>
      <c r="R259" t="s">
        <v>1006</v>
      </c>
      <c r="S259" t="s">
        <v>1006</v>
      </c>
      <c r="T259" t="s">
        <v>1006</v>
      </c>
      <c r="U259" t="s">
        <v>1006</v>
      </c>
      <c r="W259" t="s">
        <v>1007</v>
      </c>
      <c r="X259" t="s">
        <v>1008</v>
      </c>
      <c r="Y259" t="s">
        <v>1009</v>
      </c>
      <c r="Z259">
        <v>410.30639170000001</v>
      </c>
    </row>
    <row r="260" spans="1:26" hidden="1">
      <c r="A260">
        <v>259</v>
      </c>
      <c r="B260" t="s">
        <v>1010</v>
      </c>
      <c r="C260" t="s">
        <v>83</v>
      </c>
      <c r="D260" s="1" t="b">
        <v>0</v>
      </c>
      <c r="G260">
        <v>30.5</v>
      </c>
      <c r="O260" t="s">
        <v>29</v>
      </c>
      <c r="Q260" t="s">
        <v>578</v>
      </c>
      <c r="X260" t="s">
        <v>1011</v>
      </c>
      <c r="Y260" t="s">
        <v>1012</v>
      </c>
      <c r="Z260">
        <v>375.29847339999998</v>
      </c>
    </row>
    <row r="261" spans="1:26" hidden="1">
      <c r="A261">
        <v>260</v>
      </c>
      <c r="B261" t="s">
        <v>1013</v>
      </c>
      <c r="C261" t="s">
        <v>28</v>
      </c>
      <c r="D261" s="1" t="b">
        <v>0</v>
      </c>
      <c r="E261">
        <v>2.3400000000000001E-3</v>
      </c>
      <c r="F261">
        <v>2.6307841430000001</v>
      </c>
      <c r="G261">
        <v>34</v>
      </c>
      <c r="H261">
        <v>2.0200000000000001E-6</v>
      </c>
      <c r="I261">
        <v>0.82</v>
      </c>
      <c r="J261">
        <v>38</v>
      </c>
      <c r="K261">
        <v>3.15</v>
      </c>
      <c r="L261">
        <v>7.0799999999999997E-4</v>
      </c>
      <c r="M261">
        <v>25</v>
      </c>
      <c r="N261" t="s">
        <v>637</v>
      </c>
      <c r="O261" t="s">
        <v>29</v>
      </c>
      <c r="Q261" t="s">
        <v>637</v>
      </c>
      <c r="R261" t="s">
        <v>637</v>
      </c>
      <c r="T261" t="s">
        <v>637</v>
      </c>
      <c r="W261" t="s">
        <v>1014</v>
      </c>
      <c r="X261" t="s">
        <v>1015</v>
      </c>
      <c r="Y261" t="s">
        <v>1016</v>
      </c>
      <c r="Z261">
        <v>684.35525159999997</v>
      </c>
    </row>
    <row r="262" spans="1:26" hidden="1">
      <c r="A262">
        <v>261</v>
      </c>
      <c r="B262" t="s">
        <v>1017</v>
      </c>
      <c r="C262" t="s">
        <v>83</v>
      </c>
      <c r="D262" s="1" t="b">
        <v>0</v>
      </c>
      <c r="G262">
        <v>27.8</v>
      </c>
      <c r="O262" t="s">
        <v>29</v>
      </c>
      <c r="Q262" t="s">
        <v>312</v>
      </c>
      <c r="X262" t="s">
        <v>1018</v>
      </c>
      <c r="Y262" t="s">
        <v>1019</v>
      </c>
      <c r="Z262">
        <v>356.30389309999998</v>
      </c>
    </row>
    <row r="263" spans="1:26" hidden="1">
      <c r="A263">
        <v>262</v>
      </c>
      <c r="B263" t="s">
        <v>1020</v>
      </c>
      <c r="C263" t="s">
        <v>311</v>
      </c>
      <c r="D263" s="1" t="b">
        <v>0</v>
      </c>
      <c r="G263">
        <v>24.2</v>
      </c>
      <c r="O263" t="s">
        <v>29</v>
      </c>
      <c r="Q263" t="s">
        <v>312</v>
      </c>
      <c r="X263" t="s">
        <v>1021</v>
      </c>
      <c r="Y263" t="s">
        <v>1022</v>
      </c>
      <c r="Z263">
        <v>482.30257280000001</v>
      </c>
    </row>
    <row r="264" spans="1:26" hidden="1">
      <c r="A264">
        <v>263</v>
      </c>
      <c r="B264" t="s">
        <v>1023</v>
      </c>
      <c r="C264" t="s">
        <v>28</v>
      </c>
      <c r="D264" s="1" t="b">
        <v>0</v>
      </c>
      <c r="E264">
        <v>6.2810000000000003E-5</v>
      </c>
      <c r="F264">
        <v>4.2019712069999997</v>
      </c>
      <c r="M264">
        <v>25</v>
      </c>
      <c r="N264" t="s">
        <v>484</v>
      </c>
      <c r="P264" t="s">
        <v>648</v>
      </c>
      <c r="X264" t="s">
        <v>1024</v>
      </c>
      <c r="Y264" t="s">
        <v>1025</v>
      </c>
      <c r="Z264">
        <v>841.64414309999995</v>
      </c>
    </row>
    <row r="265" spans="1:26" hidden="1">
      <c r="A265">
        <v>264</v>
      </c>
      <c r="B265" t="s">
        <v>1026</v>
      </c>
      <c r="C265" t="s">
        <v>28</v>
      </c>
      <c r="D265" s="1" t="b">
        <v>0</v>
      </c>
      <c r="E265">
        <v>5.9160000000000003E-5</v>
      </c>
      <c r="F265">
        <v>4.227971835</v>
      </c>
      <c r="M265">
        <v>25</v>
      </c>
      <c r="N265" t="s">
        <v>484</v>
      </c>
      <c r="P265" t="s">
        <v>648</v>
      </c>
      <c r="X265" t="s">
        <v>1027</v>
      </c>
      <c r="Y265" t="s">
        <v>1028</v>
      </c>
      <c r="Z265">
        <v>855.6597931</v>
      </c>
    </row>
    <row r="266" spans="1:26" hidden="1">
      <c r="A266">
        <v>265</v>
      </c>
      <c r="B266" t="s">
        <v>1029</v>
      </c>
      <c r="C266" t="s">
        <v>28</v>
      </c>
      <c r="D266" s="1" t="b">
        <v>0</v>
      </c>
      <c r="E266">
        <v>5.4079999999999997E-5</v>
      </c>
      <c r="F266">
        <v>4.2669633170000001</v>
      </c>
      <c r="M266">
        <v>25</v>
      </c>
      <c r="N266" t="s">
        <v>484</v>
      </c>
      <c r="P266" t="s">
        <v>648</v>
      </c>
      <c r="X266" t="s">
        <v>1030</v>
      </c>
      <c r="Y266" t="s">
        <v>1031</v>
      </c>
      <c r="Z266">
        <v>883.69109319999995</v>
      </c>
    </row>
    <row r="267" spans="1:26" hidden="1">
      <c r="A267">
        <v>266</v>
      </c>
      <c r="B267" t="s">
        <v>1032</v>
      </c>
      <c r="C267" t="s">
        <v>28</v>
      </c>
      <c r="D267" s="1" t="b">
        <v>0</v>
      </c>
      <c r="E267">
        <v>2.588E-4</v>
      </c>
      <c r="F267">
        <v>3.587035728</v>
      </c>
      <c r="M267">
        <v>25</v>
      </c>
      <c r="N267" t="s">
        <v>484</v>
      </c>
      <c r="X267" t="s">
        <v>1033</v>
      </c>
      <c r="Y267" t="s">
        <v>1034</v>
      </c>
      <c r="Z267">
        <v>788.34508080000001</v>
      </c>
    </row>
    <row r="268" spans="1:26">
      <c r="A268">
        <v>267</v>
      </c>
      <c r="B268" s="2" t="s">
        <v>1035</v>
      </c>
      <c r="C268" t="s">
        <v>54</v>
      </c>
      <c r="D268" s="1" t="b">
        <v>1</v>
      </c>
      <c r="E268" s="3">
        <v>2.0000000000000001E-4</v>
      </c>
      <c r="F268" s="2">
        <f>-LOG10(E268)</f>
        <v>3.6989700043360187</v>
      </c>
      <c r="G268">
        <v>33</v>
      </c>
      <c r="H268" s="3">
        <v>2800000</v>
      </c>
      <c r="I268" s="2">
        <v>0.57999999999999996</v>
      </c>
      <c r="J268" s="2">
        <f>72-G268</f>
        <v>39</v>
      </c>
      <c r="M268" s="2">
        <v>25</v>
      </c>
      <c r="O268" t="s">
        <v>29</v>
      </c>
      <c r="Q268" t="s">
        <v>1036</v>
      </c>
      <c r="R268" s="2" t="s">
        <v>1036</v>
      </c>
      <c r="T268" s="2" t="s">
        <v>1036</v>
      </c>
      <c r="X268" t="s">
        <v>1037</v>
      </c>
      <c r="Y268" t="s">
        <v>1038</v>
      </c>
      <c r="Z268">
        <v>523.31500459999995</v>
      </c>
    </row>
    <row r="269" spans="1:26">
      <c r="A269">
        <v>268</v>
      </c>
      <c r="B269" s="2" t="s">
        <v>1039</v>
      </c>
      <c r="C269" t="s">
        <v>54</v>
      </c>
      <c r="D269" s="1" t="b">
        <v>1</v>
      </c>
      <c r="E269" s="3">
        <v>3.0000000000000001E-5</v>
      </c>
      <c r="F269" s="2">
        <f>-LOG10(E269)</f>
        <v>4.5228787452803374</v>
      </c>
      <c r="G269">
        <v>24.5</v>
      </c>
      <c r="H269" s="3">
        <v>5.0000000000000004E-6</v>
      </c>
      <c r="I269" s="2">
        <v>0.33</v>
      </c>
      <c r="J269" s="2">
        <f>72-G269</f>
        <v>47.5</v>
      </c>
      <c r="M269" s="2">
        <v>25</v>
      </c>
      <c r="O269" t="s">
        <v>29</v>
      </c>
      <c r="Q269" t="s">
        <v>1036</v>
      </c>
      <c r="R269" s="2" t="s">
        <v>1036</v>
      </c>
      <c r="T269" s="2" t="s">
        <v>1036</v>
      </c>
      <c r="X269" t="s">
        <v>1040</v>
      </c>
      <c r="Y269" t="s">
        <v>1041</v>
      </c>
      <c r="Z269">
        <v>705.48206990000006</v>
      </c>
    </row>
    <row r="270" spans="1:26" hidden="1">
      <c r="A270">
        <v>269</v>
      </c>
      <c r="B270" t="s">
        <v>1042</v>
      </c>
      <c r="C270" t="s">
        <v>54</v>
      </c>
      <c r="D270" s="1" t="b">
        <v>0</v>
      </c>
      <c r="G270">
        <v>29.6</v>
      </c>
      <c r="O270" t="s">
        <v>29</v>
      </c>
      <c r="Q270" t="s">
        <v>659</v>
      </c>
      <c r="X270" t="s">
        <v>1043</v>
      </c>
      <c r="Y270" t="s">
        <v>1044</v>
      </c>
      <c r="Z270">
        <v>589.24755089999996</v>
      </c>
    </row>
    <row r="271" spans="1:26" hidden="1">
      <c r="A271">
        <v>270</v>
      </c>
      <c r="B271" t="s">
        <v>1045</v>
      </c>
      <c r="C271" t="s">
        <v>83</v>
      </c>
      <c r="D271" s="1" t="b">
        <v>0</v>
      </c>
      <c r="E271">
        <v>3.9629999999999998E-5</v>
      </c>
      <c r="F271">
        <v>4.4019759279999997</v>
      </c>
      <c r="M271">
        <v>25</v>
      </c>
      <c r="N271" t="s">
        <v>207</v>
      </c>
      <c r="X271" t="s">
        <v>1046</v>
      </c>
      <c r="Y271" t="s">
        <v>1047</v>
      </c>
      <c r="Z271">
        <v>524.35604790000002</v>
      </c>
    </row>
    <row r="272" spans="1:26" hidden="1">
      <c r="A272">
        <v>271</v>
      </c>
      <c r="B272" t="s">
        <v>1048</v>
      </c>
      <c r="C272" t="s">
        <v>83</v>
      </c>
      <c r="D272" s="1" t="b">
        <v>0</v>
      </c>
      <c r="E272">
        <v>3.5809999999999998E-5</v>
      </c>
      <c r="F272">
        <v>4.4459956790000001</v>
      </c>
      <c r="M272">
        <v>25</v>
      </c>
      <c r="N272" t="s">
        <v>207</v>
      </c>
      <c r="X272" t="s">
        <v>1049</v>
      </c>
      <c r="Y272" t="s">
        <v>1050</v>
      </c>
      <c r="Z272">
        <v>672.42960670000002</v>
      </c>
    </row>
    <row r="273" spans="1:26" hidden="1">
      <c r="A273">
        <v>272</v>
      </c>
      <c r="B273" t="s">
        <v>1051</v>
      </c>
      <c r="C273" t="s">
        <v>83</v>
      </c>
      <c r="D273" s="1" t="b">
        <v>0</v>
      </c>
      <c r="E273">
        <v>2.8249999999999999E-5</v>
      </c>
      <c r="F273">
        <v>4.5489815480000004</v>
      </c>
      <c r="M273">
        <v>25</v>
      </c>
      <c r="N273" t="s">
        <v>207</v>
      </c>
      <c r="X273" t="s">
        <v>1052</v>
      </c>
      <c r="Y273" t="s">
        <v>1053</v>
      </c>
      <c r="Z273">
        <v>968.57672449999995</v>
      </c>
    </row>
    <row r="274" spans="1:26" hidden="1">
      <c r="A274">
        <v>273</v>
      </c>
      <c r="B274" t="s">
        <v>1054</v>
      </c>
      <c r="C274" t="s">
        <v>28</v>
      </c>
      <c r="D274" s="1" t="b">
        <v>0</v>
      </c>
      <c r="E274">
        <v>4.4700000000000002E-4</v>
      </c>
      <c r="F274">
        <v>3.3496924770000001</v>
      </c>
      <c r="G274">
        <v>37</v>
      </c>
      <c r="H274">
        <v>1.1799999999999999E-6</v>
      </c>
      <c r="I274">
        <v>1.83</v>
      </c>
      <c r="J274">
        <v>36.299999999999997</v>
      </c>
      <c r="K274">
        <v>5.61</v>
      </c>
      <c r="L274">
        <v>2.4499999999999998E-6</v>
      </c>
      <c r="M274">
        <v>25</v>
      </c>
      <c r="N274" t="s">
        <v>663</v>
      </c>
      <c r="O274" t="s">
        <v>29</v>
      </c>
      <c r="Q274" t="s">
        <v>663</v>
      </c>
      <c r="R274" t="s">
        <v>663</v>
      </c>
      <c r="S274" t="s">
        <v>663</v>
      </c>
      <c r="T274" t="s">
        <v>663</v>
      </c>
      <c r="U274" t="s">
        <v>663</v>
      </c>
      <c r="W274" t="s">
        <v>1055</v>
      </c>
      <c r="X274" t="s">
        <v>1056</v>
      </c>
      <c r="Y274" t="s">
        <v>1057</v>
      </c>
      <c r="Z274">
        <v>827.62849300000005</v>
      </c>
    </row>
    <row r="275" spans="1:26" hidden="1">
      <c r="A275">
        <v>274</v>
      </c>
      <c r="B275" t="s">
        <v>1058</v>
      </c>
      <c r="C275" t="s">
        <v>28</v>
      </c>
      <c r="D275" s="1" t="b">
        <v>0</v>
      </c>
      <c r="E275">
        <v>1.4999999999999999E-4</v>
      </c>
      <c r="F275">
        <v>3.8239087409999999</v>
      </c>
      <c r="G275">
        <v>35</v>
      </c>
      <c r="H275">
        <v>1.0899999999999999E-6</v>
      </c>
      <c r="I275">
        <v>1.75</v>
      </c>
      <c r="J275">
        <v>34.299999999999997</v>
      </c>
      <c r="K275">
        <v>6.2</v>
      </c>
      <c r="L275">
        <v>6.3099999999999997E-7</v>
      </c>
      <c r="M275">
        <v>25</v>
      </c>
      <c r="N275" t="s">
        <v>663</v>
      </c>
      <c r="O275" t="s">
        <v>29</v>
      </c>
      <c r="P275" t="s">
        <v>648</v>
      </c>
      <c r="Q275" t="s">
        <v>663</v>
      </c>
      <c r="R275" t="s">
        <v>663</v>
      </c>
      <c r="S275" t="s">
        <v>663</v>
      </c>
      <c r="T275" t="s">
        <v>663</v>
      </c>
      <c r="U275" t="s">
        <v>663</v>
      </c>
      <c r="W275" t="s">
        <v>1059</v>
      </c>
      <c r="X275" t="s">
        <v>1060</v>
      </c>
      <c r="Y275" t="s">
        <v>1061</v>
      </c>
      <c r="Z275">
        <v>841.64414309999995</v>
      </c>
    </row>
    <row r="276" spans="1:26" hidden="1">
      <c r="A276">
        <v>275</v>
      </c>
      <c r="B276" t="s">
        <v>1062</v>
      </c>
      <c r="C276" t="s">
        <v>28</v>
      </c>
      <c r="D276" s="1" t="b">
        <v>0</v>
      </c>
      <c r="E276">
        <v>4.4700000000000002E-5</v>
      </c>
      <c r="F276">
        <v>4.3496924769999996</v>
      </c>
      <c r="G276">
        <v>38</v>
      </c>
      <c r="H276">
        <v>9.4499999999999995E-7</v>
      </c>
      <c r="I276">
        <v>1.51</v>
      </c>
      <c r="J276">
        <v>37.299999999999997</v>
      </c>
      <c r="K276">
        <v>5.83</v>
      </c>
      <c r="L276">
        <v>1.48E-6</v>
      </c>
      <c r="M276">
        <v>25</v>
      </c>
      <c r="N276" t="s">
        <v>663</v>
      </c>
      <c r="O276" t="s">
        <v>29</v>
      </c>
      <c r="P276" t="s">
        <v>648</v>
      </c>
      <c r="Q276" t="s">
        <v>663</v>
      </c>
      <c r="R276" t="s">
        <v>663</v>
      </c>
      <c r="S276" t="s">
        <v>663</v>
      </c>
      <c r="T276" t="s">
        <v>663</v>
      </c>
      <c r="U276" t="s">
        <v>663</v>
      </c>
      <c r="W276" t="s">
        <v>1063</v>
      </c>
      <c r="X276" t="s">
        <v>1064</v>
      </c>
      <c r="Y276" t="s">
        <v>1065</v>
      </c>
      <c r="Z276">
        <v>855.6597931</v>
      </c>
    </row>
    <row r="277" spans="1:26" hidden="1">
      <c r="A277">
        <v>276</v>
      </c>
      <c r="B277" t="s">
        <v>1066</v>
      </c>
      <c r="C277" t="s">
        <v>28</v>
      </c>
      <c r="D277" s="1" t="b">
        <v>0</v>
      </c>
      <c r="E277">
        <v>1.7799999999999999E-5</v>
      </c>
      <c r="F277">
        <v>4.7495799979999997</v>
      </c>
      <c r="G277">
        <v>36</v>
      </c>
      <c r="H277">
        <v>9.0599999999999999E-7</v>
      </c>
      <c r="I277">
        <v>1.4</v>
      </c>
      <c r="J277">
        <v>35.299999999999997</v>
      </c>
      <c r="K277">
        <v>6.3</v>
      </c>
      <c r="L277">
        <v>5.0100000000000005E-7</v>
      </c>
      <c r="M277">
        <v>25</v>
      </c>
      <c r="N277" t="s">
        <v>663</v>
      </c>
      <c r="O277" t="s">
        <v>29</v>
      </c>
      <c r="P277" t="s">
        <v>648</v>
      </c>
      <c r="Q277" t="s">
        <v>663</v>
      </c>
      <c r="R277" t="s">
        <v>663</v>
      </c>
      <c r="S277" t="s">
        <v>663</v>
      </c>
      <c r="T277" t="s">
        <v>663</v>
      </c>
      <c r="U277" t="s">
        <v>663</v>
      </c>
      <c r="W277" t="s">
        <v>1067</v>
      </c>
      <c r="X277" t="s">
        <v>1068</v>
      </c>
      <c r="Y277" t="s">
        <v>1069</v>
      </c>
      <c r="Z277">
        <v>883.69109319999995</v>
      </c>
    </row>
    <row r="278" spans="1:26">
      <c r="A278">
        <v>277</v>
      </c>
      <c r="B278" t="s">
        <v>1070</v>
      </c>
      <c r="C278" t="s">
        <v>83</v>
      </c>
      <c r="D278" s="1" t="b">
        <v>1</v>
      </c>
      <c r="E278">
        <v>2.3E-5</v>
      </c>
      <c r="F278">
        <v>4.638272164</v>
      </c>
      <c r="M278" s="2">
        <v>25</v>
      </c>
      <c r="N278" t="s">
        <v>121</v>
      </c>
      <c r="W278" t="s">
        <v>1071</v>
      </c>
      <c r="X278" t="s">
        <v>1072</v>
      </c>
      <c r="Y278" t="s">
        <v>1073</v>
      </c>
      <c r="Z278">
        <v>522.34039780000001</v>
      </c>
    </row>
    <row r="279" spans="1:26" hidden="1">
      <c r="A279">
        <v>278</v>
      </c>
      <c r="B279" t="s">
        <v>1074</v>
      </c>
      <c r="C279" t="s">
        <v>28</v>
      </c>
      <c r="D279" s="1" t="b">
        <v>0</v>
      </c>
      <c r="G279">
        <v>30.4</v>
      </c>
      <c r="O279" t="s">
        <v>29</v>
      </c>
      <c r="Q279" t="s">
        <v>1075</v>
      </c>
      <c r="X279" t="s">
        <v>1076</v>
      </c>
      <c r="Y279" t="s">
        <v>1077</v>
      </c>
      <c r="Z279">
        <v>614.41922850000003</v>
      </c>
    </row>
    <row r="280" spans="1:26" hidden="1">
      <c r="A280">
        <v>279</v>
      </c>
      <c r="B280" t="s">
        <v>1078</v>
      </c>
      <c r="C280" t="s">
        <v>28</v>
      </c>
      <c r="D280" s="1" t="b">
        <v>0</v>
      </c>
      <c r="G280">
        <v>36.200000000000003</v>
      </c>
      <c r="O280" t="s">
        <v>29</v>
      </c>
      <c r="Q280" t="s">
        <v>1075</v>
      </c>
      <c r="X280" t="s">
        <v>1079</v>
      </c>
      <c r="Y280" t="s">
        <v>1080</v>
      </c>
      <c r="Z280">
        <v>642.45052859999998</v>
      </c>
    </row>
    <row r="281" spans="1:26" hidden="1">
      <c r="A281">
        <v>280</v>
      </c>
      <c r="B281" t="s">
        <v>1081</v>
      </c>
      <c r="C281" t="s">
        <v>54</v>
      </c>
      <c r="D281" s="1" t="b">
        <v>0</v>
      </c>
      <c r="E281">
        <v>0.05</v>
      </c>
      <c r="F281">
        <v>1.301029996</v>
      </c>
      <c r="G281">
        <v>36</v>
      </c>
      <c r="H281">
        <v>6.92E-7</v>
      </c>
      <c r="I281">
        <v>2.4</v>
      </c>
      <c r="J281">
        <v>36</v>
      </c>
      <c r="K281">
        <v>3</v>
      </c>
      <c r="L281">
        <v>1E-3</v>
      </c>
      <c r="M281">
        <v>25</v>
      </c>
      <c r="N281" t="s">
        <v>1082</v>
      </c>
      <c r="O281" t="s">
        <v>29</v>
      </c>
      <c r="Q281" t="s">
        <v>1082</v>
      </c>
      <c r="R281" t="s">
        <v>1082</v>
      </c>
      <c r="S281" t="s">
        <v>1082</v>
      </c>
      <c r="T281" t="s">
        <v>1082</v>
      </c>
      <c r="V281" t="s">
        <v>1082</v>
      </c>
      <c r="X281" t="s">
        <v>1083</v>
      </c>
      <c r="Y281" t="s">
        <v>1084</v>
      </c>
      <c r="Z281">
        <v>547.30249189999995</v>
      </c>
    </row>
    <row r="282" spans="1:26" hidden="1">
      <c r="A282">
        <v>281</v>
      </c>
      <c r="B282" t="s">
        <v>1085</v>
      </c>
      <c r="C282" t="s">
        <v>28</v>
      </c>
      <c r="D282" s="1" t="b">
        <v>0</v>
      </c>
      <c r="E282">
        <v>0.01</v>
      </c>
      <c r="F282">
        <v>2</v>
      </c>
      <c r="G282">
        <v>43</v>
      </c>
      <c r="H282">
        <v>3.6699999999999999E-7</v>
      </c>
      <c r="I282">
        <v>4.5199999999999996</v>
      </c>
      <c r="J282">
        <v>29</v>
      </c>
      <c r="K282">
        <v>3.5228787449999999</v>
      </c>
      <c r="L282">
        <v>2.9999999999999997E-4</v>
      </c>
      <c r="M282">
        <v>25</v>
      </c>
      <c r="N282" t="s">
        <v>1082</v>
      </c>
      <c r="O282" t="s">
        <v>29</v>
      </c>
      <c r="Q282" t="s">
        <v>1082</v>
      </c>
      <c r="R282" t="s">
        <v>1082</v>
      </c>
      <c r="S282" t="s">
        <v>1082</v>
      </c>
      <c r="T282" t="s">
        <v>1082</v>
      </c>
      <c r="V282" t="s">
        <v>1082</v>
      </c>
      <c r="X282" t="s">
        <v>1086</v>
      </c>
      <c r="Y282" t="s">
        <v>1087</v>
      </c>
      <c r="Z282">
        <v>952.4328332</v>
      </c>
    </row>
    <row r="283" spans="1:26" hidden="1">
      <c r="A283">
        <v>282</v>
      </c>
      <c r="B283" t="s">
        <v>1088</v>
      </c>
      <c r="C283" t="s">
        <v>28</v>
      </c>
      <c r="D283" s="1" t="b">
        <v>0</v>
      </c>
      <c r="E283">
        <v>0.02</v>
      </c>
      <c r="F283">
        <v>1.698970004</v>
      </c>
      <c r="G283">
        <v>41</v>
      </c>
      <c r="H283">
        <v>3.8799999999999998E-7</v>
      </c>
      <c r="I283">
        <v>4.28</v>
      </c>
      <c r="J283">
        <v>31</v>
      </c>
      <c r="K283">
        <v>3.4948500220000001</v>
      </c>
      <c r="L283">
        <v>3.2000000000000003E-4</v>
      </c>
      <c r="M283">
        <v>25</v>
      </c>
      <c r="N283" t="s">
        <v>1082</v>
      </c>
      <c r="O283" t="s">
        <v>29</v>
      </c>
      <c r="Q283" t="s">
        <v>1082</v>
      </c>
      <c r="R283" t="s">
        <v>1082</v>
      </c>
      <c r="S283" t="s">
        <v>1082</v>
      </c>
      <c r="T283" t="s">
        <v>1082</v>
      </c>
      <c r="V283" t="s">
        <v>1082</v>
      </c>
      <c r="X283" t="s">
        <v>1089</v>
      </c>
      <c r="Y283" t="s">
        <v>1090</v>
      </c>
      <c r="Z283">
        <v>896.37023290000002</v>
      </c>
    </row>
    <row r="284" spans="1:26" hidden="1">
      <c r="A284">
        <v>283</v>
      </c>
      <c r="B284" t="s">
        <v>1091</v>
      </c>
      <c r="C284" t="s">
        <v>134</v>
      </c>
      <c r="D284" s="13" t="b">
        <v>0</v>
      </c>
      <c r="E284">
        <v>1.524E-3</v>
      </c>
      <c r="F284">
        <v>2.8170150330000001</v>
      </c>
      <c r="M284">
        <v>25</v>
      </c>
      <c r="N284" t="s">
        <v>179</v>
      </c>
      <c r="P284" t="s">
        <v>294</v>
      </c>
      <c r="W284" t="s">
        <v>1092</v>
      </c>
      <c r="X284" t="s">
        <v>1093</v>
      </c>
      <c r="Y284" t="s">
        <v>1094</v>
      </c>
      <c r="Z284">
        <v>302.15277459999999</v>
      </c>
    </row>
    <row r="285" spans="1:26" hidden="1">
      <c r="A285">
        <v>284</v>
      </c>
      <c r="B285" t="s">
        <v>1095</v>
      </c>
      <c r="C285" t="s">
        <v>28</v>
      </c>
      <c r="D285" s="1" t="b">
        <v>0</v>
      </c>
      <c r="G285">
        <v>41.4</v>
      </c>
      <c r="O285" t="s">
        <v>29</v>
      </c>
      <c r="Q285" t="s">
        <v>1096</v>
      </c>
      <c r="X285" t="s">
        <v>1097</v>
      </c>
      <c r="Y285" t="s">
        <v>1098</v>
      </c>
      <c r="Z285">
        <v>780.54707510000003</v>
      </c>
    </row>
    <row r="286" spans="1:26" hidden="1">
      <c r="A286">
        <v>285</v>
      </c>
      <c r="B286" t="s">
        <v>1099</v>
      </c>
      <c r="C286" t="s">
        <v>28</v>
      </c>
      <c r="D286" s="1" t="b">
        <v>0</v>
      </c>
      <c r="G286">
        <v>43.3</v>
      </c>
      <c r="O286" t="s">
        <v>29</v>
      </c>
      <c r="Q286" t="s">
        <v>1096</v>
      </c>
      <c r="X286" t="s">
        <v>1100</v>
      </c>
      <c r="Y286" t="s">
        <v>1101</v>
      </c>
      <c r="Z286">
        <v>752.51577499999996</v>
      </c>
    </row>
    <row r="287" spans="1:26" hidden="1">
      <c r="A287">
        <v>286</v>
      </c>
      <c r="B287" t="s">
        <v>1102</v>
      </c>
      <c r="C287" t="s">
        <v>28</v>
      </c>
      <c r="D287" s="1" t="b">
        <v>0</v>
      </c>
      <c r="G287">
        <v>43.3</v>
      </c>
      <c r="O287" t="s">
        <v>29</v>
      </c>
      <c r="Q287" t="s">
        <v>1096</v>
      </c>
      <c r="X287" t="s">
        <v>1103</v>
      </c>
      <c r="Y287" t="s">
        <v>1104</v>
      </c>
      <c r="Z287">
        <v>724.48447480000004</v>
      </c>
    </row>
    <row r="288" spans="1:26" hidden="1">
      <c r="A288">
        <v>287</v>
      </c>
      <c r="B288" t="s">
        <v>1105</v>
      </c>
      <c r="C288" t="s">
        <v>28</v>
      </c>
      <c r="D288" s="1" t="b">
        <v>0</v>
      </c>
      <c r="G288">
        <v>40.799999999999997</v>
      </c>
      <c r="O288" t="s">
        <v>29</v>
      </c>
      <c r="Q288" t="s">
        <v>1096</v>
      </c>
      <c r="X288" t="s">
        <v>1106</v>
      </c>
      <c r="Y288" t="s">
        <v>1107</v>
      </c>
      <c r="Z288">
        <v>696.45317469999998</v>
      </c>
    </row>
    <row r="289" spans="1:26" hidden="1">
      <c r="A289">
        <v>288</v>
      </c>
      <c r="B289" t="s">
        <v>1108</v>
      </c>
      <c r="C289" t="s">
        <v>28</v>
      </c>
      <c r="D289" s="1" t="b">
        <v>0</v>
      </c>
      <c r="G289">
        <v>41</v>
      </c>
      <c r="O289" t="s">
        <v>29</v>
      </c>
      <c r="Q289" t="s">
        <v>1096</v>
      </c>
      <c r="X289" t="s">
        <v>1109</v>
      </c>
      <c r="Y289" t="s">
        <v>1110</v>
      </c>
      <c r="Z289">
        <v>682.43752459999996</v>
      </c>
    </row>
    <row r="290" spans="1:26" hidden="1">
      <c r="A290">
        <v>289</v>
      </c>
      <c r="B290" t="s">
        <v>1111</v>
      </c>
      <c r="C290" t="s">
        <v>28</v>
      </c>
      <c r="D290" s="1" t="b">
        <v>0</v>
      </c>
      <c r="G290">
        <v>39.4</v>
      </c>
      <c r="O290" t="s">
        <v>29</v>
      </c>
      <c r="Q290" t="s">
        <v>1096</v>
      </c>
      <c r="X290" t="s">
        <v>1112</v>
      </c>
      <c r="Y290" t="s">
        <v>1113</v>
      </c>
      <c r="Z290">
        <v>668.42187460000002</v>
      </c>
    </row>
    <row r="291" spans="1:26" hidden="1">
      <c r="A291">
        <v>290</v>
      </c>
      <c r="B291" t="s">
        <v>1114</v>
      </c>
      <c r="C291" t="s">
        <v>28</v>
      </c>
      <c r="D291" s="1" t="b">
        <v>0</v>
      </c>
      <c r="G291">
        <v>36</v>
      </c>
      <c r="O291" t="s">
        <v>29</v>
      </c>
      <c r="Q291" t="s">
        <v>1096</v>
      </c>
      <c r="X291" t="s">
        <v>1115</v>
      </c>
      <c r="Y291" t="s">
        <v>1116</v>
      </c>
      <c r="Z291">
        <v>654.40622450000001</v>
      </c>
    </row>
    <row r="292" spans="1:26" hidden="1">
      <c r="A292">
        <v>291</v>
      </c>
      <c r="B292" t="s">
        <v>1117</v>
      </c>
      <c r="C292" t="s">
        <v>134</v>
      </c>
      <c r="D292" s="13" t="b">
        <v>0</v>
      </c>
      <c r="E292">
        <v>6.1939999999999999E-4</v>
      </c>
      <c r="F292">
        <v>3.208028799</v>
      </c>
      <c r="M292">
        <v>25</v>
      </c>
      <c r="N292" t="s">
        <v>179</v>
      </c>
      <c r="P292" t="s">
        <v>180</v>
      </c>
      <c r="W292" t="s">
        <v>1118</v>
      </c>
      <c r="X292" t="s">
        <v>1119</v>
      </c>
      <c r="Y292" t="s">
        <v>1120</v>
      </c>
      <c r="Z292">
        <v>362.18916009999998</v>
      </c>
    </row>
    <row r="293" spans="1:26" hidden="1">
      <c r="A293">
        <v>292</v>
      </c>
      <c r="B293" t="s">
        <v>1121</v>
      </c>
      <c r="C293" t="s">
        <v>134</v>
      </c>
      <c r="D293" s="13" t="b">
        <v>0</v>
      </c>
      <c r="E293">
        <v>4.2950000000000002E-3</v>
      </c>
      <c r="F293">
        <v>2.3670368320000001</v>
      </c>
      <c r="M293">
        <v>25</v>
      </c>
      <c r="N293" t="s">
        <v>179</v>
      </c>
      <c r="P293" t="s">
        <v>180</v>
      </c>
      <c r="W293" t="s">
        <v>1122</v>
      </c>
      <c r="X293" t="s">
        <v>1123</v>
      </c>
      <c r="Y293" t="s">
        <v>1124</v>
      </c>
      <c r="Z293">
        <v>316.1684247</v>
      </c>
    </row>
    <row r="294" spans="1:26" hidden="1">
      <c r="A294">
        <v>293</v>
      </c>
      <c r="B294" t="s">
        <v>1125</v>
      </c>
      <c r="C294" t="s">
        <v>134</v>
      </c>
      <c r="D294" s="13" t="b">
        <v>0</v>
      </c>
      <c r="E294">
        <v>1E-3</v>
      </c>
      <c r="F294">
        <v>3</v>
      </c>
      <c r="M294">
        <v>25</v>
      </c>
      <c r="N294" t="s">
        <v>179</v>
      </c>
      <c r="P294" t="s">
        <v>294</v>
      </c>
      <c r="W294" t="s">
        <v>1126</v>
      </c>
      <c r="X294" t="s">
        <v>1127</v>
      </c>
      <c r="Y294" t="s">
        <v>1128</v>
      </c>
      <c r="Z294">
        <v>376.2048102</v>
      </c>
    </row>
    <row r="295" spans="1:26" hidden="1">
      <c r="A295">
        <v>294</v>
      </c>
      <c r="B295" t="s">
        <v>1129</v>
      </c>
      <c r="C295" t="s">
        <v>134</v>
      </c>
      <c r="D295" s="13" t="b">
        <v>0</v>
      </c>
      <c r="E295">
        <v>2E-3</v>
      </c>
      <c r="F295">
        <v>2.698970004</v>
      </c>
      <c r="M295">
        <v>25</v>
      </c>
      <c r="N295" t="s">
        <v>179</v>
      </c>
      <c r="P295" t="s">
        <v>180</v>
      </c>
      <c r="X295" t="s">
        <v>1130</v>
      </c>
      <c r="Y295" t="s">
        <v>1131</v>
      </c>
      <c r="Z295">
        <v>344.19972480000001</v>
      </c>
    </row>
    <row r="296" spans="1:26" hidden="1">
      <c r="A296">
        <v>295</v>
      </c>
      <c r="B296" t="s">
        <v>1132</v>
      </c>
      <c r="C296" t="s">
        <v>134</v>
      </c>
      <c r="D296" s="13" t="b">
        <v>0</v>
      </c>
      <c r="E296">
        <v>7.0790000000000002E-4</v>
      </c>
      <c r="F296">
        <v>3.150028088</v>
      </c>
      <c r="M296">
        <v>25</v>
      </c>
      <c r="N296" t="s">
        <v>179</v>
      </c>
      <c r="P296" t="s">
        <v>294</v>
      </c>
      <c r="W296" t="s">
        <v>1133</v>
      </c>
      <c r="X296" t="s">
        <v>1134</v>
      </c>
      <c r="Y296" t="s">
        <v>1135</v>
      </c>
      <c r="Z296">
        <v>390.22046030000001</v>
      </c>
    </row>
    <row r="297" spans="1:26" hidden="1">
      <c r="A297">
        <v>296</v>
      </c>
      <c r="B297" t="s">
        <v>1136</v>
      </c>
      <c r="C297" t="s">
        <v>134</v>
      </c>
      <c r="D297" s="13" t="b">
        <v>0</v>
      </c>
      <c r="E297">
        <v>6.3239999999999998E-3</v>
      </c>
      <c r="F297">
        <v>2.199008139</v>
      </c>
      <c r="M297">
        <v>25</v>
      </c>
      <c r="N297" t="s">
        <v>179</v>
      </c>
      <c r="P297" t="s">
        <v>180</v>
      </c>
      <c r="X297" t="s">
        <v>1137</v>
      </c>
      <c r="Y297" t="s">
        <v>1138</v>
      </c>
      <c r="Z297">
        <v>374.21028949999999</v>
      </c>
    </row>
    <row r="298" spans="1:26" hidden="1">
      <c r="A298">
        <v>297</v>
      </c>
      <c r="B298" t="s">
        <v>1139</v>
      </c>
      <c r="C298" t="s">
        <v>134</v>
      </c>
      <c r="D298" s="13" t="b">
        <v>0</v>
      </c>
      <c r="E298">
        <v>3.589E-4</v>
      </c>
      <c r="F298">
        <v>3.4450265419999999</v>
      </c>
      <c r="G298">
        <v>30.5</v>
      </c>
      <c r="H298">
        <v>1.31E-6</v>
      </c>
      <c r="I298">
        <v>1.27</v>
      </c>
      <c r="J298">
        <v>41.5</v>
      </c>
      <c r="K298">
        <v>4.8824152600000001</v>
      </c>
      <c r="L298">
        <v>7.5786869999999998E-3</v>
      </c>
      <c r="M298">
        <v>25</v>
      </c>
      <c r="N298" t="s">
        <v>179</v>
      </c>
      <c r="P298" t="s">
        <v>180</v>
      </c>
      <c r="U298" t="s">
        <v>31</v>
      </c>
      <c r="V298" t="s">
        <v>31</v>
      </c>
      <c r="X298" t="s">
        <v>1140</v>
      </c>
      <c r="Y298" t="s">
        <v>1141</v>
      </c>
      <c r="Z298">
        <v>418.23650420000001</v>
      </c>
    </row>
    <row r="299" spans="1:26" hidden="1">
      <c r="A299">
        <v>298</v>
      </c>
      <c r="B299" t="s">
        <v>1142</v>
      </c>
      <c r="C299" t="s">
        <v>134</v>
      </c>
      <c r="D299" s="13" t="b">
        <v>0</v>
      </c>
      <c r="E299">
        <v>1.6330000000000001E-5</v>
      </c>
      <c r="F299">
        <v>4.7870138149999999</v>
      </c>
      <c r="G299">
        <v>30.4</v>
      </c>
      <c r="H299">
        <v>1.95E-6</v>
      </c>
      <c r="I299">
        <v>0.85</v>
      </c>
      <c r="J299">
        <v>41.6</v>
      </c>
      <c r="K299">
        <v>5.7571354890000004</v>
      </c>
      <c r="L299">
        <v>3.1601509999999999E-3</v>
      </c>
      <c r="M299">
        <v>25</v>
      </c>
      <c r="N299" t="s">
        <v>179</v>
      </c>
      <c r="O299" t="s">
        <v>1143</v>
      </c>
      <c r="P299" t="s">
        <v>1143</v>
      </c>
      <c r="T299" t="s">
        <v>1143</v>
      </c>
      <c r="U299" t="s">
        <v>31</v>
      </c>
      <c r="V299" t="s">
        <v>31</v>
      </c>
      <c r="X299" t="s">
        <v>1144</v>
      </c>
      <c r="Y299" t="s">
        <v>1145</v>
      </c>
      <c r="Z299">
        <v>343.21570919999999</v>
      </c>
    </row>
    <row r="300" spans="1:26" hidden="1">
      <c r="A300">
        <v>299</v>
      </c>
      <c r="B300" t="s">
        <v>1146</v>
      </c>
      <c r="C300" t="s">
        <v>134</v>
      </c>
      <c r="D300" s="13" t="b">
        <v>0</v>
      </c>
      <c r="E300">
        <v>4.8979999999999998E-4</v>
      </c>
      <c r="F300">
        <v>3.309981219</v>
      </c>
      <c r="M300">
        <v>25</v>
      </c>
      <c r="N300" t="s">
        <v>179</v>
      </c>
      <c r="X300" t="s">
        <v>1147</v>
      </c>
      <c r="Y300" t="s">
        <v>1148</v>
      </c>
      <c r="Z300">
        <v>383.24700940000002</v>
      </c>
    </row>
    <row r="301" spans="1:26" hidden="1">
      <c r="A301">
        <v>300</v>
      </c>
      <c r="B301" t="s">
        <v>1149</v>
      </c>
      <c r="C301" t="s">
        <v>134</v>
      </c>
      <c r="D301" s="13" t="b">
        <v>0</v>
      </c>
      <c r="E301">
        <v>7.8339999999999996E-4</v>
      </c>
      <c r="F301">
        <v>3.1060164330000002</v>
      </c>
      <c r="M301">
        <v>25</v>
      </c>
      <c r="N301" t="s">
        <v>179</v>
      </c>
      <c r="P301" t="s">
        <v>1143</v>
      </c>
      <c r="X301" t="s">
        <v>1150</v>
      </c>
      <c r="Y301" t="s">
        <v>1151</v>
      </c>
      <c r="Z301">
        <v>385.22627390000002</v>
      </c>
    </row>
    <row r="302" spans="1:26" hidden="1">
      <c r="A302">
        <v>301</v>
      </c>
      <c r="B302" t="s">
        <v>1152</v>
      </c>
      <c r="C302" t="s">
        <v>134</v>
      </c>
      <c r="D302" s="13" t="b">
        <v>0</v>
      </c>
      <c r="E302">
        <v>1.0859999999999999E-3</v>
      </c>
      <c r="F302">
        <v>2.964170175</v>
      </c>
      <c r="G302">
        <v>30.7</v>
      </c>
      <c r="H302">
        <v>2.3700000000000002E-6</v>
      </c>
      <c r="I302">
        <v>0.7</v>
      </c>
      <c r="J302">
        <v>41.3</v>
      </c>
      <c r="K302">
        <v>3.751285422</v>
      </c>
      <c r="L302">
        <v>2.3487535E-2</v>
      </c>
      <c r="M302">
        <v>25</v>
      </c>
      <c r="N302" t="s">
        <v>179</v>
      </c>
      <c r="O302" t="s">
        <v>1143</v>
      </c>
      <c r="P302" t="s">
        <v>1143</v>
      </c>
      <c r="T302" t="s">
        <v>1143</v>
      </c>
      <c r="U302" t="s">
        <v>31</v>
      </c>
      <c r="V302" t="s">
        <v>31</v>
      </c>
      <c r="X302" t="s">
        <v>1153</v>
      </c>
      <c r="Y302" t="s">
        <v>1154</v>
      </c>
      <c r="Z302">
        <v>357.23135930000001</v>
      </c>
    </row>
    <row r="303" spans="1:26" hidden="1">
      <c r="A303">
        <v>302</v>
      </c>
      <c r="B303" t="s">
        <v>1155</v>
      </c>
      <c r="C303" t="s">
        <v>134</v>
      </c>
      <c r="D303" s="13" t="b">
        <v>0</v>
      </c>
      <c r="E303">
        <v>6.3100000000000005E-4</v>
      </c>
      <c r="F303">
        <v>3.1999706410000002</v>
      </c>
      <c r="G303">
        <v>33</v>
      </c>
      <c r="H303">
        <v>2.1600000000000001E-6</v>
      </c>
      <c r="I303">
        <v>0.77</v>
      </c>
      <c r="J303">
        <v>39</v>
      </c>
      <c r="K303">
        <v>3.9703540429999999</v>
      </c>
      <c r="L303">
        <v>1.8866752000000001E-2</v>
      </c>
      <c r="M303">
        <v>25</v>
      </c>
      <c r="N303" t="s">
        <v>179</v>
      </c>
      <c r="O303" t="s">
        <v>1143</v>
      </c>
      <c r="P303" t="s">
        <v>1143</v>
      </c>
      <c r="T303" t="s">
        <v>1143</v>
      </c>
      <c r="U303" t="s">
        <v>31</v>
      </c>
      <c r="V303" t="s">
        <v>31</v>
      </c>
      <c r="X303" t="s">
        <v>1156</v>
      </c>
      <c r="Y303" t="s">
        <v>1157</v>
      </c>
      <c r="Z303">
        <v>371.24700940000002</v>
      </c>
    </row>
    <row r="304" spans="1:26" hidden="1">
      <c r="A304">
        <v>303</v>
      </c>
      <c r="B304" t="s">
        <v>1158</v>
      </c>
      <c r="C304" t="s">
        <v>134</v>
      </c>
      <c r="D304" s="13" t="b">
        <v>0</v>
      </c>
      <c r="E304">
        <v>2.286E-4</v>
      </c>
      <c r="F304">
        <v>3.640923774</v>
      </c>
      <c r="G304">
        <v>29.1</v>
      </c>
      <c r="H304">
        <v>2.1299999999999999E-6</v>
      </c>
      <c r="I304">
        <v>0.78</v>
      </c>
      <c r="J304">
        <v>42.9</v>
      </c>
      <c r="K304">
        <v>4.5825161779999997</v>
      </c>
      <c r="L304">
        <v>1.0229126E-2</v>
      </c>
      <c r="M304">
        <v>25</v>
      </c>
      <c r="N304" t="s">
        <v>179</v>
      </c>
      <c r="O304" t="s">
        <v>1143</v>
      </c>
      <c r="P304" t="s">
        <v>1143</v>
      </c>
      <c r="T304" t="s">
        <v>1143</v>
      </c>
      <c r="U304" t="s">
        <v>31</v>
      </c>
      <c r="V304" t="s">
        <v>31</v>
      </c>
      <c r="X304" t="s">
        <v>1159</v>
      </c>
      <c r="Y304" t="s">
        <v>1160</v>
      </c>
      <c r="Z304">
        <v>494.08280780000001</v>
      </c>
    </row>
    <row r="305" spans="1:26" hidden="1">
      <c r="A305">
        <v>304</v>
      </c>
      <c r="B305" t="s">
        <v>1161</v>
      </c>
      <c r="C305" t="s">
        <v>134</v>
      </c>
      <c r="D305" s="13" t="b">
        <v>0</v>
      </c>
      <c r="E305">
        <v>1.1969999999999999E-3</v>
      </c>
      <c r="F305">
        <v>2.9219058499999999</v>
      </c>
      <c r="G305">
        <v>29</v>
      </c>
      <c r="H305">
        <v>1.75E-6</v>
      </c>
      <c r="I305">
        <v>0.95</v>
      </c>
      <c r="J305">
        <v>43</v>
      </c>
      <c r="K305">
        <v>4.0729629149999997</v>
      </c>
      <c r="L305">
        <v>1.7026864999999999E-2</v>
      </c>
      <c r="M305">
        <v>25</v>
      </c>
      <c r="N305" t="s">
        <v>179</v>
      </c>
      <c r="O305" t="s">
        <v>1143</v>
      </c>
      <c r="P305" t="s">
        <v>1143</v>
      </c>
      <c r="T305" t="s">
        <v>1143</v>
      </c>
      <c r="U305" t="s">
        <v>31</v>
      </c>
      <c r="V305" t="s">
        <v>31</v>
      </c>
      <c r="X305" t="s">
        <v>1162</v>
      </c>
      <c r="Y305" t="s">
        <v>1163</v>
      </c>
      <c r="Z305">
        <v>392.19972480000001</v>
      </c>
    </row>
    <row r="306" spans="1:26" hidden="1">
      <c r="A306">
        <v>305</v>
      </c>
      <c r="B306" t="s">
        <v>1164</v>
      </c>
      <c r="C306" t="s">
        <v>134</v>
      </c>
      <c r="D306" s="13" t="b">
        <v>0</v>
      </c>
      <c r="E306">
        <v>2.877E-2</v>
      </c>
      <c r="F306">
        <v>1.541060138</v>
      </c>
      <c r="M306">
        <v>25</v>
      </c>
      <c r="N306" t="s">
        <v>179</v>
      </c>
      <c r="P306" t="s">
        <v>180</v>
      </c>
      <c r="W306" t="s">
        <v>1165</v>
      </c>
      <c r="X306" t="s">
        <v>1166</v>
      </c>
      <c r="Y306" t="s">
        <v>1167</v>
      </c>
      <c r="Z306">
        <v>316.1684247</v>
      </c>
    </row>
    <row r="307" spans="1:26" hidden="1">
      <c r="A307">
        <v>306</v>
      </c>
      <c r="B307" t="s">
        <v>1168</v>
      </c>
      <c r="C307" t="s">
        <v>134</v>
      </c>
      <c r="D307" s="13" t="b">
        <v>0</v>
      </c>
      <c r="E307">
        <v>1.6980000000000001E-3</v>
      </c>
      <c r="F307">
        <v>2.770062314</v>
      </c>
      <c r="M307">
        <v>25</v>
      </c>
      <c r="N307" t="s">
        <v>179</v>
      </c>
      <c r="P307" t="s">
        <v>211</v>
      </c>
      <c r="X307" t="s">
        <v>1169</v>
      </c>
      <c r="Y307" t="s">
        <v>1170</v>
      </c>
      <c r="Z307">
        <v>497.19067630000001</v>
      </c>
    </row>
    <row r="308" spans="1:26" hidden="1">
      <c r="A308">
        <v>307</v>
      </c>
      <c r="B308" t="s">
        <v>1171</v>
      </c>
      <c r="C308" t="s">
        <v>83</v>
      </c>
      <c r="D308" s="1" t="b">
        <v>0</v>
      </c>
      <c r="E308">
        <v>3.9990000000000002E-4</v>
      </c>
      <c r="F308">
        <v>3.3980485960000002</v>
      </c>
      <c r="M308">
        <v>25</v>
      </c>
      <c r="N308" t="s">
        <v>207</v>
      </c>
      <c r="X308" t="s">
        <v>1172</v>
      </c>
      <c r="Y308" t="s">
        <v>1173</v>
      </c>
      <c r="Z308">
        <v>289.26169399999998</v>
      </c>
    </row>
    <row r="309" spans="1:26" hidden="1">
      <c r="A309">
        <v>308</v>
      </c>
      <c r="B309" t="s">
        <v>1174</v>
      </c>
      <c r="C309" t="s">
        <v>83</v>
      </c>
      <c r="D309" s="1" t="b">
        <v>0</v>
      </c>
      <c r="E309">
        <v>5.1049999999999999E-4</v>
      </c>
      <c r="F309">
        <v>3.2920042540000001</v>
      </c>
      <c r="M309">
        <v>25</v>
      </c>
      <c r="N309" t="s">
        <v>207</v>
      </c>
      <c r="X309" t="s">
        <v>1175</v>
      </c>
      <c r="Y309" t="s">
        <v>1176</v>
      </c>
      <c r="Z309">
        <v>333.2879087</v>
      </c>
    </row>
    <row r="310" spans="1:26" hidden="1">
      <c r="A310">
        <v>309</v>
      </c>
      <c r="B310" t="s">
        <v>1177</v>
      </c>
      <c r="C310" t="s">
        <v>83</v>
      </c>
      <c r="D310" s="1" t="b">
        <v>0</v>
      </c>
      <c r="E310">
        <v>2.4489999999999999E-4</v>
      </c>
      <c r="F310">
        <v>3.611011215</v>
      </c>
      <c r="M310">
        <v>25</v>
      </c>
      <c r="N310" t="s">
        <v>207</v>
      </c>
      <c r="X310" t="s">
        <v>1178</v>
      </c>
      <c r="Y310" t="s">
        <v>1179</v>
      </c>
      <c r="Z310">
        <v>377.31412349999999</v>
      </c>
    </row>
    <row r="311" spans="1:26">
      <c r="A311">
        <v>310</v>
      </c>
      <c r="B311" s="2" t="s">
        <v>1180</v>
      </c>
      <c r="C311" t="s">
        <v>83</v>
      </c>
      <c r="D311" s="1" t="b">
        <v>1</v>
      </c>
      <c r="E311">
        <v>3.3000000000000003E-5</v>
      </c>
      <c r="F311">
        <v>4.4814860599999999</v>
      </c>
      <c r="G311" s="2">
        <f>72-J311</f>
        <v>26.299999999999997</v>
      </c>
      <c r="H311" s="3">
        <v>4.7299999999999996E-6</v>
      </c>
      <c r="I311" s="2">
        <f>35.1/100</f>
        <v>0.35100000000000003</v>
      </c>
      <c r="J311" s="2">
        <v>45.7</v>
      </c>
      <c r="K311" s="2"/>
      <c r="L311" s="2"/>
      <c r="M311">
        <v>25</v>
      </c>
      <c r="N311" t="s">
        <v>135</v>
      </c>
      <c r="O311" s="2" t="s">
        <v>1181</v>
      </c>
      <c r="P311" s="2" t="s">
        <v>1181</v>
      </c>
      <c r="R311" s="2" t="s">
        <v>1181</v>
      </c>
      <c r="S311" s="2" t="s">
        <v>1181</v>
      </c>
      <c r="T311" s="2" t="s">
        <v>1181</v>
      </c>
      <c r="X311" t="s">
        <v>1182</v>
      </c>
      <c r="Y311" t="s">
        <v>1183</v>
      </c>
      <c r="Z311">
        <v>274.25079490000002</v>
      </c>
    </row>
    <row r="312" spans="1:26">
      <c r="A312">
        <v>311</v>
      </c>
      <c r="B312" s="2" t="s">
        <v>1184</v>
      </c>
      <c r="C312" t="s">
        <v>83</v>
      </c>
      <c r="D312" s="1" t="b">
        <v>1</v>
      </c>
      <c r="E312">
        <v>5.1999999999999997E-5</v>
      </c>
      <c r="F312">
        <v>4.2839966560000002</v>
      </c>
      <c r="G312">
        <v>27.9</v>
      </c>
      <c r="H312">
        <v>3.98E-6</v>
      </c>
      <c r="I312">
        <v>0.42</v>
      </c>
      <c r="J312">
        <v>44.1</v>
      </c>
      <c r="K312">
        <v>5.34</v>
      </c>
      <c r="L312">
        <v>4.5600000000000004E-6</v>
      </c>
      <c r="M312">
        <v>25</v>
      </c>
      <c r="N312" t="s">
        <v>135</v>
      </c>
      <c r="O312" s="2" t="s">
        <v>1181</v>
      </c>
      <c r="P312" s="2" t="s">
        <v>1181</v>
      </c>
      <c r="R312" s="2" t="s">
        <v>1181</v>
      </c>
      <c r="S312" s="2" t="s">
        <v>1181</v>
      </c>
      <c r="T312" s="2" t="s">
        <v>1181</v>
      </c>
      <c r="X312" t="s">
        <v>1185</v>
      </c>
      <c r="Y312" t="s">
        <v>1186</v>
      </c>
      <c r="Z312">
        <v>318.27700970000001</v>
      </c>
    </row>
    <row r="313" spans="1:26">
      <c r="A313">
        <v>312</v>
      </c>
      <c r="B313" s="2" t="s">
        <v>1187</v>
      </c>
      <c r="C313" t="s">
        <v>83</v>
      </c>
      <c r="D313" s="1" t="b">
        <v>1</v>
      </c>
      <c r="E313">
        <v>6.3999999999999997E-5</v>
      </c>
      <c r="F313">
        <v>4.193820026</v>
      </c>
      <c r="G313">
        <v>28.6</v>
      </c>
      <c r="H313">
        <v>3.63E-6</v>
      </c>
      <c r="I313">
        <v>0.46</v>
      </c>
      <c r="J313">
        <v>43.4</v>
      </c>
      <c r="K313">
        <v>5.33</v>
      </c>
      <c r="L313">
        <v>4.6700000000000002E-6</v>
      </c>
      <c r="M313">
        <v>25</v>
      </c>
      <c r="N313" t="s">
        <v>135</v>
      </c>
      <c r="O313" s="2" t="s">
        <v>1181</v>
      </c>
      <c r="P313" s="2" t="s">
        <v>1181</v>
      </c>
      <c r="R313" s="2" t="s">
        <v>1181</v>
      </c>
      <c r="S313" s="2" t="s">
        <v>1181</v>
      </c>
      <c r="T313" s="2" t="s">
        <v>1181</v>
      </c>
      <c r="X313" t="s">
        <v>1188</v>
      </c>
      <c r="Y313" t="s">
        <v>1189</v>
      </c>
      <c r="Z313">
        <v>362.30322439999998</v>
      </c>
    </row>
    <row r="314" spans="1:26">
      <c r="A314">
        <v>313</v>
      </c>
      <c r="B314" s="2" t="s">
        <v>1190</v>
      </c>
      <c r="C314" t="s">
        <v>83</v>
      </c>
      <c r="D314" s="1" t="b">
        <v>1</v>
      </c>
      <c r="E314">
        <v>6.3999999999999997E-5</v>
      </c>
      <c r="F314">
        <v>4.193820026</v>
      </c>
      <c r="G314">
        <v>30.5</v>
      </c>
      <c r="H314">
        <v>3.3299999999999999E-6</v>
      </c>
      <c r="I314">
        <v>0.5</v>
      </c>
      <c r="J314">
        <v>41.5</v>
      </c>
      <c r="K314">
        <v>5.37</v>
      </c>
      <c r="L314">
        <v>4.2699999999999998E-6</v>
      </c>
      <c r="M314">
        <v>25</v>
      </c>
      <c r="N314" t="s">
        <v>135</v>
      </c>
      <c r="O314" s="2" t="s">
        <v>1181</v>
      </c>
      <c r="P314" s="2" t="s">
        <v>1181</v>
      </c>
      <c r="R314" s="2" t="s">
        <v>1181</v>
      </c>
      <c r="S314" s="2" t="s">
        <v>1181</v>
      </c>
      <c r="T314" s="2" t="s">
        <v>1181</v>
      </c>
      <c r="X314" t="s">
        <v>1191</v>
      </c>
      <c r="Y314" t="s">
        <v>1192</v>
      </c>
      <c r="Z314">
        <v>406.32943920000002</v>
      </c>
    </row>
    <row r="315" spans="1:26">
      <c r="A315">
        <v>314</v>
      </c>
      <c r="B315" s="2" t="s">
        <v>1193</v>
      </c>
      <c r="C315" t="s">
        <v>83</v>
      </c>
      <c r="D315" s="1" t="b">
        <v>1</v>
      </c>
      <c r="E315">
        <v>8.7000000000000001E-5</v>
      </c>
      <c r="F315">
        <v>4.0604807469999997</v>
      </c>
      <c r="G315">
        <v>31</v>
      </c>
      <c r="H315">
        <v>3.7000000000000002E-6</v>
      </c>
      <c r="I315">
        <v>0.45</v>
      </c>
      <c r="J315">
        <v>41</v>
      </c>
      <c r="K315">
        <v>5.04</v>
      </c>
      <c r="L315">
        <v>9.0599999999999997E-6</v>
      </c>
      <c r="M315">
        <v>25</v>
      </c>
      <c r="N315" t="s">
        <v>135</v>
      </c>
      <c r="O315" t="s">
        <v>137</v>
      </c>
      <c r="P315" s="2" t="s">
        <v>1194</v>
      </c>
      <c r="R315" t="s">
        <v>137</v>
      </c>
      <c r="S315" t="s">
        <v>137</v>
      </c>
      <c r="X315" t="s">
        <v>1195</v>
      </c>
      <c r="Y315" t="s">
        <v>1196</v>
      </c>
      <c r="Z315">
        <v>450.35565389999999</v>
      </c>
    </row>
    <row r="316" spans="1:26">
      <c r="A316">
        <v>315</v>
      </c>
      <c r="B316" s="2" t="s">
        <v>1197</v>
      </c>
      <c r="C316" t="s">
        <v>83</v>
      </c>
      <c r="D316" s="1" t="b">
        <v>1</v>
      </c>
      <c r="E316">
        <v>8.2000000000000001E-5</v>
      </c>
      <c r="F316">
        <v>4.0861861480000004</v>
      </c>
      <c r="G316">
        <v>33.700000000000003</v>
      </c>
      <c r="H316">
        <v>2.9000000000000002E-6</v>
      </c>
      <c r="I316">
        <v>0.56999999999999995</v>
      </c>
      <c r="J316">
        <v>38.299999999999997</v>
      </c>
      <c r="K316">
        <v>5.26</v>
      </c>
      <c r="L316">
        <v>5.4999999999999999E-6</v>
      </c>
      <c r="M316">
        <v>25</v>
      </c>
      <c r="N316" t="s">
        <v>135</v>
      </c>
      <c r="O316" t="s">
        <v>137</v>
      </c>
      <c r="P316" s="2" t="s">
        <v>1181</v>
      </c>
      <c r="R316" s="2" t="s">
        <v>1181</v>
      </c>
      <c r="S316" s="2" t="s">
        <v>1181</v>
      </c>
      <c r="X316" t="s">
        <v>1198</v>
      </c>
      <c r="Y316" t="s">
        <v>1199</v>
      </c>
      <c r="Z316">
        <v>494.38186869999998</v>
      </c>
    </row>
    <row r="317" spans="1:26">
      <c r="A317">
        <v>316</v>
      </c>
      <c r="B317" s="2" t="s">
        <v>1200</v>
      </c>
      <c r="C317" t="s">
        <v>83</v>
      </c>
      <c r="D317" s="1" t="b">
        <v>1</v>
      </c>
      <c r="E317">
        <v>1.0900000000000001E-4</v>
      </c>
      <c r="F317">
        <v>3.9625735020000001</v>
      </c>
      <c r="G317">
        <v>34.799999999999997</v>
      </c>
      <c r="H317">
        <v>2.52E-6</v>
      </c>
      <c r="I317">
        <v>0.66</v>
      </c>
      <c r="J317">
        <v>37.200000000000003</v>
      </c>
      <c r="K317">
        <v>5.2</v>
      </c>
      <c r="L317">
        <v>6.2999999999999998E-6</v>
      </c>
      <c r="M317">
        <v>25</v>
      </c>
      <c r="N317" t="s">
        <v>135</v>
      </c>
      <c r="O317" t="s">
        <v>137</v>
      </c>
      <c r="P317" s="2" t="s">
        <v>1181</v>
      </c>
      <c r="R317" s="2" t="s">
        <v>1181</v>
      </c>
      <c r="S317" s="2" t="s">
        <v>1181</v>
      </c>
      <c r="X317" t="s">
        <v>1201</v>
      </c>
      <c r="Y317" t="s">
        <v>1202</v>
      </c>
      <c r="Z317">
        <v>538.40808340000001</v>
      </c>
    </row>
    <row r="318" spans="1:26">
      <c r="A318">
        <v>317</v>
      </c>
      <c r="B318" s="2" t="s">
        <v>1203</v>
      </c>
      <c r="C318" t="s">
        <v>83</v>
      </c>
      <c r="D318" s="1" t="b">
        <v>1</v>
      </c>
      <c r="E318">
        <v>1E-4</v>
      </c>
      <c r="F318">
        <v>4</v>
      </c>
      <c r="G318" s="2">
        <f>72.4-J318</f>
        <v>36.400000000000006</v>
      </c>
      <c r="H318" s="3">
        <v>2.3E-6</v>
      </c>
      <c r="I318" s="2"/>
      <c r="J318" s="2">
        <v>36</v>
      </c>
      <c r="K318" s="2"/>
      <c r="L318" s="2"/>
      <c r="M318" s="2">
        <v>23</v>
      </c>
      <c r="N318" t="s">
        <v>135</v>
      </c>
      <c r="X318" t="s">
        <v>1204</v>
      </c>
      <c r="Y318" t="s">
        <v>1205</v>
      </c>
      <c r="Z318">
        <v>582.43429819999994</v>
      </c>
    </row>
    <row r="319" spans="1:26">
      <c r="A319">
        <v>318</v>
      </c>
      <c r="B319" s="2" t="s">
        <v>1206</v>
      </c>
      <c r="C319" t="s">
        <v>83</v>
      </c>
      <c r="D319" s="1" t="b">
        <v>1</v>
      </c>
      <c r="E319">
        <v>1.3999999999999999E-4</v>
      </c>
      <c r="F319">
        <v>3.8538719640000001</v>
      </c>
      <c r="G319" s="2"/>
      <c r="H319" s="2"/>
      <c r="I319" s="2"/>
      <c r="J319" s="2"/>
      <c r="K319" s="2"/>
      <c r="L319" s="2"/>
      <c r="M319" s="2">
        <v>23</v>
      </c>
      <c r="N319" t="s">
        <v>135</v>
      </c>
      <c r="X319" t="s">
        <v>1207</v>
      </c>
      <c r="Y319" t="s">
        <v>1208</v>
      </c>
      <c r="Z319">
        <v>714.51294240000004</v>
      </c>
    </row>
    <row r="320" spans="1:26">
      <c r="A320">
        <v>319</v>
      </c>
      <c r="B320" s="2" t="s">
        <v>1209</v>
      </c>
      <c r="C320" t="s">
        <v>83</v>
      </c>
      <c r="D320" s="1" t="b">
        <v>1</v>
      </c>
      <c r="E320">
        <v>2.0999999999999998E-6</v>
      </c>
      <c r="F320">
        <v>5.677780705</v>
      </c>
      <c r="G320" s="2">
        <f>72-J320</f>
        <v>36</v>
      </c>
      <c r="H320" s="3">
        <v>3.1E-6</v>
      </c>
      <c r="I320" s="2">
        <f>53/100</f>
        <v>0.53</v>
      </c>
      <c r="J320" s="2">
        <v>36</v>
      </c>
      <c r="K320" s="2">
        <f>-LOG10(L320)</f>
        <v>6.5698753079565613</v>
      </c>
      <c r="L320" s="2">
        <f>E320/7.8</f>
        <v>2.6923076923076922E-7</v>
      </c>
      <c r="M320">
        <v>25</v>
      </c>
      <c r="N320" t="s">
        <v>135</v>
      </c>
      <c r="V320" s="2" t="s">
        <v>1210</v>
      </c>
      <c r="X320" t="s">
        <v>1211</v>
      </c>
      <c r="Y320" t="s">
        <v>1212</v>
      </c>
      <c r="Z320">
        <v>802.56537189999995</v>
      </c>
    </row>
    <row r="321" spans="1:26">
      <c r="A321">
        <v>320</v>
      </c>
      <c r="B321" s="2" t="s">
        <v>1213</v>
      </c>
      <c r="C321" t="s">
        <v>83</v>
      </c>
      <c r="D321" s="1" t="b">
        <v>1</v>
      </c>
      <c r="E321">
        <v>2.3E-6</v>
      </c>
      <c r="F321">
        <v>5.638272164</v>
      </c>
      <c r="G321" s="2">
        <f>72-J321</f>
        <v>39</v>
      </c>
      <c r="H321" s="3">
        <v>2.3E-6</v>
      </c>
      <c r="I321" s="2">
        <f>72/100</f>
        <v>0.72</v>
      </c>
      <c r="J321" s="2">
        <v>33</v>
      </c>
      <c r="K321" s="2">
        <f>-LOG10(L321)</f>
        <v>6.5676910896966998</v>
      </c>
      <c r="L321" s="2">
        <f>E321/8.5</f>
        <v>2.7058823529411763E-7</v>
      </c>
      <c r="M321">
        <v>25</v>
      </c>
      <c r="N321" t="s">
        <v>135</v>
      </c>
      <c r="V321" s="2" t="s">
        <v>1210</v>
      </c>
      <c r="X321" t="s">
        <v>1214</v>
      </c>
      <c r="Y321" t="s">
        <v>1215</v>
      </c>
      <c r="Z321">
        <v>934.64401620000001</v>
      </c>
    </row>
    <row r="322" spans="1:26" hidden="1">
      <c r="A322">
        <v>321</v>
      </c>
      <c r="B322" t="s">
        <v>1216</v>
      </c>
      <c r="C322" t="s">
        <v>134</v>
      </c>
      <c r="D322" s="13" t="b">
        <v>0</v>
      </c>
      <c r="E322">
        <v>2.7989999999999998E-3</v>
      </c>
      <c r="F322">
        <v>2.552997102</v>
      </c>
      <c r="M322">
        <v>25</v>
      </c>
      <c r="N322" t="s">
        <v>179</v>
      </c>
      <c r="P322" t="s">
        <v>180</v>
      </c>
      <c r="W322" t="s">
        <v>1217</v>
      </c>
      <c r="X322" t="s">
        <v>1218</v>
      </c>
      <c r="Y322" t="s">
        <v>1219</v>
      </c>
      <c r="Z322">
        <v>376.18955410000001</v>
      </c>
    </row>
    <row r="323" spans="1:26" hidden="1">
      <c r="A323">
        <v>322</v>
      </c>
      <c r="B323" t="s">
        <v>1220</v>
      </c>
      <c r="C323" t="s">
        <v>134</v>
      </c>
      <c r="D323" s="13" t="b">
        <v>0</v>
      </c>
      <c r="E323">
        <v>4.0179999999999999E-3</v>
      </c>
      <c r="F323">
        <v>2.3959900680000001</v>
      </c>
      <c r="M323">
        <v>25</v>
      </c>
      <c r="N323" t="s">
        <v>179</v>
      </c>
      <c r="P323" t="s">
        <v>180</v>
      </c>
      <c r="W323" t="s">
        <v>1221</v>
      </c>
      <c r="X323" t="s">
        <v>1222</v>
      </c>
      <c r="Y323" t="s">
        <v>1223</v>
      </c>
      <c r="Z323">
        <v>332.16333930000002</v>
      </c>
    </row>
    <row r="324" spans="1:26" hidden="1">
      <c r="A324">
        <v>323</v>
      </c>
      <c r="B324" t="s">
        <v>1224</v>
      </c>
      <c r="C324" t="s">
        <v>134</v>
      </c>
      <c r="D324" s="13" t="b">
        <v>0</v>
      </c>
      <c r="E324">
        <v>1.6980000000000001E-3</v>
      </c>
      <c r="F324">
        <v>2.770062314</v>
      </c>
      <c r="M324">
        <v>25</v>
      </c>
      <c r="N324" t="s">
        <v>179</v>
      </c>
      <c r="P324" t="s">
        <v>1225</v>
      </c>
      <c r="X324" t="s">
        <v>1226</v>
      </c>
      <c r="Y324" t="s">
        <v>1227</v>
      </c>
      <c r="Z324">
        <v>464.24198360000003</v>
      </c>
    </row>
    <row r="325" spans="1:26" hidden="1">
      <c r="A325">
        <v>324</v>
      </c>
      <c r="B325" t="s">
        <v>1228</v>
      </c>
      <c r="C325" t="s">
        <v>28</v>
      </c>
      <c r="D325" s="1" t="b">
        <v>0</v>
      </c>
      <c r="G325">
        <v>28.3</v>
      </c>
      <c r="O325" t="s">
        <v>29</v>
      </c>
      <c r="Q325" t="s">
        <v>464</v>
      </c>
      <c r="X325" t="s">
        <v>1229</v>
      </c>
      <c r="Y325" t="s">
        <v>1230</v>
      </c>
      <c r="Z325">
        <v>862.54986899999994</v>
      </c>
    </row>
    <row r="326" spans="1:26" hidden="1">
      <c r="A326">
        <v>325</v>
      </c>
      <c r="B326" t="s">
        <v>1231</v>
      </c>
      <c r="C326" t="s">
        <v>311</v>
      </c>
      <c r="D326" s="1" t="b">
        <v>0</v>
      </c>
      <c r="G326">
        <v>29</v>
      </c>
      <c r="O326" t="s">
        <v>29</v>
      </c>
      <c r="Q326" t="s">
        <v>1232</v>
      </c>
      <c r="X326" t="s">
        <v>1233</v>
      </c>
      <c r="Y326" t="s">
        <v>1234</v>
      </c>
      <c r="Z326">
        <v>330.25185759999999</v>
      </c>
    </row>
    <row r="327" spans="1:26">
      <c r="A327">
        <v>326</v>
      </c>
      <c r="B327" s="2" t="s">
        <v>1235</v>
      </c>
      <c r="C327" t="s">
        <v>54</v>
      </c>
      <c r="D327" s="1" t="b">
        <v>1</v>
      </c>
      <c r="E327">
        <v>8.4999999999999995E-4</v>
      </c>
      <c r="F327">
        <v>3.0705810740000001</v>
      </c>
      <c r="G327">
        <v>30.6</v>
      </c>
      <c r="H327">
        <v>1.66E-6</v>
      </c>
      <c r="I327">
        <v>1</v>
      </c>
      <c r="J327">
        <v>41.5</v>
      </c>
      <c r="K327">
        <v>4.1996299769999998</v>
      </c>
      <c r="L327">
        <v>1.5001127E-2</v>
      </c>
      <c r="M327">
        <v>25</v>
      </c>
      <c r="N327" t="s">
        <v>349</v>
      </c>
      <c r="O327" t="s">
        <v>29</v>
      </c>
      <c r="Q327" t="s">
        <v>349</v>
      </c>
      <c r="R327" t="s">
        <v>349</v>
      </c>
      <c r="S327" t="s">
        <v>349</v>
      </c>
      <c r="T327" t="s">
        <v>349</v>
      </c>
      <c r="U327" t="s">
        <v>31</v>
      </c>
      <c r="V327" t="s">
        <v>31</v>
      </c>
      <c r="X327" t="s">
        <v>1236</v>
      </c>
      <c r="Y327" t="s">
        <v>1237</v>
      </c>
      <c r="Z327">
        <v>379.20859159999998</v>
      </c>
    </row>
    <row r="328" spans="1:26" hidden="1">
      <c r="A328">
        <v>327</v>
      </c>
      <c r="B328" t="s">
        <v>1238</v>
      </c>
      <c r="C328" t="s">
        <v>28</v>
      </c>
      <c r="D328" s="1" t="b">
        <v>0</v>
      </c>
      <c r="E328">
        <v>1.4799999999999999E-4</v>
      </c>
      <c r="F328">
        <v>3.8297382849999999</v>
      </c>
      <c r="G328">
        <v>34.799999999999997</v>
      </c>
      <c r="H328">
        <v>1.3200000000000001E-6</v>
      </c>
      <c r="I328">
        <v>1.23</v>
      </c>
      <c r="J328">
        <v>37.200000000000003</v>
      </c>
      <c r="K328">
        <v>4.75</v>
      </c>
      <c r="L328">
        <v>1.7799999999999999E-5</v>
      </c>
      <c r="M328">
        <v>25</v>
      </c>
      <c r="N328" t="s">
        <v>479</v>
      </c>
      <c r="O328" t="s">
        <v>29</v>
      </c>
      <c r="Q328" t="s">
        <v>479</v>
      </c>
      <c r="R328" t="s">
        <v>479</v>
      </c>
      <c r="T328" t="s">
        <v>479</v>
      </c>
      <c r="U328" t="s">
        <v>479</v>
      </c>
      <c r="V328" t="s">
        <v>479</v>
      </c>
      <c r="W328" t="s">
        <v>1239</v>
      </c>
      <c r="X328" t="s">
        <v>1240</v>
      </c>
      <c r="Y328" t="s">
        <v>1241</v>
      </c>
      <c r="Z328">
        <v>724.5763978</v>
      </c>
    </row>
    <row r="329" spans="1:26" hidden="1">
      <c r="A329">
        <v>328</v>
      </c>
      <c r="B329" t="s">
        <v>1242</v>
      </c>
      <c r="C329" t="s">
        <v>54</v>
      </c>
      <c r="D329" s="1" t="b">
        <v>0</v>
      </c>
      <c r="G329">
        <v>35</v>
      </c>
      <c r="O329" t="s">
        <v>29</v>
      </c>
      <c r="Q329" t="s">
        <v>494</v>
      </c>
      <c r="X329" t="s">
        <v>1243</v>
      </c>
      <c r="Y329" t="s">
        <v>1244</v>
      </c>
      <c r="Z329">
        <v>334.27509149999997</v>
      </c>
    </row>
    <row r="330" spans="1:26" hidden="1">
      <c r="A330">
        <v>329</v>
      </c>
      <c r="B330" t="s">
        <v>1245</v>
      </c>
      <c r="C330" t="s">
        <v>28</v>
      </c>
      <c r="D330" s="1" t="b">
        <v>0</v>
      </c>
      <c r="G330">
        <v>33</v>
      </c>
      <c r="O330" t="s">
        <v>29</v>
      </c>
      <c r="Q330" t="s">
        <v>494</v>
      </c>
      <c r="X330" t="s">
        <v>1246</v>
      </c>
      <c r="Y330" t="s">
        <v>1247</v>
      </c>
      <c r="Z330">
        <v>696.54509770000004</v>
      </c>
    </row>
    <row r="331" spans="1:26" hidden="1">
      <c r="A331">
        <v>330</v>
      </c>
      <c r="B331" t="s">
        <v>1248</v>
      </c>
      <c r="C331" t="s">
        <v>54</v>
      </c>
      <c r="D331" s="1" t="b">
        <v>0</v>
      </c>
      <c r="G331">
        <v>39.6</v>
      </c>
      <c r="O331" t="s">
        <v>29</v>
      </c>
      <c r="Q331" t="s">
        <v>795</v>
      </c>
      <c r="X331" t="s">
        <v>1249</v>
      </c>
      <c r="Y331" t="s">
        <v>1250</v>
      </c>
      <c r="Z331">
        <v>410.30639170000001</v>
      </c>
    </row>
    <row r="332" spans="1:26" hidden="1">
      <c r="A332">
        <v>331</v>
      </c>
      <c r="B332" t="s">
        <v>1251</v>
      </c>
      <c r="C332" t="s">
        <v>28</v>
      </c>
      <c r="D332" s="1" t="b">
        <v>0</v>
      </c>
      <c r="E332">
        <v>1.4090000000000001E-3</v>
      </c>
      <c r="F332">
        <v>2.8510890070000001</v>
      </c>
      <c r="M332">
        <v>25</v>
      </c>
      <c r="N332" t="s">
        <v>484</v>
      </c>
      <c r="X332" t="s">
        <v>1252</v>
      </c>
      <c r="Y332" t="s">
        <v>1253</v>
      </c>
      <c r="Z332">
        <v>712.38655170000004</v>
      </c>
    </row>
    <row r="333" spans="1:26" hidden="1">
      <c r="A333">
        <v>332</v>
      </c>
      <c r="B333" t="s">
        <v>1254</v>
      </c>
      <c r="C333" t="s">
        <v>54</v>
      </c>
      <c r="D333" s="1" t="b">
        <v>0</v>
      </c>
      <c r="G333">
        <v>30</v>
      </c>
      <c r="O333" t="s">
        <v>29</v>
      </c>
      <c r="Q333" t="s">
        <v>494</v>
      </c>
      <c r="X333" t="s">
        <v>1255</v>
      </c>
      <c r="Y333" t="s">
        <v>1256</v>
      </c>
      <c r="Z333">
        <v>335.25910709999999</v>
      </c>
    </row>
    <row r="334" spans="1:26" hidden="1">
      <c r="A334">
        <v>333</v>
      </c>
      <c r="B334" t="s">
        <v>1257</v>
      </c>
      <c r="C334" t="s">
        <v>28</v>
      </c>
      <c r="D334" s="1" t="b">
        <v>0</v>
      </c>
      <c r="G334">
        <v>32</v>
      </c>
      <c r="O334" t="s">
        <v>29</v>
      </c>
      <c r="Q334" t="s">
        <v>494</v>
      </c>
      <c r="X334" t="s">
        <v>1258</v>
      </c>
      <c r="Y334" t="s">
        <v>1259</v>
      </c>
      <c r="Z334">
        <v>698.51312889999997</v>
      </c>
    </row>
    <row r="335" spans="1:26" hidden="1">
      <c r="A335">
        <v>334</v>
      </c>
      <c r="B335" t="s">
        <v>1260</v>
      </c>
      <c r="C335" t="s">
        <v>28</v>
      </c>
      <c r="D335" s="1" t="b">
        <v>0</v>
      </c>
      <c r="G335">
        <v>34</v>
      </c>
      <c r="O335" t="s">
        <v>29</v>
      </c>
      <c r="Q335" t="s">
        <v>1261</v>
      </c>
      <c r="X335" t="s">
        <v>1262</v>
      </c>
      <c r="Y335" t="s">
        <v>1263</v>
      </c>
      <c r="Z335">
        <v>696.5338643</v>
      </c>
    </row>
    <row r="336" spans="1:26" hidden="1">
      <c r="A336">
        <v>335</v>
      </c>
      <c r="B336" t="s">
        <v>1264</v>
      </c>
      <c r="C336" t="s">
        <v>28</v>
      </c>
      <c r="D336" s="1" t="b">
        <v>0</v>
      </c>
      <c r="E336">
        <v>1.8880000000000001E-4</v>
      </c>
      <c r="F336">
        <v>3.7239980099999999</v>
      </c>
      <c r="M336">
        <v>25</v>
      </c>
      <c r="N336" t="s">
        <v>484</v>
      </c>
      <c r="X336" t="s">
        <v>1265</v>
      </c>
      <c r="Y336" t="s">
        <v>1266</v>
      </c>
      <c r="Z336">
        <v>838.38588300000004</v>
      </c>
    </row>
    <row r="337" spans="1:26" hidden="1">
      <c r="A337">
        <v>336</v>
      </c>
      <c r="B337" t="s">
        <v>1267</v>
      </c>
      <c r="C337" t="s">
        <v>28</v>
      </c>
      <c r="D337" s="1" t="b">
        <v>0</v>
      </c>
      <c r="E337">
        <v>3.9080000000000001E-4</v>
      </c>
      <c r="F337">
        <v>3.408045445</v>
      </c>
      <c r="M337">
        <v>25</v>
      </c>
      <c r="N337" t="s">
        <v>484</v>
      </c>
      <c r="X337" t="s">
        <v>1268</v>
      </c>
      <c r="Y337" t="s">
        <v>1269</v>
      </c>
      <c r="Z337">
        <v>750.48691410000004</v>
      </c>
    </row>
    <row r="338" spans="1:26" hidden="1">
      <c r="A338">
        <v>337</v>
      </c>
      <c r="B338" t="s">
        <v>1270</v>
      </c>
      <c r="C338" t="s">
        <v>134</v>
      </c>
      <c r="D338" s="13" t="b">
        <v>0</v>
      </c>
      <c r="E338">
        <v>2.5499999999999998E-2</v>
      </c>
      <c r="F338">
        <v>1.5934598200000001</v>
      </c>
      <c r="M338">
        <v>25</v>
      </c>
      <c r="N338" t="s">
        <v>179</v>
      </c>
      <c r="P338" t="s">
        <v>498</v>
      </c>
      <c r="X338" t="s">
        <v>1271</v>
      </c>
      <c r="Y338" t="s">
        <v>1272</v>
      </c>
      <c r="Z338">
        <v>252.14916170000001</v>
      </c>
    </row>
    <row r="339" spans="1:26" hidden="1">
      <c r="A339">
        <v>338</v>
      </c>
      <c r="B339" t="s">
        <v>1273</v>
      </c>
      <c r="C339" t="s">
        <v>134</v>
      </c>
      <c r="D339" s="1" t="b">
        <v>0</v>
      </c>
      <c r="E339">
        <v>2.2499999999999998E-3</v>
      </c>
      <c r="F339">
        <v>2.6478174819999998</v>
      </c>
      <c r="M339">
        <v>25</v>
      </c>
      <c r="N339" t="s">
        <v>89</v>
      </c>
      <c r="P339" t="s">
        <v>103</v>
      </c>
      <c r="W339" t="s">
        <v>1274</v>
      </c>
      <c r="X339" t="s">
        <v>1275</v>
      </c>
      <c r="Y339" t="s">
        <v>1276</v>
      </c>
      <c r="Z339">
        <v>358.17898939999998</v>
      </c>
    </row>
    <row r="340" spans="1:26">
      <c r="A340">
        <v>339</v>
      </c>
      <c r="B340" t="s">
        <v>1277</v>
      </c>
      <c r="C340" t="s">
        <v>134</v>
      </c>
      <c r="D340" s="1" t="b">
        <v>1</v>
      </c>
      <c r="E340">
        <v>1.3500000000000001E-3</v>
      </c>
      <c r="F340">
        <v>2.8696662320000002</v>
      </c>
      <c r="G340" s="2"/>
      <c r="H340" s="2"/>
      <c r="I340" s="2"/>
      <c r="J340" s="2"/>
      <c r="K340" s="2"/>
      <c r="L340" s="2"/>
      <c r="M340">
        <v>25</v>
      </c>
      <c r="N340" t="s">
        <v>135</v>
      </c>
      <c r="X340" t="s">
        <v>1278</v>
      </c>
      <c r="Y340" t="s">
        <v>1279</v>
      </c>
      <c r="Z340">
        <v>386.21028949999999</v>
      </c>
    </row>
    <row r="341" spans="1:26">
      <c r="A341">
        <v>340</v>
      </c>
      <c r="B341" s="2" t="s">
        <v>1280</v>
      </c>
      <c r="C341" t="s">
        <v>311</v>
      </c>
      <c r="D341" s="1" t="b">
        <v>1</v>
      </c>
      <c r="E341">
        <v>1.2999999999999999E-3</v>
      </c>
      <c r="F341">
        <v>2.8860566479999998</v>
      </c>
      <c r="G341" s="2"/>
      <c r="H341" s="3">
        <v>3.0599999999999999E-6</v>
      </c>
      <c r="I341" s="2">
        <f>53.9/100</f>
        <v>0.53900000000000003</v>
      </c>
      <c r="J341" s="2"/>
      <c r="K341" s="2"/>
      <c r="L341" s="2"/>
      <c r="M341">
        <v>27</v>
      </c>
      <c r="N341" t="s">
        <v>135</v>
      </c>
      <c r="P341" s="2" t="s">
        <v>502</v>
      </c>
      <c r="R341" s="2" t="s">
        <v>502</v>
      </c>
      <c r="T341" s="2" t="s">
        <v>502</v>
      </c>
      <c r="W341" t="s">
        <v>1281</v>
      </c>
      <c r="X341" t="s">
        <v>1282</v>
      </c>
      <c r="Y341" t="s">
        <v>1283</v>
      </c>
      <c r="Z341">
        <v>285.26677940000002</v>
      </c>
    </row>
    <row r="342" spans="1:26">
      <c r="A342">
        <v>341</v>
      </c>
      <c r="B342" t="s">
        <v>1284</v>
      </c>
      <c r="C342" t="s">
        <v>311</v>
      </c>
      <c r="D342" s="1" t="b">
        <v>1</v>
      </c>
      <c r="E342">
        <v>5.9999999999999995E-4</v>
      </c>
      <c r="F342">
        <v>3.2218487499999999</v>
      </c>
      <c r="G342">
        <v>37</v>
      </c>
      <c r="H342">
        <v>3.5700000000000001E-6</v>
      </c>
      <c r="I342">
        <v>0.46513699400000003</v>
      </c>
      <c r="J342">
        <v>35</v>
      </c>
      <c r="K342" s="2">
        <v>3.9750000000000001</v>
      </c>
      <c r="L342" s="2">
        <f>10^(-K342)</f>
        <v>1.0592537251772877E-4</v>
      </c>
      <c r="M342">
        <v>25</v>
      </c>
      <c r="N342" t="s">
        <v>135</v>
      </c>
      <c r="P342" s="2" t="s">
        <v>836</v>
      </c>
      <c r="Q342" s="2"/>
      <c r="R342" s="2" t="s">
        <v>836</v>
      </c>
      <c r="S342" s="2" t="s">
        <v>836</v>
      </c>
      <c r="T342" s="2" t="s">
        <v>836</v>
      </c>
      <c r="U342" s="2" t="s">
        <v>836</v>
      </c>
      <c r="V342" s="2" t="s">
        <v>31</v>
      </c>
      <c r="X342" t="s">
        <v>1285</v>
      </c>
      <c r="Y342" t="s">
        <v>1286</v>
      </c>
      <c r="Z342">
        <v>305.23547919999999</v>
      </c>
    </row>
    <row r="343" spans="1:26" hidden="1">
      <c r="A343">
        <v>342</v>
      </c>
      <c r="B343" t="s">
        <v>1287</v>
      </c>
      <c r="C343" t="s">
        <v>134</v>
      </c>
      <c r="D343" s="13" t="b">
        <v>0</v>
      </c>
      <c r="E343">
        <v>3.3040000000000001E-3</v>
      </c>
      <c r="F343">
        <v>2.4809599609999999</v>
      </c>
      <c r="H343">
        <v>5.5499999999999998E-7</v>
      </c>
      <c r="I343">
        <v>2.99</v>
      </c>
      <c r="M343">
        <v>25</v>
      </c>
      <c r="N343" t="s">
        <v>179</v>
      </c>
      <c r="P343" t="s">
        <v>180</v>
      </c>
      <c r="T343" t="s">
        <v>289</v>
      </c>
      <c r="W343" t="s">
        <v>1288</v>
      </c>
      <c r="X343" t="s">
        <v>1289</v>
      </c>
      <c r="Y343" t="s">
        <v>1290</v>
      </c>
      <c r="Z343">
        <v>316.1684247</v>
      </c>
    </row>
    <row r="344" spans="1:26" hidden="1">
      <c r="A344">
        <v>343</v>
      </c>
      <c r="B344" t="s">
        <v>1291</v>
      </c>
      <c r="C344" t="s">
        <v>134</v>
      </c>
      <c r="D344" s="13" t="b">
        <v>0</v>
      </c>
      <c r="E344">
        <v>4.0739999999999998E-4</v>
      </c>
      <c r="F344">
        <v>3.389978975</v>
      </c>
      <c r="M344">
        <v>25</v>
      </c>
      <c r="N344" t="s">
        <v>179</v>
      </c>
      <c r="P344" t="s">
        <v>294</v>
      </c>
      <c r="W344" t="s">
        <v>1292</v>
      </c>
      <c r="X344" t="s">
        <v>1293</v>
      </c>
      <c r="Y344" t="s">
        <v>1294</v>
      </c>
      <c r="Z344">
        <v>376.2048102</v>
      </c>
    </row>
    <row r="345" spans="1:26" hidden="1">
      <c r="A345">
        <v>344</v>
      </c>
      <c r="B345" t="s">
        <v>1295</v>
      </c>
      <c r="C345" t="s">
        <v>134</v>
      </c>
      <c r="D345" s="13" t="b">
        <v>0</v>
      </c>
      <c r="E345">
        <v>1.5E-3</v>
      </c>
      <c r="F345">
        <v>2.8239087409999999</v>
      </c>
      <c r="M345">
        <v>25</v>
      </c>
      <c r="N345" t="s">
        <v>179</v>
      </c>
      <c r="P345" t="s">
        <v>180</v>
      </c>
      <c r="X345" t="s">
        <v>1296</v>
      </c>
      <c r="Y345" t="s">
        <v>1297</v>
      </c>
      <c r="Z345">
        <v>344.19972480000001</v>
      </c>
    </row>
    <row r="346" spans="1:26" hidden="1">
      <c r="A346">
        <v>345</v>
      </c>
      <c r="B346" t="s">
        <v>1298</v>
      </c>
      <c r="C346" t="s">
        <v>134</v>
      </c>
      <c r="D346" s="13" t="b">
        <v>0</v>
      </c>
      <c r="E346">
        <v>2.1979999999999999E-3</v>
      </c>
      <c r="F346">
        <v>2.6579723120000001</v>
      </c>
      <c r="M346">
        <v>25</v>
      </c>
      <c r="N346" t="s">
        <v>179</v>
      </c>
      <c r="P346" t="s">
        <v>180</v>
      </c>
      <c r="X346" t="s">
        <v>1299</v>
      </c>
      <c r="Y346" t="s">
        <v>1300</v>
      </c>
      <c r="Z346">
        <v>330.18407480000002</v>
      </c>
    </row>
    <row r="347" spans="1:26" hidden="1">
      <c r="A347">
        <v>346</v>
      </c>
      <c r="B347" t="s">
        <v>1301</v>
      </c>
      <c r="C347" t="s">
        <v>134</v>
      </c>
      <c r="D347" s="13" t="b">
        <v>0</v>
      </c>
      <c r="E347">
        <v>5.2479999999999996E-4</v>
      </c>
      <c r="F347">
        <v>3.2800061739999999</v>
      </c>
      <c r="M347">
        <v>25</v>
      </c>
      <c r="N347" t="s">
        <v>179</v>
      </c>
      <c r="P347" t="s">
        <v>294</v>
      </c>
      <c r="W347" t="s">
        <v>1302</v>
      </c>
      <c r="X347" t="s">
        <v>1303</v>
      </c>
      <c r="Y347" t="s">
        <v>1304</v>
      </c>
      <c r="Z347">
        <v>390.22046030000001</v>
      </c>
    </row>
    <row r="348" spans="1:26" hidden="1">
      <c r="A348">
        <v>347</v>
      </c>
      <c r="B348" t="s">
        <v>1305</v>
      </c>
      <c r="C348" t="s">
        <v>134</v>
      </c>
      <c r="D348" s="13" t="b">
        <v>0</v>
      </c>
      <c r="E348">
        <v>2.3500000000000001E-3</v>
      </c>
      <c r="F348">
        <v>2.6289321380000001</v>
      </c>
      <c r="M348">
        <v>25</v>
      </c>
      <c r="N348" t="s">
        <v>179</v>
      </c>
      <c r="P348" t="s">
        <v>180</v>
      </c>
      <c r="W348" t="s">
        <v>1306</v>
      </c>
      <c r="X348" t="s">
        <v>1307</v>
      </c>
      <c r="Y348" t="s">
        <v>1308</v>
      </c>
      <c r="Z348">
        <v>344.19972480000001</v>
      </c>
    </row>
    <row r="349" spans="1:26" hidden="1">
      <c r="A349">
        <v>348</v>
      </c>
      <c r="B349" t="s">
        <v>1309</v>
      </c>
      <c r="C349" t="s">
        <v>134</v>
      </c>
      <c r="D349" s="13" t="b">
        <v>0</v>
      </c>
      <c r="E349">
        <v>9.3970000000000002E-4</v>
      </c>
      <c r="F349">
        <v>3.0270107730000002</v>
      </c>
      <c r="M349">
        <v>25</v>
      </c>
      <c r="N349" t="s">
        <v>179</v>
      </c>
      <c r="P349" t="s">
        <v>180</v>
      </c>
      <c r="X349" t="s">
        <v>1310</v>
      </c>
      <c r="Y349" t="s">
        <v>1311</v>
      </c>
      <c r="Z349">
        <v>372.23102490000002</v>
      </c>
    </row>
    <row r="350" spans="1:26" hidden="1">
      <c r="A350">
        <v>349</v>
      </c>
      <c r="B350" t="s">
        <v>1312</v>
      </c>
      <c r="C350" t="s">
        <v>134</v>
      </c>
      <c r="D350" s="13" t="b">
        <v>0</v>
      </c>
      <c r="E350">
        <v>3.6979999999999999E-3</v>
      </c>
      <c r="F350">
        <v>2.4320330929999998</v>
      </c>
      <c r="M350">
        <v>25</v>
      </c>
      <c r="N350" t="s">
        <v>179</v>
      </c>
      <c r="W350" t="s">
        <v>1313</v>
      </c>
      <c r="X350" t="s">
        <v>1314</v>
      </c>
      <c r="Y350" t="s">
        <v>1315</v>
      </c>
      <c r="Z350">
        <v>316.1684247</v>
      </c>
    </row>
    <row r="351" spans="1:26" hidden="1">
      <c r="A351">
        <v>350</v>
      </c>
      <c r="B351" t="s">
        <v>1316</v>
      </c>
      <c r="C351" t="s">
        <v>28</v>
      </c>
      <c r="D351" s="1" t="b">
        <v>0</v>
      </c>
      <c r="E351">
        <v>7.0959999999999998E-5</v>
      </c>
      <c r="F351">
        <v>4.1489863930000004</v>
      </c>
      <c r="M351">
        <v>25</v>
      </c>
      <c r="N351" t="s">
        <v>484</v>
      </c>
      <c r="P351" t="s">
        <v>648</v>
      </c>
      <c r="X351" t="s">
        <v>1317</v>
      </c>
      <c r="Y351" t="s">
        <v>1318</v>
      </c>
      <c r="Z351">
        <v>834.38781459999996</v>
      </c>
    </row>
    <row r="352" spans="1:26" hidden="1">
      <c r="A352">
        <v>351</v>
      </c>
      <c r="B352" t="s">
        <v>1319</v>
      </c>
      <c r="C352" t="s">
        <v>28</v>
      </c>
      <c r="D352" s="1" t="b">
        <v>0</v>
      </c>
      <c r="E352">
        <v>8.4919999999999993E-5</v>
      </c>
      <c r="F352">
        <v>4.0709900149999996</v>
      </c>
      <c r="M352">
        <v>25</v>
      </c>
      <c r="N352" t="s">
        <v>484</v>
      </c>
      <c r="P352" t="s">
        <v>648</v>
      </c>
      <c r="X352" t="s">
        <v>1320</v>
      </c>
      <c r="Y352" t="s">
        <v>1321</v>
      </c>
      <c r="Z352">
        <v>820.37216460000002</v>
      </c>
    </row>
    <row r="353" spans="1:26" hidden="1">
      <c r="A353">
        <v>352</v>
      </c>
      <c r="B353" t="s">
        <v>1322</v>
      </c>
      <c r="C353" t="s">
        <v>28</v>
      </c>
      <c r="D353" s="1" t="b">
        <v>0</v>
      </c>
      <c r="E353">
        <v>1E-4</v>
      </c>
      <c r="F353">
        <v>4</v>
      </c>
      <c r="M353">
        <v>25</v>
      </c>
      <c r="N353" t="s">
        <v>484</v>
      </c>
      <c r="P353" t="s">
        <v>648</v>
      </c>
      <c r="X353" t="s">
        <v>1323</v>
      </c>
      <c r="Y353" t="s">
        <v>1324</v>
      </c>
      <c r="Z353">
        <v>800.33471640000005</v>
      </c>
    </row>
    <row r="354" spans="1:26" hidden="1">
      <c r="A354">
        <v>353</v>
      </c>
      <c r="B354" t="s">
        <v>1325</v>
      </c>
      <c r="C354" t="s">
        <v>28</v>
      </c>
      <c r="D354" s="1" t="b">
        <v>0</v>
      </c>
      <c r="E354">
        <v>1E-4</v>
      </c>
      <c r="F354">
        <v>4</v>
      </c>
      <c r="M354">
        <v>25</v>
      </c>
      <c r="N354" t="s">
        <v>484</v>
      </c>
      <c r="P354" t="s">
        <v>648</v>
      </c>
      <c r="X354" t="s">
        <v>1326</v>
      </c>
      <c r="Y354" t="s">
        <v>1327</v>
      </c>
      <c r="Z354">
        <v>806.3565145</v>
      </c>
    </row>
    <row r="355" spans="1:26" hidden="1">
      <c r="A355">
        <v>354</v>
      </c>
      <c r="B355" t="s">
        <v>1328</v>
      </c>
      <c r="C355" t="s">
        <v>28</v>
      </c>
      <c r="D355" s="1" t="b">
        <v>0</v>
      </c>
      <c r="E355">
        <v>7.2800000000000002E-4</v>
      </c>
      <c r="F355">
        <v>3.137868621</v>
      </c>
      <c r="G355">
        <v>35.299999999999997</v>
      </c>
      <c r="H355">
        <v>1.88E-6</v>
      </c>
      <c r="I355">
        <v>0.09</v>
      </c>
      <c r="J355">
        <v>36.700000000000003</v>
      </c>
      <c r="K355">
        <v>3.77</v>
      </c>
      <c r="L355">
        <v>1.7000000000000001E-4</v>
      </c>
      <c r="M355">
        <v>25</v>
      </c>
      <c r="N355" t="s">
        <v>1329</v>
      </c>
      <c r="O355" t="s">
        <v>29</v>
      </c>
      <c r="Q355" t="s">
        <v>1330</v>
      </c>
      <c r="R355" t="s">
        <v>1329</v>
      </c>
      <c r="S355" t="s">
        <v>1329</v>
      </c>
      <c r="T355" t="s">
        <v>1329</v>
      </c>
      <c r="U355" t="s">
        <v>1329</v>
      </c>
      <c r="W355" t="s">
        <v>1331</v>
      </c>
      <c r="X355" t="s">
        <v>1332</v>
      </c>
      <c r="Y355" t="s">
        <v>1333</v>
      </c>
      <c r="Z355">
        <v>668.42187460000002</v>
      </c>
    </row>
    <row r="356" spans="1:26" hidden="1">
      <c r="A356">
        <v>355</v>
      </c>
      <c r="B356" t="s">
        <v>1334</v>
      </c>
      <c r="C356" t="s">
        <v>83</v>
      </c>
      <c r="D356" s="1" t="b">
        <v>0</v>
      </c>
      <c r="E356">
        <v>3.3569999999999997E-4</v>
      </c>
      <c r="F356">
        <v>3.4740486590000001</v>
      </c>
      <c r="M356">
        <v>25</v>
      </c>
      <c r="N356" t="s">
        <v>207</v>
      </c>
      <c r="X356" t="s">
        <v>1335</v>
      </c>
      <c r="Y356" t="s">
        <v>1336</v>
      </c>
      <c r="Z356">
        <v>419.32468820000003</v>
      </c>
    </row>
    <row r="357" spans="1:26" hidden="1">
      <c r="A357">
        <v>356</v>
      </c>
      <c r="B357" t="s">
        <v>1337</v>
      </c>
      <c r="C357" t="s">
        <v>83</v>
      </c>
      <c r="D357" s="1" t="b">
        <v>0</v>
      </c>
      <c r="G357">
        <v>26.3</v>
      </c>
      <c r="O357" t="s">
        <v>29</v>
      </c>
      <c r="Q357" t="s">
        <v>578</v>
      </c>
      <c r="X357" t="s">
        <v>1338</v>
      </c>
      <c r="Y357" t="s">
        <v>1339</v>
      </c>
      <c r="Z357">
        <v>244.24023030000001</v>
      </c>
    </row>
    <row r="358" spans="1:26" hidden="1">
      <c r="A358">
        <v>357</v>
      </c>
      <c r="B358" t="s">
        <v>1340</v>
      </c>
      <c r="C358" t="s">
        <v>54</v>
      </c>
      <c r="D358" s="1" t="b">
        <v>0</v>
      </c>
      <c r="E358">
        <v>6.9999999999999999E-4</v>
      </c>
      <c r="F358">
        <v>3.1549019600000001</v>
      </c>
      <c r="G358">
        <v>31.4</v>
      </c>
      <c r="H358">
        <v>2.6800000000000002E-6</v>
      </c>
      <c r="I358">
        <v>0.61</v>
      </c>
      <c r="J358">
        <v>41</v>
      </c>
      <c r="K358">
        <v>3.78</v>
      </c>
      <c r="L358">
        <v>1.65E-4</v>
      </c>
      <c r="M358">
        <v>25</v>
      </c>
      <c r="N358" t="s">
        <v>917</v>
      </c>
      <c r="O358" t="s">
        <v>29</v>
      </c>
      <c r="Q358" t="s">
        <v>917</v>
      </c>
      <c r="R358" t="s">
        <v>917</v>
      </c>
      <c r="S358" t="s">
        <v>917</v>
      </c>
      <c r="T358" t="s">
        <v>917</v>
      </c>
      <c r="V358" t="s">
        <v>917</v>
      </c>
      <c r="W358" t="s">
        <v>1341</v>
      </c>
      <c r="X358" t="s">
        <v>1342</v>
      </c>
      <c r="Y358" t="s">
        <v>1343</v>
      </c>
      <c r="Z358">
        <v>404.20384050000001</v>
      </c>
    </row>
    <row r="359" spans="1:26" hidden="1">
      <c r="A359">
        <v>358</v>
      </c>
      <c r="B359" t="s">
        <v>1344</v>
      </c>
      <c r="C359" t="s">
        <v>54</v>
      </c>
      <c r="D359" s="1" t="b">
        <v>0</v>
      </c>
      <c r="E359">
        <v>2.2899999999999999E-3</v>
      </c>
      <c r="F359">
        <v>2.6401645180000002</v>
      </c>
      <c r="G359">
        <v>36</v>
      </c>
      <c r="H359">
        <v>3.8800000000000001E-6</v>
      </c>
      <c r="I359">
        <v>0.42</v>
      </c>
      <c r="J359">
        <v>36.369999999999997</v>
      </c>
      <c r="K359">
        <v>3.01</v>
      </c>
      <c r="L359">
        <v>9.77E-4</v>
      </c>
      <c r="M359">
        <v>25</v>
      </c>
      <c r="N359" t="s">
        <v>917</v>
      </c>
      <c r="O359" t="s">
        <v>29</v>
      </c>
      <c r="Q359" t="s">
        <v>917</v>
      </c>
      <c r="R359" t="s">
        <v>917</v>
      </c>
      <c r="S359" t="s">
        <v>917</v>
      </c>
      <c r="T359" t="s">
        <v>917</v>
      </c>
      <c r="V359" t="s">
        <v>917</v>
      </c>
      <c r="W359" t="s">
        <v>1345</v>
      </c>
      <c r="X359" t="s">
        <v>1346</v>
      </c>
      <c r="Y359" t="s">
        <v>1347</v>
      </c>
      <c r="Z359">
        <v>360.2543561</v>
      </c>
    </row>
    <row r="360" spans="1:26">
      <c r="A360">
        <v>359</v>
      </c>
      <c r="B360" s="2" t="s">
        <v>1348</v>
      </c>
      <c r="C360" t="s">
        <v>83</v>
      </c>
      <c r="D360" s="1" t="b">
        <v>1</v>
      </c>
      <c r="E360">
        <v>4.8999999999999998E-5</v>
      </c>
      <c r="F360">
        <v>4.3098039200000002</v>
      </c>
      <c r="G360" s="2"/>
      <c r="H360" s="2"/>
      <c r="I360" s="2"/>
      <c r="J360" s="2"/>
      <c r="K360" s="2"/>
      <c r="L360" s="2"/>
      <c r="M360">
        <v>25</v>
      </c>
      <c r="N360" t="s">
        <v>135</v>
      </c>
      <c r="X360" t="s">
        <v>1349</v>
      </c>
      <c r="Y360" t="s">
        <v>1350</v>
      </c>
      <c r="Z360">
        <v>420.34508929999998</v>
      </c>
    </row>
    <row r="361" spans="1:26">
      <c r="A361">
        <v>360</v>
      </c>
      <c r="B361" s="2" t="s">
        <v>1351</v>
      </c>
      <c r="C361" t="s">
        <v>83</v>
      </c>
      <c r="D361" s="1" t="b">
        <v>1</v>
      </c>
      <c r="E361">
        <v>2.6999999999999999E-5</v>
      </c>
      <c r="F361">
        <v>4.5686362359999997</v>
      </c>
      <c r="G361">
        <v>35.299999999999997</v>
      </c>
      <c r="H361">
        <v>2.7800000000000001E-6</v>
      </c>
      <c r="I361">
        <v>0.6</v>
      </c>
      <c r="J361">
        <v>36.700000000000003</v>
      </c>
      <c r="K361">
        <v>5.62</v>
      </c>
      <c r="L361">
        <v>2.39E-6</v>
      </c>
      <c r="M361">
        <v>25</v>
      </c>
      <c r="N361" t="s">
        <v>135</v>
      </c>
      <c r="O361" t="s">
        <v>137</v>
      </c>
      <c r="R361" t="s">
        <v>137</v>
      </c>
      <c r="S361" t="s">
        <v>137</v>
      </c>
      <c r="X361" t="s">
        <v>1352</v>
      </c>
      <c r="Y361" t="s">
        <v>1353</v>
      </c>
      <c r="Z361">
        <v>552.42373350000003</v>
      </c>
    </row>
    <row r="362" spans="1:26" hidden="1">
      <c r="A362">
        <v>361</v>
      </c>
      <c r="B362" t="s">
        <v>1354</v>
      </c>
      <c r="C362" t="s">
        <v>134</v>
      </c>
      <c r="D362" s="13" t="b">
        <v>0</v>
      </c>
      <c r="E362">
        <v>2.9989999999999999E-3</v>
      </c>
      <c r="F362">
        <v>2.523023534</v>
      </c>
      <c r="M362">
        <v>25</v>
      </c>
      <c r="N362" t="s">
        <v>179</v>
      </c>
      <c r="P362" t="s">
        <v>180</v>
      </c>
      <c r="X362" t="s">
        <v>1355</v>
      </c>
      <c r="Y362" t="s">
        <v>1356</v>
      </c>
      <c r="Z362">
        <v>422.21028949999999</v>
      </c>
    </row>
    <row r="363" spans="1:26">
      <c r="A363">
        <v>362</v>
      </c>
      <c r="B363" s="2" t="s">
        <v>1357</v>
      </c>
      <c r="C363" t="s">
        <v>83</v>
      </c>
      <c r="D363" s="1" t="b">
        <v>1</v>
      </c>
      <c r="E363">
        <v>1.9010000000000001E-4</v>
      </c>
      <c r="F363">
        <v>3.721017883</v>
      </c>
      <c r="M363">
        <v>25</v>
      </c>
      <c r="N363" t="s">
        <v>207</v>
      </c>
      <c r="X363" t="s">
        <v>1358</v>
      </c>
      <c r="Y363" t="s">
        <v>1359</v>
      </c>
      <c r="Z363">
        <v>348.25118889999999</v>
      </c>
    </row>
    <row r="364" spans="1:26" hidden="1">
      <c r="A364">
        <v>363</v>
      </c>
      <c r="B364" t="s">
        <v>1360</v>
      </c>
      <c r="C364" t="s">
        <v>83</v>
      </c>
      <c r="D364" s="1" t="b">
        <v>0</v>
      </c>
      <c r="E364">
        <v>2.399E-4</v>
      </c>
      <c r="F364">
        <v>3.6199697519999998</v>
      </c>
      <c r="M364">
        <v>25</v>
      </c>
      <c r="N364" t="s">
        <v>207</v>
      </c>
      <c r="X364" t="s">
        <v>1361</v>
      </c>
      <c r="Y364" t="s">
        <v>1362</v>
      </c>
      <c r="Z364">
        <v>510.30401230000001</v>
      </c>
    </row>
    <row r="365" spans="1:26" hidden="1">
      <c r="A365">
        <v>364</v>
      </c>
      <c r="B365" t="s">
        <v>1363</v>
      </c>
      <c r="C365" t="s">
        <v>83</v>
      </c>
      <c r="D365" s="1" t="b">
        <v>0</v>
      </c>
      <c r="E365">
        <v>3.3960000000000001E-4</v>
      </c>
      <c r="F365">
        <v>3.469032318</v>
      </c>
      <c r="M365">
        <v>25</v>
      </c>
      <c r="N365" t="s">
        <v>207</v>
      </c>
      <c r="X365" t="s">
        <v>1364</v>
      </c>
      <c r="Y365" t="s">
        <v>1365</v>
      </c>
      <c r="Z365">
        <v>510.30401230000001</v>
      </c>
    </row>
    <row r="366" spans="1:26" hidden="1">
      <c r="A366">
        <v>365</v>
      </c>
      <c r="B366" t="s">
        <v>1366</v>
      </c>
      <c r="C366" t="s">
        <v>134</v>
      </c>
      <c r="D366" s="13" t="b">
        <v>0</v>
      </c>
      <c r="E366">
        <v>3.9990000000000002E-4</v>
      </c>
      <c r="F366">
        <v>3.3980485960000002</v>
      </c>
      <c r="M366">
        <v>25</v>
      </c>
      <c r="N366" t="s">
        <v>179</v>
      </c>
      <c r="X366" t="s">
        <v>1367</v>
      </c>
      <c r="Y366" t="s">
        <v>1368</v>
      </c>
      <c r="Z366">
        <v>344.16333930000002</v>
      </c>
    </row>
    <row r="367" spans="1:26" hidden="1">
      <c r="A367">
        <v>366</v>
      </c>
      <c r="B367" t="s">
        <v>1369</v>
      </c>
      <c r="C367" t="s">
        <v>134</v>
      </c>
      <c r="D367" s="13" t="b">
        <v>0</v>
      </c>
      <c r="E367">
        <v>2.6979999999999999E-3</v>
      </c>
      <c r="F367">
        <v>2.568958055</v>
      </c>
      <c r="M367">
        <v>25</v>
      </c>
      <c r="N367" t="s">
        <v>179</v>
      </c>
      <c r="W367" t="s">
        <v>1370</v>
      </c>
      <c r="X367" t="s">
        <v>1371</v>
      </c>
      <c r="Y367" t="s">
        <v>1372</v>
      </c>
      <c r="Z367">
        <v>298.15786000000003</v>
      </c>
    </row>
    <row r="368" spans="1:26" hidden="1">
      <c r="A368">
        <v>367</v>
      </c>
      <c r="B368" t="s">
        <v>1373</v>
      </c>
      <c r="C368" t="s">
        <v>134</v>
      </c>
      <c r="D368" s="13" t="b">
        <v>0</v>
      </c>
      <c r="E368">
        <v>1.841E-3</v>
      </c>
      <c r="F368">
        <v>2.734946211</v>
      </c>
      <c r="M368">
        <v>40</v>
      </c>
      <c r="N368" t="s">
        <v>179</v>
      </c>
      <c r="P368" t="s">
        <v>180</v>
      </c>
      <c r="W368" t="s">
        <v>1374</v>
      </c>
      <c r="X368" t="s">
        <v>1375</v>
      </c>
      <c r="Y368" t="s">
        <v>1376</v>
      </c>
      <c r="Z368">
        <v>342.18407480000002</v>
      </c>
    </row>
    <row r="369" spans="1:26">
      <c r="A369">
        <v>368</v>
      </c>
      <c r="B369" s="2" t="s">
        <v>1377</v>
      </c>
      <c r="C369" t="s">
        <v>54</v>
      </c>
      <c r="D369" s="1" t="b">
        <v>1</v>
      </c>
      <c r="E369">
        <v>2E-3</v>
      </c>
      <c r="F369">
        <v>2.698970004</v>
      </c>
      <c r="G369">
        <v>32</v>
      </c>
      <c r="H369">
        <v>2.6800000000000002E-6</v>
      </c>
      <c r="I369">
        <v>0.62</v>
      </c>
      <c r="J369">
        <v>40</v>
      </c>
      <c r="K369">
        <v>3.3525552950000002</v>
      </c>
      <c r="L369">
        <v>3.4994817999999997E-2</v>
      </c>
      <c r="M369">
        <v>25</v>
      </c>
      <c r="N369" t="s">
        <v>627</v>
      </c>
      <c r="O369" t="s">
        <v>29</v>
      </c>
      <c r="Q369" t="s">
        <v>627</v>
      </c>
      <c r="S369" t="s">
        <v>627</v>
      </c>
      <c r="T369" t="s">
        <v>627</v>
      </c>
      <c r="U369" t="s">
        <v>31</v>
      </c>
      <c r="V369" t="s">
        <v>31</v>
      </c>
      <c r="W369" t="s">
        <v>1378</v>
      </c>
      <c r="X369" t="s">
        <v>1379</v>
      </c>
      <c r="Y369" t="s">
        <v>1380</v>
      </c>
      <c r="Z369">
        <v>433.29454390000001</v>
      </c>
    </row>
    <row r="370" spans="1:26">
      <c r="A370">
        <v>369</v>
      </c>
      <c r="B370" s="2" t="s">
        <v>1381</v>
      </c>
      <c r="C370" t="s">
        <v>161</v>
      </c>
      <c r="D370" s="1" t="b">
        <v>1</v>
      </c>
      <c r="E370">
        <v>6.7600000000000003E-5</v>
      </c>
      <c r="F370">
        <v>4.1700533039999996</v>
      </c>
      <c r="G370">
        <v>37</v>
      </c>
      <c r="H370">
        <v>3.2600000000000001E-6</v>
      </c>
      <c r="I370">
        <v>0.50800000000000001</v>
      </c>
      <c r="J370">
        <v>34.97</v>
      </c>
      <c r="K370">
        <v>4.87</v>
      </c>
      <c r="L370">
        <v>7.6733649999999997E-3</v>
      </c>
      <c r="M370">
        <v>25</v>
      </c>
      <c r="N370" t="s">
        <v>162</v>
      </c>
      <c r="O370" t="s">
        <v>163</v>
      </c>
      <c r="P370" t="s">
        <v>164</v>
      </c>
      <c r="R370" t="s">
        <v>632</v>
      </c>
      <c r="S370" t="s">
        <v>31</v>
      </c>
      <c r="U370" t="s">
        <v>632</v>
      </c>
      <c r="V370" t="s">
        <v>31</v>
      </c>
      <c r="W370" t="s">
        <v>1382</v>
      </c>
      <c r="X370" t="s">
        <v>1383</v>
      </c>
      <c r="Y370" t="s">
        <v>1384</v>
      </c>
      <c r="Z370">
        <v>569.3411261</v>
      </c>
    </row>
    <row r="371" spans="1:26" hidden="1">
      <c r="A371">
        <v>370</v>
      </c>
      <c r="B371" t="s">
        <v>1385</v>
      </c>
      <c r="C371" t="s">
        <v>54</v>
      </c>
      <c r="D371" s="1" t="b">
        <v>0</v>
      </c>
      <c r="E371">
        <v>4.2299999999999998E-4</v>
      </c>
      <c r="F371">
        <v>3.3736596329999999</v>
      </c>
      <c r="G371">
        <v>33.799999999999997</v>
      </c>
      <c r="H371">
        <v>8.7000000000000003E-7</v>
      </c>
      <c r="I371">
        <v>1.9</v>
      </c>
      <c r="J371">
        <v>37.979999999999997</v>
      </c>
      <c r="K371">
        <v>5.21</v>
      </c>
      <c r="L371">
        <v>6.1199999999999999E-6</v>
      </c>
      <c r="M371">
        <v>25</v>
      </c>
      <c r="N371" t="s">
        <v>1386</v>
      </c>
      <c r="O371" t="s">
        <v>29</v>
      </c>
      <c r="Q371" t="s">
        <v>1386</v>
      </c>
      <c r="R371" t="s">
        <v>1386</v>
      </c>
      <c r="S371" t="s">
        <v>1386</v>
      </c>
      <c r="T371" t="s">
        <v>1386</v>
      </c>
      <c r="U371" t="s">
        <v>1386</v>
      </c>
      <c r="W371" t="s">
        <v>1387</v>
      </c>
      <c r="X371" t="s">
        <v>1388</v>
      </c>
      <c r="Y371" t="s">
        <v>1389</v>
      </c>
      <c r="Z371">
        <v>532.39672670000004</v>
      </c>
    </row>
    <row r="372" spans="1:26" hidden="1">
      <c r="A372">
        <v>371</v>
      </c>
      <c r="B372" t="s">
        <v>1390</v>
      </c>
      <c r="C372" t="s">
        <v>54</v>
      </c>
      <c r="D372" s="1" t="b">
        <v>0</v>
      </c>
      <c r="E372">
        <v>2.1499999999999999E-4</v>
      </c>
      <c r="F372">
        <v>3.6675615399999999</v>
      </c>
      <c r="G372">
        <v>31.6</v>
      </c>
      <c r="H372">
        <v>8.5000000000000001E-7</v>
      </c>
      <c r="I372">
        <v>1.95</v>
      </c>
      <c r="J372">
        <v>40.19</v>
      </c>
      <c r="K372">
        <v>5.8</v>
      </c>
      <c r="L372">
        <v>1.5799999999999999E-6</v>
      </c>
      <c r="M372">
        <v>25</v>
      </c>
      <c r="N372" t="s">
        <v>1386</v>
      </c>
      <c r="O372" t="s">
        <v>29</v>
      </c>
      <c r="Q372" t="s">
        <v>1386</v>
      </c>
      <c r="R372" t="s">
        <v>1386</v>
      </c>
      <c r="S372" t="s">
        <v>1386</v>
      </c>
      <c r="T372" t="s">
        <v>1386</v>
      </c>
      <c r="U372" t="s">
        <v>1386</v>
      </c>
      <c r="W372" t="s">
        <v>1391</v>
      </c>
      <c r="X372" t="s">
        <v>1392</v>
      </c>
      <c r="Y372" t="s">
        <v>1393</v>
      </c>
      <c r="Z372">
        <v>560.4280268</v>
      </c>
    </row>
    <row r="373" spans="1:26" hidden="1">
      <c r="A373">
        <v>372</v>
      </c>
      <c r="B373" t="s">
        <v>1394</v>
      </c>
      <c r="C373" t="s">
        <v>28</v>
      </c>
      <c r="D373" s="1" t="b">
        <v>0</v>
      </c>
      <c r="E373">
        <v>1.2999999999999999E-4</v>
      </c>
      <c r="F373">
        <v>3.8860566479999998</v>
      </c>
      <c r="G373">
        <v>46.2</v>
      </c>
      <c r="H373">
        <v>8.8000000000000004E-7</v>
      </c>
      <c r="I373">
        <v>1.88</v>
      </c>
      <c r="J373">
        <v>25.8</v>
      </c>
      <c r="K373">
        <v>3.25</v>
      </c>
      <c r="L373">
        <v>5.62E-4</v>
      </c>
      <c r="M373">
        <v>25</v>
      </c>
      <c r="N373" t="s">
        <v>1001</v>
      </c>
      <c r="O373" t="s">
        <v>29</v>
      </c>
      <c r="Q373" t="s">
        <v>1001</v>
      </c>
      <c r="R373" t="s">
        <v>1001</v>
      </c>
      <c r="T373" t="s">
        <v>1001</v>
      </c>
      <c r="U373" t="s">
        <v>1001</v>
      </c>
      <c r="W373" t="s">
        <v>1395</v>
      </c>
      <c r="X373" t="s">
        <v>1396</v>
      </c>
      <c r="Y373" t="s">
        <v>1397</v>
      </c>
      <c r="Z373">
        <v>798.62843339999995</v>
      </c>
    </row>
    <row r="374" spans="1:26" hidden="1">
      <c r="A374">
        <v>373</v>
      </c>
      <c r="B374" t="s">
        <v>1398</v>
      </c>
      <c r="C374" t="s">
        <v>54</v>
      </c>
      <c r="D374" s="1" t="b">
        <v>0</v>
      </c>
      <c r="E374">
        <v>1.08E-4</v>
      </c>
      <c r="F374">
        <v>3.9665762450000002</v>
      </c>
      <c r="G374">
        <v>32.299999999999997</v>
      </c>
      <c r="H374">
        <v>7.5599999999999996E-6</v>
      </c>
      <c r="I374">
        <v>2.2000000000000002</v>
      </c>
      <c r="J374">
        <v>40.19</v>
      </c>
      <c r="K374">
        <v>6.17</v>
      </c>
      <c r="L374">
        <v>6.7599999999999995E-4</v>
      </c>
      <c r="M374">
        <v>25</v>
      </c>
      <c r="N374" t="s">
        <v>1006</v>
      </c>
      <c r="O374" t="s">
        <v>29</v>
      </c>
      <c r="Q374" t="s">
        <v>1006</v>
      </c>
      <c r="R374" t="s">
        <v>1006</v>
      </c>
      <c r="S374" t="s">
        <v>1006</v>
      </c>
      <c r="T374" t="s">
        <v>1006</v>
      </c>
      <c r="U374" t="s">
        <v>1006</v>
      </c>
      <c r="W374" t="s">
        <v>1399</v>
      </c>
      <c r="X374" t="s">
        <v>1400</v>
      </c>
      <c r="Y374" t="s">
        <v>1401</v>
      </c>
      <c r="Z374">
        <v>438.33769180000002</v>
      </c>
    </row>
    <row r="375" spans="1:26" hidden="1">
      <c r="A375">
        <v>374</v>
      </c>
      <c r="B375" t="s">
        <v>1402</v>
      </c>
      <c r="C375" t="s">
        <v>28</v>
      </c>
      <c r="D375" s="1" t="b">
        <v>0</v>
      </c>
      <c r="E375">
        <v>1.41E-3</v>
      </c>
      <c r="F375">
        <v>2.850780887</v>
      </c>
      <c r="G375">
        <v>37.5</v>
      </c>
      <c r="H375">
        <v>2.1600000000000001E-6</v>
      </c>
      <c r="I375">
        <v>0.77</v>
      </c>
      <c r="J375">
        <v>34.5</v>
      </c>
      <c r="K375">
        <v>3.25</v>
      </c>
      <c r="L375">
        <v>5.62E-4</v>
      </c>
      <c r="M375">
        <v>25</v>
      </c>
      <c r="N375" t="s">
        <v>637</v>
      </c>
      <c r="O375" t="s">
        <v>29</v>
      </c>
      <c r="Q375" t="s">
        <v>637</v>
      </c>
      <c r="R375" t="s">
        <v>637</v>
      </c>
      <c r="T375" t="s">
        <v>637</v>
      </c>
      <c r="W375" t="s">
        <v>1403</v>
      </c>
      <c r="X375" t="s">
        <v>1404</v>
      </c>
      <c r="Y375" t="s">
        <v>1405</v>
      </c>
      <c r="Z375">
        <v>740.41785179999999</v>
      </c>
    </row>
    <row r="376" spans="1:26" hidden="1">
      <c r="A376">
        <v>375</v>
      </c>
      <c r="B376" t="s">
        <v>1406</v>
      </c>
      <c r="C376" t="s">
        <v>83</v>
      </c>
      <c r="D376" s="1" t="b">
        <v>0</v>
      </c>
      <c r="G376">
        <v>26.5</v>
      </c>
      <c r="O376" t="s">
        <v>29</v>
      </c>
      <c r="Q376" t="s">
        <v>312</v>
      </c>
      <c r="X376" t="s">
        <v>1407</v>
      </c>
      <c r="Y376" t="s">
        <v>1408</v>
      </c>
      <c r="Z376">
        <v>384.33519330000001</v>
      </c>
    </row>
    <row r="377" spans="1:26" hidden="1">
      <c r="A377">
        <v>376</v>
      </c>
      <c r="B377" t="s">
        <v>1409</v>
      </c>
      <c r="C377" t="s">
        <v>311</v>
      </c>
      <c r="D377" s="1" t="b">
        <v>0</v>
      </c>
      <c r="G377">
        <v>26.4</v>
      </c>
      <c r="O377" t="s">
        <v>29</v>
      </c>
      <c r="Q377" t="s">
        <v>312</v>
      </c>
      <c r="X377" t="s">
        <v>1410</v>
      </c>
      <c r="Y377" t="s">
        <v>1411</v>
      </c>
      <c r="Z377">
        <v>510.33387290000002</v>
      </c>
    </row>
    <row r="378" spans="1:26" hidden="1">
      <c r="A378">
        <v>377</v>
      </c>
      <c r="B378" t="s">
        <v>1412</v>
      </c>
      <c r="C378" t="s">
        <v>28</v>
      </c>
      <c r="D378" s="1" t="b">
        <v>0</v>
      </c>
      <c r="E378">
        <v>1.199E-4</v>
      </c>
      <c r="F378">
        <v>3.9211808170000002</v>
      </c>
      <c r="M378">
        <v>25</v>
      </c>
      <c r="N378" t="s">
        <v>484</v>
      </c>
      <c r="X378" t="s">
        <v>1413</v>
      </c>
      <c r="Y378" t="s">
        <v>1414</v>
      </c>
      <c r="Z378">
        <v>844.40768100000003</v>
      </c>
    </row>
    <row r="379" spans="1:26">
      <c r="A379">
        <v>378</v>
      </c>
      <c r="B379" s="2" t="s">
        <v>1415</v>
      </c>
      <c r="C379" t="s">
        <v>54</v>
      </c>
      <c r="D379" s="1" t="b">
        <v>1</v>
      </c>
      <c r="G379">
        <v>31</v>
      </c>
      <c r="O379" t="s">
        <v>29</v>
      </c>
      <c r="Q379" t="s">
        <v>1036</v>
      </c>
      <c r="X379" t="s">
        <v>1416</v>
      </c>
      <c r="Y379" t="s">
        <v>1417</v>
      </c>
      <c r="Z379">
        <v>551.34630470000002</v>
      </c>
    </row>
    <row r="380" spans="1:26">
      <c r="A380">
        <v>379</v>
      </c>
      <c r="B380" s="2" t="s">
        <v>1418</v>
      </c>
      <c r="C380" t="s">
        <v>54</v>
      </c>
      <c r="D380" s="1" t="b">
        <v>1</v>
      </c>
      <c r="G380">
        <v>25</v>
      </c>
      <c r="O380" t="s">
        <v>29</v>
      </c>
      <c r="Q380" t="s">
        <v>1036</v>
      </c>
      <c r="X380" t="s">
        <v>1419</v>
      </c>
      <c r="Y380" t="s">
        <v>1420</v>
      </c>
      <c r="Z380">
        <v>761.54467009999996</v>
      </c>
    </row>
    <row r="381" spans="1:26" hidden="1">
      <c r="A381">
        <v>380</v>
      </c>
      <c r="B381" t="s">
        <v>1421</v>
      </c>
      <c r="C381" t="s">
        <v>54</v>
      </c>
      <c r="D381" s="1" t="b">
        <v>0</v>
      </c>
      <c r="G381">
        <v>27.3</v>
      </c>
      <c r="O381" t="s">
        <v>29</v>
      </c>
      <c r="Q381" t="s">
        <v>659</v>
      </c>
      <c r="X381" t="s">
        <v>1422</v>
      </c>
      <c r="Y381" t="s">
        <v>1423</v>
      </c>
      <c r="Z381">
        <v>617.27885100000003</v>
      </c>
    </row>
    <row r="382" spans="1:26" hidden="1">
      <c r="A382">
        <v>381</v>
      </c>
      <c r="B382" t="s">
        <v>1424</v>
      </c>
      <c r="C382" t="s">
        <v>28</v>
      </c>
      <c r="D382" s="1" t="b">
        <v>0</v>
      </c>
      <c r="G382">
        <v>40</v>
      </c>
      <c r="O382" t="s">
        <v>29</v>
      </c>
      <c r="Q382" t="s">
        <v>1075</v>
      </c>
      <c r="X382" t="s">
        <v>1425</v>
      </c>
      <c r="Y382" t="s">
        <v>1426</v>
      </c>
      <c r="Z382">
        <v>698.51312889999997</v>
      </c>
    </row>
    <row r="383" spans="1:26" hidden="1">
      <c r="A383">
        <v>382</v>
      </c>
      <c r="B383" t="s">
        <v>1427</v>
      </c>
      <c r="C383" t="s">
        <v>28</v>
      </c>
      <c r="D383" s="1" t="b">
        <v>0</v>
      </c>
      <c r="E383">
        <v>3.8000000000000002E-4</v>
      </c>
      <c r="F383">
        <v>3.420216403</v>
      </c>
      <c r="G383">
        <v>43</v>
      </c>
      <c r="H383">
        <v>6.4000000000000001E-7</v>
      </c>
      <c r="I383">
        <v>2.59</v>
      </c>
      <c r="J383">
        <v>29</v>
      </c>
      <c r="K383">
        <v>5.2</v>
      </c>
      <c r="L383">
        <v>5.5165639999999998E-3</v>
      </c>
      <c r="M383">
        <v>25</v>
      </c>
      <c r="N383" t="s">
        <v>1428</v>
      </c>
      <c r="R383" t="s">
        <v>1428</v>
      </c>
      <c r="S383" t="s">
        <v>1428</v>
      </c>
      <c r="T383" t="s">
        <v>1428</v>
      </c>
      <c r="U383" t="s">
        <v>1428</v>
      </c>
      <c r="V383" t="s">
        <v>31</v>
      </c>
      <c r="W383" t="s">
        <v>1429</v>
      </c>
      <c r="X383" t="s">
        <v>1430</v>
      </c>
      <c r="Y383" t="s">
        <v>1431</v>
      </c>
      <c r="Z383">
        <v>984.61046320000003</v>
      </c>
    </row>
    <row r="384" spans="1:26" hidden="1">
      <c r="A384">
        <v>383</v>
      </c>
      <c r="B384" t="s">
        <v>1432</v>
      </c>
      <c r="C384" t="s">
        <v>28</v>
      </c>
      <c r="D384" s="1" t="b">
        <v>0</v>
      </c>
      <c r="E384">
        <v>3.8900000000000002E-4</v>
      </c>
      <c r="F384">
        <v>3.4100503990000002</v>
      </c>
      <c r="G384">
        <v>40</v>
      </c>
      <c r="H384">
        <v>3.7800000000000002E-7</v>
      </c>
      <c r="I384">
        <v>4.38</v>
      </c>
      <c r="J384">
        <v>32</v>
      </c>
      <c r="K384">
        <v>5.0999999999999996</v>
      </c>
      <c r="L384">
        <v>6.0967469999999996E-3</v>
      </c>
      <c r="M384">
        <v>25</v>
      </c>
      <c r="N384" t="s">
        <v>1428</v>
      </c>
      <c r="R384" t="s">
        <v>1428</v>
      </c>
      <c r="S384" t="s">
        <v>1428</v>
      </c>
      <c r="T384" t="s">
        <v>1428</v>
      </c>
      <c r="U384" t="s">
        <v>1428</v>
      </c>
      <c r="V384" t="s">
        <v>31</v>
      </c>
      <c r="W384" t="s">
        <v>1433</v>
      </c>
      <c r="X384" t="s">
        <v>1434</v>
      </c>
      <c r="Y384" t="s">
        <v>1435</v>
      </c>
      <c r="Z384">
        <v>900.51656279999997</v>
      </c>
    </row>
    <row r="385" spans="1:26" hidden="1">
      <c r="A385">
        <v>384</v>
      </c>
      <c r="B385" t="s">
        <v>1436</v>
      </c>
      <c r="C385" t="s">
        <v>28</v>
      </c>
      <c r="D385" s="1" t="b">
        <v>0</v>
      </c>
      <c r="E385">
        <v>1.41E-3</v>
      </c>
      <c r="F385">
        <v>2.850780887</v>
      </c>
      <c r="G385">
        <v>41</v>
      </c>
      <c r="H385">
        <v>8.1500000000000003E-7</v>
      </c>
      <c r="I385">
        <v>2.0299999999999998</v>
      </c>
      <c r="J385">
        <v>31</v>
      </c>
      <c r="K385">
        <v>4.7</v>
      </c>
      <c r="L385">
        <v>9.0952770000000006E-3</v>
      </c>
      <c r="M385">
        <v>25</v>
      </c>
      <c r="N385" t="s">
        <v>1428</v>
      </c>
      <c r="R385" t="s">
        <v>1428</v>
      </c>
      <c r="S385" t="s">
        <v>1428</v>
      </c>
      <c r="T385" t="s">
        <v>1428</v>
      </c>
      <c r="U385" t="s">
        <v>1428</v>
      </c>
      <c r="V385" t="s">
        <v>31</v>
      </c>
      <c r="W385" t="s">
        <v>1437</v>
      </c>
      <c r="X385" t="s">
        <v>1438</v>
      </c>
      <c r="Y385" t="s">
        <v>1439</v>
      </c>
      <c r="Z385">
        <v>844.45396249999999</v>
      </c>
    </row>
    <row r="386" spans="1:26" hidden="1">
      <c r="A386">
        <v>385</v>
      </c>
      <c r="B386" t="s">
        <v>1440</v>
      </c>
      <c r="C386" t="s">
        <v>54</v>
      </c>
      <c r="D386" s="1" t="b">
        <v>0</v>
      </c>
      <c r="E386">
        <v>4.2000000000000003E-2</v>
      </c>
      <c r="F386">
        <v>1.37675071</v>
      </c>
      <c r="G386">
        <v>45</v>
      </c>
      <c r="H386">
        <v>7.8400000000000003E-7</v>
      </c>
      <c r="I386">
        <v>2.12</v>
      </c>
      <c r="J386">
        <v>27</v>
      </c>
      <c r="K386">
        <v>2.337242168</v>
      </c>
      <c r="L386">
        <v>4.5999999999999999E-3</v>
      </c>
      <c r="M386">
        <v>25</v>
      </c>
      <c r="N386" t="s">
        <v>1082</v>
      </c>
      <c r="O386" t="s">
        <v>29</v>
      </c>
      <c r="Q386" t="s">
        <v>1082</v>
      </c>
      <c r="R386" t="s">
        <v>1082</v>
      </c>
      <c r="S386" t="s">
        <v>1082</v>
      </c>
      <c r="T386" t="s">
        <v>1082</v>
      </c>
      <c r="V386" t="s">
        <v>1082</v>
      </c>
      <c r="X386" t="s">
        <v>1441</v>
      </c>
      <c r="Y386" t="s">
        <v>1442</v>
      </c>
      <c r="Z386">
        <v>575.33379209999998</v>
      </c>
    </row>
    <row r="387" spans="1:26" hidden="1">
      <c r="A387">
        <v>386</v>
      </c>
      <c r="B387" t="s">
        <v>1443</v>
      </c>
      <c r="C387" t="s">
        <v>28</v>
      </c>
      <c r="D387" s="1" t="b">
        <v>0</v>
      </c>
      <c r="E387">
        <v>5.5999999999999999E-3</v>
      </c>
      <c r="F387">
        <v>2.2518119730000001</v>
      </c>
      <c r="G387">
        <v>45</v>
      </c>
      <c r="H387">
        <v>4.01E-7</v>
      </c>
      <c r="I387">
        <v>4.1399999999999997</v>
      </c>
      <c r="J387">
        <v>27</v>
      </c>
      <c r="K387">
        <v>3.2676062400000001</v>
      </c>
      <c r="L387">
        <v>5.4000000000000001E-4</v>
      </c>
      <c r="M387">
        <v>25</v>
      </c>
      <c r="N387" t="s">
        <v>1082</v>
      </c>
      <c r="O387" t="s">
        <v>29</v>
      </c>
      <c r="Q387" t="s">
        <v>1082</v>
      </c>
      <c r="R387" t="s">
        <v>1082</v>
      </c>
      <c r="S387" t="s">
        <v>1082</v>
      </c>
      <c r="T387" t="s">
        <v>1082</v>
      </c>
      <c r="V387" t="s">
        <v>1082</v>
      </c>
      <c r="X387" t="s">
        <v>1444</v>
      </c>
      <c r="Y387" t="s">
        <v>1445</v>
      </c>
      <c r="Z387">
        <v>1008.495433</v>
      </c>
    </row>
    <row r="388" spans="1:26" hidden="1">
      <c r="A388">
        <v>387</v>
      </c>
      <c r="B388" t="s">
        <v>1446</v>
      </c>
      <c r="C388" t="s">
        <v>28</v>
      </c>
      <c r="D388" s="1" t="b">
        <v>0</v>
      </c>
      <c r="E388">
        <v>1.6E-2</v>
      </c>
      <c r="F388">
        <v>1.795880017</v>
      </c>
      <c r="G388">
        <v>43</v>
      </c>
      <c r="H388">
        <v>4.4000000000000002E-7</v>
      </c>
      <c r="I388">
        <v>3.77</v>
      </c>
      <c r="J388">
        <v>29</v>
      </c>
      <c r="K388">
        <v>3.8386319979999999</v>
      </c>
      <c r="L388">
        <v>1.45E-4</v>
      </c>
      <c r="M388">
        <v>25</v>
      </c>
      <c r="N388" t="s">
        <v>1082</v>
      </c>
      <c r="O388" t="s">
        <v>29</v>
      </c>
      <c r="Q388" t="s">
        <v>1082</v>
      </c>
      <c r="R388" t="s">
        <v>1082</v>
      </c>
      <c r="S388" t="s">
        <v>1082</v>
      </c>
      <c r="T388" t="s">
        <v>1082</v>
      </c>
      <c r="V388" t="s">
        <v>1082</v>
      </c>
      <c r="X388" t="s">
        <v>1447</v>
      </c>
      <c r="Y388" t="s">
        <v>1448</v>
      </c>
      <c r="Z388">
        <v>952.4328332</v>
      </c>
    </row>
    <row r="389" spans="1:26" hidden="1">
      <c r="A389">
        <v>388</v>
      </c>
      <c r="B389" t="s">
        <v>1449</v>
      </c>
      <c r="C389" t="s">
        <v>134</v>
      </c>
      <c r="D389" s="13" t="b">
        <v>0</v>
      </c>
      <c r="E389">
        <v>1.0989999999999999E-3</v>
      </c>
      <c r="F389">
        <v>2.9590023080000001</v>
      </c>
      <c r="M389">
        <v>25</v>
      </c>
      <c r="N389" t="s">
        <v>179</v>
      </c>
      <c r="P389" t="s">
        <v>180</v>
      </c>
      <c r="X389" t="s">
        <v>1450</v>
      </c>
      <c r="Y389" t="s">
        <v>1451</v>
      </c>
      <c r="Z389">
        <v>344.19972480000001</v>
      </c>
    </row>
    <row r="390" spans="1:26" hidden="1">
      <c r="A390">
        <v>389</v>
      </c>
      <c r="B390" t="s">
        <v>1452</v>
      </c>
      <c r="C390" t="s">
        <v>134</v>
      </c>
      <c r="D390" s="13" t="b">
        <v>0</v>
      </c>
      <c r="E390">
        <v>1.7099999999999999E-3</v>
      </c>
      <c r="F390">
        <v>2.7670038899999998</v>
      </c>
      <c r="H390">
        <v>5.2499999999999995E-7</v>
      </c>
      <c r="I390">
        <v>3.16</v>
      </c>
      <c r="M390">
        <v>25</v>
      </c>
      <c r="N390" t="s">
        <v>179</v>
      </c>
      <c r="P390" t="s">
        <v>180</v>
      </c>
      <c r="T390" t="s">
        <v>289</v>
      </c>
      <c r="W390" t="s">
        <v>1453</v>
      </c>
      <c r="X390" t="s">
        <v>1454</v>
      </c>
      <c r="Y390" t="s">
        <v>1455</v>
      </c>
      <c r="Z390">
        <v>330.18407480000002</v>
      </c>
    </row>
    <row r="391" spans="1:26" hidden="1">
      <c r="A391">
        <v>390</v>
      </c>
      <c r="B391" t="s">
        <v>1456</v>
      </c>
      <c r="C391" t="s">
        <v>134</v>
      </c>
      <c r="D391" s="13" t="b">
        <v>0</v>
      </c>
      <c r="E391">
        <v>2.6489999999999999E-4</v>
      </c>
      <c r="F391">
        <v>3.576918042</v>
      </c>
      <c r="M391">
        <v>25</v>
      </c>
      <c r="N391" t="s">
        <v>179</v>
      </c>
      <c r="P391" t="s">
        <v>180</v>
      </c>
      <c r="W391" t="s">
        <v>1457</v>
      </c>
      <c r="X391" t="s">
        <v>1458</v>
      </c>
      <c r="Y391" t="s">
        <v>1459</v>
      </c>
      <c r="Z391">
        <v>390.22046030000001</v>
      </c>
    </row>
    <row r="392" spans="1:26" hidden="1">
      <c r="A392">
        <v>391</v>
      </c>
      <c r="B392" t="s">
        <v>1460</v>
      </c>
      <c r="C392" t="s">
        <v>134</v>
      </c>
      <c r="D392" s="13" t="b">
        <v>0</v>
      </c>
      <c r="E392">
        <v>3.3730000000000001E-4</v>
      </c>
      <c r="F392">
        <v>3.4719836590000002</v>
      </c>
      <c r="M392">
        <v>25</v>
      </c>
      <c r="N392" t="s">
        <v>179</v>
      </c>
      <c r="X392" t="s">
        <v>1461</v>
      </c>
      <c r="Y392" t="s">
        <v>1462</v>
      </c>
      <c r="Z392">
        <v>358.21537489999997</v>
      </c>
    </row>
    <row r="393" spans="1:26" hidden="1">
      <c r="A393">
        <v>392</v>
      </c>
      <c r="B393" t="s">
        <v>1463</v>
      </c>
      <c r="C393" t="s">
        <v>134</v>
      </c>
      <c r="D393" s="13" t="b">
        <v>0</v>
      </c>
      <c r="E393">
        <v>8.1470000000000004E-5</v>
      </c>
      <c r="F393">
        <v>4.0890022840000002</v>
      </c>
      <c r="M393">
        <v>25</v>
      </c>
      <c r="N393" t="s">
        <v>179</v>
      </c>
      <c r="X393" t="s">
        <v>1464</v>
      </c>
      <c r="Y393" t="s">
        <v>1465</v>
      </c>
      <c r="Z393">
        <v>386.24667499999998</v>
      </c>
    </row>
    <row r="394" spans="1:26" hidden="1">
      <c r="A394">
        <v>393</v>
      </c>
      <c r="B394" t="s">
        <v>1466</v>
      </c>
      <c r="C394" t="s">
        <v>134</v>
      </c>
      <c r="D394" s="13" t="b">
        <v>0</v>
      </c>
      <c r="E394">
        <v>3.4829999999999997E-5</v>
      </c>
      <c r="F394">
        <v>4.4580465260000004</v>
      </c>
      <c r="M394">
        <v>25</v>
      </c>
      <c r="N394" t="s">
        <v>179</v>
      </c>
      <c r="X394" t="s">
        <v>1467</v>
      </c>
      <c r="Y394" t="s">
        <v>1468</v>
      </c>
      <c r="Z394">
        <v>400.2623251</v>
      </c>
    </row>
    <row r="395" spans="1:26" hidden="1">
      <c r="A395">
        <v>394</v>
      </c>
      <c r="B395" t="s">
        <v>1469</v>
      </c>
      <c r="C395" t="s">
        <v>134</v>
      </c>
      <c r="D395" s="13" t="b">
        <v>0</v>
      </c>
      <c r="E395">
        <v>1.449E-3</v>
      </c>
      <c r="F395">
        <v>2.8389316149999999</v>
      </c>
      <c r="M395">
        <v>25</v>
      </c>
      <c r="N395" t="s">
        <v>179</v>
      </c>
      <c r="W395" t="s">
        <v>1470</v>
      </c>
      <c r="X395" t="s">
        <v>1471</v>
      </c>
      <c r="Y395" t="s">
        <v>1472</v>
      </c>
      <c r="Z395">
        <v>344.19972480000001</v>
      </c>
    </row>
    <row r="396" spans="1:26" hidden="1">
      <c r="A396">
        <v>395</v>
      </c>
      <c r="B396" t="s">
        <v>1473</v>
      </c>
      <c r="C396" t="s">
        <v>83</v>
      </c>
      <c r="D396" s="1" t="b">
        <v>0</v>
      </c>
      <c r="E396">
        <v>1.2999999999999999E-5</v>
      </c>
      <c r="F396">
        <v>4.8860566480000003</v>
      </c>
      <c r="M396">
        <v>25</v>
      </c>
      <c r="N396" t="s">
        <v>207</v>
      </c>
      <c r="W396" t="s">
        <v>1474</v>
      </c>
      <c r="X396" t="s">
        <v>1475</v>
      </c>
      <c r="Y396" t="s">
        <v>1476</v>
      </c>
      <c r="Z396">
        <v>244.24023030000001</v>
      </c>
    </row>
    <row r="397" spans="1:26">
      <c r="A397">
        <v>396</v>
      </c>
      <c r="B397" s="2" t="s">
        <v>1477</v>
      </c>
      <c r="C397" t="s">
        <v>83</v>
      </c>
      <c r="D397" s="1" t="b">
        <v>1</v>
      </c>
      <c r="E397">
        <v>1.0000000000000001E-5</v>
      </c>
      <c r="F397">
        <v>5</v>
      </c>
      <c r="G397" s="2"/>
      <c r="H397" s="3"/>
      <c r="I397" s="2"/>
      <c r="J397" s="2"/>
      <c r="K397" s="2"/>
      <c r="L397" s="2"/>
      <c r="M397">
        <v>25</v>
      </c>
      <c r="N397" t="s">
        <v>135</v>
      </c>
      <c r="X397" t="s">
        <v>1478</v>
      </c>
      <c r="Y397" t="s">
        <v>1479</v>
      </c>
      <c r="Z397">
        <v>478.38695410000003</v>
      </c>
    </row>
    <row r="398" spans="1:26">
      <c r="A398">
        <v>397</v>
      </c>
      <c r="B398" s="2" t="s">
        <v>1477</v>
      </c>
      <c r="C398" t="s">
        <v>83</v>
      </c>
      <c r="D398" s="1" t="b">
        <v>1</v>
      </c>
      <c r="E398">
        <v>9.0000000000000002E-6</v>
      </c>
      <c r="F398">
        <v>5.0457574909999998</v>
      </c>
      <c r="G398">
        <v>34</v>
      </c>
      <c r="H398">
        <v>3.4300000000000002E-6</v>
      </c>
      <c r="I398">
        <v>0.48</v>
      </c>
      <c r="J398">
        <v>38</v>
      </c>
      <c r="K398">
        <v>5.97</v>
      </c>
      <c r="L398">
        <v>1.0699999999999999E-6</v>
      </c>
      <c r="M398">
        <v>25</v>
      </c>
      <c r="N398" t="s">
        <v>135</v>
      </c>
      <c r="O398" t="s">
        <v>137</v>
      </c>
      <c r="R398" t="s">
        <v>137</v>
      </c>
      <c r="S398" t="s">
        <v>137</v>
      </c>
      <c r="X398" t="s">
        <v>1480</v>
      </c>
      <c r="Y398" t="s">
        <v>1481</v>
      </c>
      <c r="Z398">
        <v>566.43938360000004</v>
      </c>
    </row>
    <row r="399" spans="1:26" hidden="1">
      <c r="A399">
        <v>398</v>
      </c>
      <c r="B399" t="s">
        <v>1482</v>
      </c>
      <c r="C399" t="s">
        <v>134</v>
      </c>
      <c r="D399" s="13" t="b">
        <v>0</v>
      </c>
      <c r="E399">
        <v>8.5110000000000003E-4</v>
      </c>
      <c r="F399">
        <v>3.0700194089999999</v>
      </c>
      <c r="M399">
        <v>25</v>
      </c>
      <c r="N399" t="s">
        <v>179</v>
      </c>
      <c r="P399" t="s">
        <v>1483</v>
      </c>
      <c r="X399" t="s">
        <v>1484</v>
      </c>
      <c r="Y399" t="s">
        <v>1485</v>
      </c>
      <c r="Z399">
        <v>404.22085420000002</v>
      </c>
    </row>
    <row r="400" spans="1:26" hidden="1">
      <c r="A400">
        <v>399</v>
      </c>
      <c r="B400" t="s">
        <v>1486</v>
      </c>
      <c r="C400" t="s">
        <v>134</v>
      </c>
      <c r="D400" s="13" t="b">
        <v>0</v>
      </c>
      <c r="E400">
        <v>1.39E-3</v>
      </c>
      <c r="F400">
        <v>2.8569852</v>
      </c>
      <c r="M400">
        <v>25</v>
      </c>
      <c r="N400" t="s">
        <v>179</v>
      </c>
      <c r="P400" t="s">
        <v>1483</v>
      </c>
      <c r="X400" t="s">
        <v>1487</v>
      </c>
      <c r="Y400" t="s">
        <v>1488</v>
      </c>
      <c r="Z400">
        <v>360.19463940000003</v>
      </c>
    </row>
    <row r="401" spans="1:26" hidden="1">
      <c r="A401">
        <v>400</v>
      </c>
      <c r="B401" t="s">
        <v>1489</v>
      </c>
      <c r="C401" t="s">
        <v>134</v>
      </c>
      <c r="D401" s="13" t="b">
        <v>0</v>
      </c>
      <c r="E401">
        <v>6.9180000000000001E-4</v>
      </c>
      <c r="F401">
        <v>3.1600194419999998</v>
      </c>
      <c r="M401">
        <v>25</v>
      </c>
      <c r="N401" t="s">
        <v>179</v>
      </c>
      <c r="P401" t="s">
        <v>1225</v>
      </c>
      <c r="X401" t="s">
        <v>1490</v>
      </c>
      <c r="Y401" t="s">
        <v>1491</v>
      </c>
      <c r="Z401">
        <v>492.27328369999998</v>
      </c>
    </row>
    <row r="402" spans="1:26" hidden="1">
      <c r="A402">
        <v>401</v>
      </c>
      <c r="B402" t="s">
        <v>1492</v>
      </c>
      <c r="C402" t="s">
        <v>28</v>
      </c>
      <c r="D402" s="1" t="b">
        <v>0</v>
      </c>
      <c r="G402">
        <v>29</v>
      </c>
      <c r="O402" t="s">
        <v>29</v>
      </c>
      <c r="Q402" t="s">
        <v>464</v>
      </c>
      <c r="X402" t="s">
        <v>1493</v>
      </c>
      <c r="Y402" t="s">
        <v>1494</v>
      </c>
      <c r="Z402">
        <v>918.61246930000004</v>
      </c>
    </row>
    <row r="403" spans="1:26" hidden="1">
      <c r="A403">
        <v>402</v>
      </c>
      <c r="B403" t="s">
        <v>1495</v>
      </c>
      <c r="C403" t="s">
        <v>311</v>
      </c>
      <c r="D403" s="1" t="b">
        <v>0</v>
      </c>
      <c r="G403">
        <v>28.1</v>
      </c>
      <c r="O403" t="s">
        <v>29</v>
      </c>
      <c r="Q403" t="s">
        <v>1232</v>
      </c>
      <c r="X403" t="s">
        <v>1496</v>
      </c>
      <c r="Y403" t="s">
        <v>1497</v>
      </c>
      <c r="Z403">
        <v>358.2831577</v>
      </c>
    </row>
    <row r="404" spans="1:26" hidden="1">
      <c r="A404">
        <v>403</v>
      </c>
      <c r="B404" t="s">
        <v>1498</v>
      </c>
      <c r="C404" t="s">
        <v>54</v>
      </c>
      <c r="D404" s="1" t="b">
        <v>0</v>
      </c>
      <c r="G404">
        <v>30.3</v>
      </c>
      <c r="O404" t="s">
        <v>29</v>
      </c>
      <c r="Q404" t="s">
        <v>349</v>
      </c>
      <c r="X404" t="s">
        <v>1499</v>
      </c>
      <c r="Y404" t="s">
        <v>1500</v>
      </c>
      <c r="Z404">
        <v>407.23989169999999</v>
      </c>
    </row>
    <row r="405" spans="1:26" hidden="1">
      <c r="A405">
        <v>404</v>
      </c>
      <c r="B405" t="s">
        <v>1501</v>
      </c>
      <c r="C405" t="s">
        <v>54</v>
      </c>
      <c r="D405" s="1" t="b">
        <v>0</v>
      </c>
      <c r="G405">
        <v>39.9</v>
      </c>
      <c r="O405" t="s">
        <v>29</v>
      </c>
      <c r="Q405" t="s">
        <v>795</v>
      </c>
      <c r="X405" t="s">
        <v>1502</v>
      </c>
      <c r="Y405" t="s">
        <v>1503</v>
      </c>
      <c r="Z405">
        <v>438.33769180000002</v>
      </c>
    </row>
    <row r="406" spans="1:26" hidden="1">
      <c r="A406">
        <v>405</v>
      </c>
      <c r="B406" t="s">
        <v>1504</v>
      </c>
      <c r="C406" t="s">
        <v>28</v>
      </c>
      <c r="D406" s="1" t="b">
        <v>0</v>
      </c>
      <c r="E406">
        <v>1.25E-3</v>
      </c>
      <c r="F406">
        <v>2.903089987</v>
      </c>
      <c r="M406">
        <v>25</v>
      </c>
      <c r="N406" t="s">
        <v>484</v>
      </c>
      <c r="X406" t="s">
        <v>1505</v>
      </c>
      <c r="Y406" t="s">
        <v>1506</v>
      </c>
      <c r="Z406">
        <v>768.44915189999995</v>
      </c>
    </row>
    <row r="407" spans="1:26" hidden="1">
      <c r="A407">
        <v>406</v>
      </c>
      <c r="B407" t="s">
        <v>1507</v>
      </c>
      <c r="C407" t="s">
        <v>28</v>
      </c>
      <c r="D407" s="1" t="b">
        <v>0</v>
      </c>
      <c r="G407">
        <v>30</v>
      </c>
      <c r="O407" t="s">
        <v>29</v>
      </c>
      <c r="Q407" t="s">
        <v>494</v>
      </c>
      <c r="X407" t="s">
        <v>1508</v>
      </c>
      <c r="Y407" t="s">
        <v>1509</v>
      </c>
      <c r="Z407">
        <v>754.57572909999999</v>
      </c>
    </row>
    <row r="408" spans="1:26" hidden="1">
      <c r="A408">
        <v>407</v>
      </c>
      <c r="B408" t="s">
        <v>1510</v>
      </c>
      <c r="C408" t="s">
        <v>28</v>
      </c>
      <c r="D408" s="1" t="b">
        <v>0</v>
      </c>
      <c r="E408">
        <v>1.3899999999999999E-4</v>
      </c>
      <c r="F408">
        <v>3.8569852</v>
      </c>
      <c r="M408">
        <v>25</v>
      </c>
      <c r="N408" t="s">
        <v>484</v>
      </c>
      <c r="X408" t="s">
        <v>1511</v>
      </c>
      <c r="Y408" t="s">
        <v>1512</v>
      </c>
      <c r="Z408">
        <v>894.44848320000006</v>
      </c>
    </row>
    <row r="409" spans="1:26" hidden="1">
      <c r="A409">
        <v>408</v>
      </c>
      <c r="B409" t="s">
        <v>1513</v>
      </c>
      <c r="C409" t="s">
        <v>28</v>
      </c>
      <c r="D409" s="1" t="b">
        <v>0</v>
      </c>
      <c r="E409">
        <v>1.75E-4</v>
      </c>
      <c r="F409">
        <v>3.7569619510000001</v>
      </c>
      <c r="M409">
        <v>25</v>
      </c>
      <c r="N409" t="s">
        <v>484</v>
      </c>
      <c r="P409" t="s">
        <v>648</v>
      </c>
      <c r="X409" t="s">
        <v>1514</v>
      </c>
      <c r="Y409" t="s">
        <v>1515</v>
      </c>
      <c r="Z409">
        <v>806.54951440000002</v>
      </c>
    </row>
    <row r="410" spans="1:26" hidden="1">
      <c r="A410">
        <v>409</v>
      </c>
      <c r="B410" t="s">
        <v>1516</v>
      </c>
      <c r="C410" t="s">
        <v>134</v>
      </c>
      <c r="D410" s="13" t="b">
        <v>0</v>
      </c>
      <c r="E410">
        <v>6.6E-3</v>
      </c>
      <c r="F410">
        <v>2.1804560639999999</v>
      </c>
      <c r="M410">
        <v>25</v>
      </c>
      <c r="N410" t="s">
        <v>179</v>
      </c>
      <c r="P410" t="s">
        <v>498</v>
      </c>
      <c r="X410" t="s">
        <v>1517</v>
      </c>
      <c r="Y410" t="s">
        <v>1518</v>
      </c>
      <c r="Z410">
        <v>280.18046179999999</v>
      </c>
    </row>
    <row r="411" spans="1:26" hidden="1">
      <c r="A411">
        <v>410</v>
      </c>
      <c r="B411" t="s">
        <v>1519</v>
      </c>
      <c r="C411" t="s">
        <v>134</v>
      </c>
      <c r="D411" s="1" t="b">
        <v>0</v>
      </c>
      <c r="E411">
        <v>7.2999999999999996E-4</v>
      </c>
      <c r="F411">
        <v>3.1366771400000002</v>
      </c>
      <c r="M411">
        <v>25</v>
      </c>
      <c r="N411" t="s">
        <v>89</v>
      </c>
      <c r="P411" t="s">
        <v>103</v>
      </c>
      <c r="W411" t="s">
        <v>1520</v>
      </c>
      <c r="X411" t="s">
        <v>1521</v>
      </c>
      <c r="Y411" t="s">
        <v>1522</v>
      </c>
      <c r="Z411">
        <v>372.19463940000003</v>
      </c>
    </row>
    <row r="412" spans="1:26" hidden="1">
      <c r="A412">
        <v>411</v>
      </c>
      <c r="B412" t="s">
        <v>1523</v>
      </c>
      <c r="C412" t="s">
        <v>134</v>
      </c>
      <c r="D412" s="13" t="b">
        <v>0</v>
      </c>
      <c r="E412">
        <v>7.1940000000000003E-4</v>
      </c>
      <c r="F412">
        <v>3.1430295670000001</v>
      </c>
      <c r="H412">
        <v>4.5400000000000002E-7</v>
      </c>
      <c r="I412">
        <v>3.66</v>
      </c>
      <c r="M412">
        <v>25</v>
      </c>
      <c r="N412" t="s">
        <v>179</v>
      </c>
      <c r="P412" t="s">
        <v>180</v>
      </c>
      <c r="T412" t="s">
        <v>289</v>
      </c>
      <c r="W412" t="s">
        <v>1524</v>
      </c>
      <c r="X412" t="s">
        <v>1525</v>
      </c>
      <c r="Y412" t="s">
        <v>1526</v>
      </c>
      <c r="Z412">
        <v>372.23102490000002</v>
      </c>
    </row>
    <row r="413" spans="1:26" hidden="1">
      <c r="A413">
        <v>412</v>
      </c>
      <c r="B413" t="s">
        <v>1527</v>
      </c>
      <c r="C413" t="s">
        <v>134</v>
      </c>
      <c r="D413" s="13" t="b">
        <v>0</v>
      </c>
      <c r="E413">
        <v>7.9980000000000003E-4</v>
      </c>
      <c r="F413">
        <v>3.0970186000000002</v>
      </c>
      <c r="M413">
        <v>25</v>
      </c>
      <c r="N413" t="s">
        <v>179</v>
      </c>
      <c r="P413" t="s">
        <v>180</v>
      </c>
      <c r="X413" t="s">
        <v>1528</v>
      </c>
      <c r="Y413" t="s">
        <v>1529</v>
      </c>
      <c r="Z413">
        <v>386.24667499999998</v>
      </c>
    </row>
    <row r="414" spans="1:26" hidden="1">
      <c r="A414">
        <v>413</v>
      </c>
      <c r="B414" t="s">
        <v>1530</v>
      </c>
      <c r="C414" t="s">
        <v>134</v>
      </c>
      <c r="D414" s="13" t="b">
        <v>0</v>
      </c>
      <c r="E414">
        <v>7.9430000000000004E-5</v>
      </c>
      <c r="F414">
        <v>4.1000154369999997</v>
      </c>
      <c r="M414">
        <v>25</v>
      </c>
      <c r="N414" t="s">
        <v>179</v>
      </c>
      <c r="P414" t="s">
        <v>294</v>
      </c>
      <c r="X414" t="s">
        <v>1531</v>
      </c>
      <c r="Y414" t="s">
        <v>1532</v>
      </c>
      <c r="Z414">
        <v>526.40317560000005</v>
      </c>
    </row>
    <row r="415" spans="1:26" hidden="1">
      <c r="A415">
        <v>414</v>
      </c>
      <c r="B415" t="s">
        <v>1533</v>
      </c>
      <c r="C415" t="s">
        <v>28</v>
      </c>
      <c r="D415" s="1" t="b">
        <v>0</v>
      </c>
      <c r="E415">
        <v>2.0000000000000002E-5</v>
      </c>
      <c r="F415">
        <v>4.6989700040000004</v>
      </c>
      <c r="M415">
        <v>25</v>
      </c>
      <c r="N415" t="s">
        <v>484</v>
      </c>
      <c r="P415" t="s">
        <v>648</v>
      </c>
      <c r="X415" t="s">
        <v>1534</v>
      </c>
      <c r="Y415" t="s">
        <v>1535</v>
      </c>
      <c r="Z415">
        <v>890.45041490000006</v>
      </c>
    </row>
    <row r="416" spans="1:26" hidden="1">
      <c r="A416">
        <v>415</v>
      </c>
      <c r="B416" t="s">
        <v>1536</v>
      </c>
      <c r="C416" t="s">
        <v>28</v>
      </c>
      <c r="D416" s="1" t="b">
        <v>0</v>
      </c>
      <c r="E416">
        <v>2.0990000000000001E-5</v>
      </c>
      <c r="F416">
        <v>4.6779875610000001</v>
      </c>
      <c r="M416">
        <v>25</v>
      </c>
      <c r="N416" t="s">
        <v>484</v>
      </c>
      <c r="P416" t="s">
        <v>648</v>
      </c>
      <c r="X416" t="s">
        <v>1537</v>
      </c>
      <c r="Y416" t="s">
        <v>1538</v>
      </c>
      <c r="Z416">
        <v>876.43476480000004</v>
      </c>
    </row>
    <row r="417" spans="1:26" hidden="1">
      <c r="A417">
        <v>416</v>
      </c>
      <c r="B417" t="s">
        <v>1539</v>
      </c>
      <c r="C417" t="s">
        <v>28</v>
      </c>
      <c r="D417" s="1" t="b">
        <v>0</v>
      </c>
      <c r="E417">
        <v>2.9989999999999999E-5</v>
      </c>
      <c r="F417">
        <v>4.523023534</v>
      </c>
      <c r="M417">
        <v>25</v>
      </c>
      <c r="N417" t="s">
        <v>484</v>
      </c>
      <c r="P417" t="s">
        <v>648</v>
      </c>
      <c r="X417" t="s">
        <v>1540</v>
      </c>
      <c r="Y417" t="s">
        <v>1541</v>
      </c>
      <c r="Z417">
        <v>856.39731670000003</v>
      </c>
    </row>
    <row r="418" spans="1:26" hidden="1">
      <c r="A418">
        <v>417</v>
      </c>
      <c r="B418" t="s">
        <v>1542</v>
      </c>
      <c r="C418" t="s">
        <v>28</v>
      </c>
      <c r="D418" s="1" t="b">
        <v>0</v>
      </c>
      <c r="E418">
        <v>2.198E-5</v>
      </c>
      <c r="F418">
        <v>4.6579723120000001</v>
      </c>
      <c r="M418">
        <v>25</v>
      </c>
      <c r="N418" t="s">
        <v>484</v>
      </c>
      <c r="P418" t="s">
        <v>648</v>
      </c>
      <c r="X418" t="s">
        <v>1543</v>
      </c>
      <c r="Y418" t="s">
        <v>1544</v>
      </c>
      <c r="Z418">
        <v>862.41911479999999</v>
      </c>
    </row>
    <row r="419" spans="1:26" hidden="1">
      <c r="A419">
        <v>418</v>
      </c>
      <c r="B419" t="s">
        <v>1545</v>
      </c>
      <c r="C419" t="s">
        <v>54</v>
      </c>
      <c r="D419" s="1" t="b">
        <v>0</v>
      </c>
      <c r="E419">
        <v>4.4000000000000002E-4</v>
      </c>
      <c r="F419">
        <v>3.3565473240000001</v>
      </c>
      <c r="G419">
        <v>36.85</v>
      </c>
      <c r="H419">
        <v>3.0199999999999999E-6</v>
      </c>
      <c r="I419">
        <v>0.55000000000000004</v>
      </c>
      <c r="J419">
        <v>35.549999999999997</v>
      </c>
      <c r="K419">
        <v>3.7</v>
      </c>
      <c r="L419">
        <v>1.9900000000000001E-4</v>
      </c>
      <c r="M419">
        <v>25</v>
      </c>
      <c r="N419" t="s">
        <v>917</v>
      </c>
      <c r="O419" t="s">
        <v>29</v>
      </c>
      <c r="Q419" t="s">
        <v>917</v>
      </c>
      <c r="R419" t="s">
        <v>917</v>
      </c>
      <c r="S419" t="s">
        <v>917</v>
      </c>
      <c r="T419" t="s">
        <v>917</v>
      </c>
      <c r="V419" t="s">
        <v>917</v>
      </c>
      <c r="W419" t="s">
        <v>1546</v>
      </c>
      <c r="X419" t="s">
        <v>1547</v>
      </c>
      <c r="Y419" t="s">
        <v>1548</v>
      </c>
      <c r="Z419">
        <v>432.23514069999999</v>
      </c>
    </row>
    <row r="420" spans="1:26" hidden="1">
      <c r="A420">
        <v>419</v>
      </c>
      <c r="B420" t="s">
        <v>1549</v>
      </c>
      <c r="C420" t="s">
        <v>54</v>
      </c>
      <c r="D420" s="1" t="b">
        <v>0</v>
      </c>
      <c r="E420">
        <v>1.0200000000000001E-3</v>
      </c>
      <c r="F420">
        <v>2.991399828</v>
      </c>
      <c r="G420">
        <v>37.380000000000003</v>
      </c>
      <c r="H420">
        <v>3.0199999999999999E-6</v>
      </c>
      <c r="I420">
        <v>0.55000000000000004</v>
      </c>
      <c r="J420">
        <v>35.020000000000003</v>
      </c>
      <c r="K420">
        <v>3.39</v>
      </c>
      <c r="L420">
        <v>4.0700000000000003E-4</v>
      </c>
      <c r="M420">
        <v>25</v>
      </c>
      <c r="N420" t="s">
        <v>917</v>
      </c>
      <c r="O420" t="s">
        <v>29</v>
      </c>
      <c r="Q420" t="s">
        <v>917</v>
      </c>
      <c r="R420" t="s">
        <v>917</v>
      </c>
      <c r="S420" t="s">
        <v>917</v>
      </c>
      <c r="T420" t="s">
        <v>917</v>
      </c>
      <c r="V420" t="s">
        <v>917</v>
      </c>
      <c r="W420" t="s">
        <v>1550</v>
      </c>
      <c r="X420" t="s">
        <v>1551</v>
      </c>
      <c r="Y420" t="s">
        <v>1552</v>
      </c>
      <c r="Z420">
        <v>388.28565620000001</v>
      </c>
    </row>
    <row r="421" spans="1:26" hidden="1">
      <c r="A421">
        <v>420</v>
      </c>
      <c r="B421" t="s">
        <v>1553</v>
      </c>
      <c r="C421" t="s">
        <v>83</v>
      </c>
      <c r="D421" s="1" t="b">
        <v>0</v>
      </c>
      <c r="E421">
        <v>1.2999999999999999E-5</v>
      </c>
      <c r="F421">
        <v>4.8860566480000003</v>
      </c>
      <c r="G421">
        <v>26.5</v>
      </c>
      <c r="H421">
        <v>5.1000000000000003E-6</v>
      </c>
      <c r="I421">
        <v>0.33</v>
      </c>
      <c r="J421">
        <v>45.5</v>
      </c>
      <c r="K421">
        <v>5.77</v>
      </c>
      <c r="L421">
        <v>1.6899999999999999E-6</v>
      </c>
      <c r="M421">
        <v>25</v>
      </c>
      <c r="N421" t="s">
        <v>89</v>
      </c>
      <c r="P421" t="s">
        <v>103</v>
      </c>
      <c r="R421" t="s">
        <v>579</v>
      </c>
      <c r="S421" t="s">
        <v>579</v>
      </c>
      <c r="T421" t="s">
        <v>579</v>
      </c>
      <c r="U421" t="s">
        <v>579</v>
      </c>
      <c r="W421" t="s">
        <v>1554</v>
      </c>
      <c r="X421" t="s">
        <v>1555</v>
      </c>
      <c r="Y421" t="s">
        <v>1556</v>
      </c>
      <c r="Z421">
        <v>244.24023030000001</v>
      </c>
    </row>
    <row r="422" spans="1:26">
      <c r="A422">
        <v>421</v>
      </c>
      <c r="B422" s="2" t="s">
        <v>1557</v>
      </c>
      <c r="C422" t="s">
        <v>83</v>
      </c>
      <c r="D422" s="1" t="b">
        <v>1</v>
      </c>
      <c r="E422">
        <v>3.4999999999999999E-6</v>
      </c>
      <c r="F422">
        <v>5.4559319559999997</v>
      </c>
      <c r="G422">
        <v>34.6</v>
      </c>
      <c r="H422">
        <v>3.5899999999999999E-6</v>
      </c>
      <c r="I422">
        <v>0.46</v>
      </c>
      <c r="J422">
        <v>37.4</v>
      </c>
      <c r="K422">
        <v>6.31</v>
      </c>
      <c r="L422">
        <v>4.9299999999999998E-7</v>
      </c>
      <c r="M422">
        <v>25</v>
      </c>
      <c r="N422" t="s">
        <v>135</v>
      </c>
      <c r="O422" t="s">
        <v>137</v>
      </c>
      <c r="R422" t="s">
        <v>137</v>
      </c>
      <c r="S422" t="s">
        <v>137</v>
      </c>
      <c r="X422" t="s">
        <v>1558</v>
      </c>
      <c r="Y422" t="s">
        <v>1559</v>
      </c>
      <c r="Z422">
        <v>580.45503359999998</v>
      </c>
    </row>
    <row r="423" spans="1:26" hidden="1">
      <c r="A423">
        <v>422</v>
      </c>
      <c r="B423" t="s">
        <v>1560</v>
      </c>
      <c r="C423" t="s">
        <v>134</v>
      </c>
      <c r="D423" s="13" t="b">
        <v>0</v>
      </c>
      <c r="E423">
        <v>1.086E-4</v>
      </c>
      <c r="F423">
        <v>3.964170175</v>
      </c>
      <c r="M423">
        <v>25</v>
      </c>
      <c r="N423" t="s">
        <v>179</v>
      </c>
      <c r="X423" t="s">
        <v>1561</v>
      </c>
      <c r="Y423" t="s">
        <v>1562</v>
      </c>
      <c r="Z423">
        <v>386.21028949999999</v>
      </c>
    </row>
    <row r="424" spans="1:26" hidden="1">
      <c r="A424">
        <v>423</v>
      </c>
      <c r="B424" t="s">
        <v>1563</v>
      </c>
      <c r="C424" t="s">
        <v>134</v>
      </c>
      <c r="D424" s="13" t="b">
        <v>0</v>
      </c>
      <c r="E424">
        <v>1E-4</v>
      </c>
      <c r="F424">
        <v>4</v>
      </c>
      <c r="M424">
        <v>25</v>
      </c>
      <c r="N424" t="s">
        <v>179</v>
      </c>
      <c r="X424" t="s">
        <v>1564</v>
      </c>
      <c r="Y424" t="s">
        <v>1565</v>
      </c>
      <c r="Z424">
        <v>400.2259396</v>
      </c>
    </row>
    <row r="425" spans="1:26" hidden="1">
      <c r="A425">
        <v>424</v>
      </c>
      <c r="B425" t="s">
        <v>1566</v>
      </c>
      <c r="C425" t="s">
        <v>134</v>
      </c>
      <c r="D425" s="13" t="b">
        <v>0</v>
      </c>
      <c r="E425">
        <v>3.0969999999999999E-4</v>
      </c>
      <c r="F425">
        <v>3.5090587950000001</v>
      </c>
      <c r="M425">
        <v>25</v>
      </c>
      <c r="N425" t="s">
        <v>179</v>
      </c>
      <c r="X425" t="s">
        <v>1567</v>
      </c>
      <c r="Y425" t="s">
        <v>1568</v>
      </c>
      <c r="Z425">
        <v>372.19463940000003</v>
      </c>
    </row>
    <row r="426" spans="1:26" hidden="1">
      <c r="A426">
        <v>425</v>
      </c>
      <c r="B426" t="s">
        <v>1569</v>
      </c>
      <c r="C426" t="s">
        <v>134</v>
      </c>
      <c r="D426" s="13" t="b">
        <v>0</v>
      </c>
      <c r="E426">
        <v>7.4989999999999996E-4</v>
      </c>
      <c r="F426">
        <v>3.124996646</v>
      </c>
      <c r="M426">
        <v>25</v>
      </c>
      <c r="N426" t="s">
        <v>179</v>
      </c>
      <c r="W426" t="s">
        <v>1570</v>
      </c>
      <c r="X426" t="s">
        <v>1571</v>
      </c>
      <c r="Y426" t="s">
        <v>1572</v>
      </c>
      <c r="Z426">
        <v>326.18916009999998</v>
      </c>
    </row>
    <row r="427" spans="1:26">
      <c r="A427">
        <v>426</v>
      </c>
      <c r="B427" t="s">
        <v>1573</v>
      </c>
      <c r="C427" t="s">
        <v>134</v>
      </c>
      <c r="D427" s="1" t="b">
        <v>1</v>
      </c>
      <c r="E427">
        <v>1.9E-3</v>
      </c>
      <c r="F427">
        <v>2.721246399</v>
      </c>
      <c r="G427" s="2"/>
      <c r="H427" s="2"/>
      <c r="I427" s="2"/>
      <c r="J427" s="2"/>
      <c r="K427" s="2"/>
      <c r="L427" s="2"/>
      <c r="M427">
        <v>25</v>
      </c>
      <c r="N427" t="s">
        <v>1574</v>
      </c>
      <c r="P427" t="s">
        <v>103</v>
      </c>
      <c r="W427" t="s">
        <v>1575</v>
      </c>
      <c r="X427" t="s">
        <v>1576</v>
      </c>
      <c r="Y427" t="s">
        <v>1577</v>
      </c>
      <c r="Z427">
        <v>377.29058839999999</v>
      </c>
    </row>
    <row r="428" spans="1:26">
      <c r="A428">
        <v>427</v>
      </c>
      <c r="B428" t="s">
        <v>1578</v>
      </c>
      <c r="C428" t="s">
        <v>134</v>
      </c>
      <c r="D428" s="1" t="b">
        <v>1</v>
      </c>
      <c r="E428">
        <v>1.5E-3</v>
      </c>
      <c r="F428">
        <v>2.8239087409999999</v>
      </c>
      <c r="G428" s="2"/>
      <c r="H428" s="2"/>
      <c r="I428" s="2"/>
      <c r="J428" s="2"/>
      <c r="K428" s="2"/>
      <c r="L428" s="2"/>
      <c r="M428">
        <v>25</v>
      </c>
      <c r="N428" t="s">
        <v>135</v>
      </c>
      <c r="X428" t="s">
        <v>1579</v>
      </c>
      <c r="Y428" t="s">
        <v>1580</v>
      </c>
      <c r="Z428">
        <v>391.30623850000001</v>
      </c>
    </row>
    <row r="429" spans="1:26" hidden="1">
      <c r="A429">
        <v>428</v>
      </c>
      <c r="B429" t="s">
        <v>1581</v>
      </c>
      <c r="C429" t="s">
        <v>161</v>
      </c>
      <c r="D429" s="1" t="b">
        <v>0</v>
      </c>
      <c r="E429">
        <v>1.7499999999999998E-5</v>
      </c>
      <c r="F429">
        <v>4.7569619510000001</v>
      </c>
      <c r="G429">
        <v>36.5</v>
      </c>
      <c r="H429">
        <v>3.36E-6</v>
      </c>
      <c r="I429">
        <v>0.49399999999999999</v>
      </c>
      <c r="J429">
        <v>35.47</v>
      </c>
      <c r="K429">
        <v>5.46</v>
      </c>
      <c r="L429">
        <v>4.2535560000000004E-3</v>
      </c>
      <c r="M429">
        <v>25</v>
      </c>
      <c r="N429" t="s">
        <v>632</v>
      </c>
      <c r="O429" t="s">
        <v>632</v>
      </c>
      <c r="R429" t="s">
        <v>632</v>
      </c>
      <c r="S429" t="s">
        <v>31</v>
      </c>
      <c r="U429" t="s">
        <v>632</v>
      </c>
      <c r="V429" t="s">
        <v>31</v>
      </c>
      <c r="W429" t="s">
        <v>1582</v>
      </c>
      <c r="X429" t="s">
        <v>1583</v>
      </c>
      <c r="Y429" t="s">
        <v>1584</v>
      </c>
      <c r="Z429">
        <v>597.37242619999995</v>
      </c>
    </row>
    <row r="430" spans="1:26" hidden="1">
      <c r="A430">
        <v>429</v>
      </c>
      <c r="B430" t="s">
        <v>1585</v>
      </c>
      <c r="C430" t="s">
        <v>161</v>
      </c>
      <c r="D430" s="1" t="b">
        <v>0</v>
      </c>
      <c r="E430">
        <v>1.6E-7</v>
      </c>
      <c r="F430">
        <v>6.795880017</v>
      </c>
      <c r="M430">
        <v>25</v>
      </c>
      <c r="N430" t="s">
        <v>89</v>
      </c>
      <c r="P430" t="s">
        <v>162</v>
      </c>
      <c r="W430" t="s">
        <v>1586</v>
      </c>
      <c r="X430" t="s">
        <v>1587</v>
      </c>
      <c r="Y430" t="s">
        <v>1588</v>
      </c>
      <c r="Z430">
        <v>339.27734400000003</v>
      </c>
    </row>
    <row r="431" spans="1:26" hidden="1">
      <c r="A431">
        <v>430</v>
      </c>
      <c r="B431" t="s">
        <v>1589</v>
      </c>
      <c r="C431" t="s">
        <v>54</v>
      </c>
      <c r="D431" s="1" t="b">
        <v>0</v>
      </c>
      <c r="E431">
        <v>4.7800000000000002E-7</v>
      </c>
      <c r="F431">
        <v>6.3205721029999999</v>
      </c>
      <c r="G431">
        <v>46.1</v>
      </c>
      <c r="H431">
        <v>4.2599999999999999E-6</v>
      </c>
      <c r="I431">
        <v>0.39</v>
      </c>
      <c r="J431">
        <v>25.9</v>
      </c>
      <c r="K431">
        <v>6.4418689420000002</v>
      </c>
      <c r="L431">
        <v>1.593426E-3</v>
      </c>
      <c r="M431">
        <v>25</v>
      </c>
      <c r="N431" t="s">
        <v>1590</v>
      </c>
      <c r="O431" t="s">
        <v>29</v>
      </c>
      <c r="Q431" t="s">
        <v>1590</v>
      </c>
      <c r="R431" t="s">
        <v>1590</v>
      </c>
      <c r="T431" t="s">
        <v>1590</v>
      </c>
      <c r="U431" t="s">
        <v>31</v>
      </c>
      <c r="V431" t="s">
        <v>31</v>
      </c>
      <c r="X431" t="s">
        <v>1591</v>
      </c>
      <c r="Y431" t="s">
        <v>1592</v>
      </c>
      <c r="Z431">
        <v>612.41164460000005</v>
      </c>
    </row>
    <row r="432" spans="1:26" hidden="1">
      <c r="A432">
        <v>431</v>
      </c>
      <c r="B432" t="s">
        <v>1593</v>
      </c>
      <c r="C432" t="s">
        <v>54</v>
      </c>
      <c r="D432" s="1" t="b">
        <v>0</v>
      </c>
      <c r="E432">
        <v>5.0100000000000003E-6</v>
      </c>
      <c r="F432">
        <v>5.3001622739999998</v>
      </c>
      <c r="G432">
        <v>51.5</v>
      </c>
      <c r="H432">
        <v>1.1799999999999999E-6</v>
      </c>
      <c r="I432">
        <v>1.41</v>
      </c>
      <c r="J432">
        <v>20.5</v>
      </c>
      <c r="K432">
        <v>5.3372726249999998</v>
      </c>
      <c r="L432">
        <v>4.8089689999999997E-3</v>
      </c>
      <c r="M432">
        <v>25</v>
      </c>
      <c r="N432" t="s">
        <v>1590</v>
      </c>
      <c r="O432" t="s">
        <v>29</v>
      </c>
      <c r="Q432" t="s">
        <v>1590</v>
      </c>
      <c r="R432" t="s">
        <v>1590</v>
      </c>
      <c r="T432" t="s">
        <v>1590</v>
      </c>
      <c r="U432" t="s">
        <v>31</v>
      </c>
      <c r="V432" t="s">
        <v>31</v>
      </c>
      <c r="X432" t="s">
        <v>1594</v>
      </c>
      <c r="Y432" t="s">
        <v>1595</v>
      </c>
      <c r="Z432">
        <v>582.40107990000001</v>
      </c>
    </row>
    <row r="433" spans="1:26" hidden="1">
      <c r="A433">
        <v>432</v>
      </c>
      <c r="B433" t="s">
        <v>1596</v>
      </c>
      <c r="C433" t="s">
        <v>54</v>
      </c>
      <c r="D433" s="1" t="b">
        <v>0</v>
      </c>
      <c r="E433">
        <v>4.5000000000000003E-5</v>
      </c>
      <c r="F433">
        <v>4.3467874860000002</v>
      </c>
      <c r="G433">
        <v>41.5</v>
      </c>
      <c r="H433">
        <v>4.4599999999999996E-6</v>
      </c>
      <c r="I433">
        <v>3.39</v>
      </c>
      <c r="J433">
        <v>30.96</v>
      </c>
      <c r="K433">
        <v>6.14</v>
      </c>
      <c r="L433">
        <v>7.1900000000000002E-4</v>
      </c>
      <c r="M433">
        <v>25</v>
      </c>
      <c r="N433" t="s">
        <v>1006</v>
      </c>
      <c r="O433" t="s">
        <v>29</v>
      </c>
      <c r="Q433" t="s">
        <v>1006</v>
      </c>
      <c r="R433" t="s">
        <v>1006</v>
      </c>
      <c r="S433" t="s">
        <v>1006</v>
      </c>
      <c r="T433" t="s">
        <v>1006</v>
      </c>
      <c r="U433" t="s">
        <v>1006</v>
      </c>
      <c r="W433" t="s">
        <v>1597</v>
      </c>
      <c r="X433" t="s">
        <v>1598</v>
      </c>
      <c r="Y433" t="s">
        <v>1599</v>
      </c>
      <c r="Z433">
        <v>466.36899190000003</v>
      </c>
    </row>
    <row r="434" spans="1:26" hidden="1">
      <c r="A434">
        <v>433</v>
      </c>
      <c r="B434" t="s">
        <v>1600</v>
      </c>
      <c r="C434" t="s">
        <v>28</v>
      </c>
      <c r="D434" s="1" t="b">
        <v>0</v>
      </c>
      <c r="E434">
        <v>1.25E-3</v>
      </c>
      <c r="F434">
        <v>2.903089987</v>
      </c>
      <c r="G434">
        <v>38.200000000000003</v>
      </c>
      <c r="H434">
        <v>2.3099999999999999E-6</v>
      </c>
      <c r="I434">
        <v>0.84</v>
      </c>
      <c r="J434">
        <v>33.799999999999997</v>
      </c>
      <c r="K434">
        <v>3.59</v>
      </c>
      <c r="L434">
        <v>2.5700000000000001E-4</v>
      </c>
      <c r="M434">
        <v>25</v>
      </c>
      <c r="N434" t="s">
        <v>637</v>
      </c>
      <c r="O434" t="s">
        <v>29</v>
      </c>
      <c r="Q434" t="s">
        <v>637</v>
      </c>
      <c r="R434" t="s">
        <v>637</v>
      </c>
      <c r="T434" t="s">
        <v>637</v>
      </c>
      <c r="W434" t="s">
        <v>1601</v>
      </c>
      <c r="X434" t="s">
        <v>1602</v>
      </c>
      <c r="Y434" t="s">
        <v>1603</v>
      </c>
      <c r="Z434">
        <v>796.48045209999998</v>
      </c>
    </row>
    <row r="435" spans="1:26" hidden="1">
      <c r="A435">
        <v>434</v>
      </c>
      <c r="B435" t="s">
        <v>1604</v>
      </c>
      <c r="C435" t="s">
        <v>83</v>
      </c>
      <c r="D435" s="1" t="b">
        <v>0</v>
      </c>
      <c r="G435">
        <v>33.4</v>
      </c>
      <c r="O435" t="s">
        <v>29</v>
      </c>
      <c r="Q435" t="s">
        <v>312</v>
      </c>
      <c r="X435" t="s">
        <v>1605</v>
      </c>
      <c r="Y435" t="s">
        <v>1606</v>
      </c>
      <c r="Z435">
        <v>412.36649340000002</v>
      </c>
    </row>
    <row r="436" spans="1:26" hidden="1">
      <c r="A436">
        <v>435</v>
      </c>
      <c r="B436" t="s">
        <v>1607</v>
      </c>
      <c r="C436" t="s">
        <v>311</v>
      </c>
      <c r="D436" s="1" t="b">
        <v>0</v>
      </c>
      <c r="G436">
        <v>31.7</v>
      </c>
      <c r="O436" t="s">
        <v>29</v>
      </c>
      <c r="Q436" t="s">
        <v>312</v>
      </c>
      <c r="X436" t="s">
        <v>1608</v>
      </c>
      <c r="Y436" t="s">
        <v>1609</v>
      </c>
      <c r="Z436">
        <v>538.36517309999999</v>
      </c>
    </row>
    <row r="437" spans="1:26" hidden="1">
      <c r="A437">
        <v>436</v>
      </c>
      <c r="B437" t="s">
        <v>1610</v>
      </c>
      <c r="C437" t="s">
        <v>28</v>
      </c>
      <c r="D437" s="1" t="b">
        <v>0</v>
      </c>
      <c r="E437">
        <v>4.1980000000000001E-5</v>
      </c>
      <c r="F437">
        <v>4.3769575659999997</v>
      </c>
      <c r="M437">
        <v>25</v>
      </c>
      <c r="N437" t="s">
        <v>484</v>
      </c>
      <c r="X437" t="s">
        <v>1611</v>
      </c>
      <c r="Y437" t="s">
        <v>1612</v>
      </c>
      <c r="Z437">
        <v>900.47028130000001</v>
      </c>
    </row>
    <row r="438" spans="1:26" hidden="1">
      <c r="A438">
        <v>437</v>
      </c>
      <c r="B438" t="s">
        <v>1613</v>
      </c>
      <c r="C438" t="s">
        <v>54</v>
      </c>
      <c r="D438" s="1" t="b">
        <v>0</v>
      </c>
      <c r="G438">
        <v>33.5</v>
      </c>
      <c r="O438" t="s">
        <v>29</v>
      </c>
      <c r="Q438" t="s">
        <v>659</v>
      </c>
      <c r="X438" t="s">
        <v>1614</v>
      </c>
      <c r="Y438" t="s">
        <v>1615</v>
      </c>
      <c r="Z438">
        <v>645.31015109999998</v>
      </c>
    </row>
    <row r="439" spans="1:26" hidden="1">
      <c r="A439">
        <v>438</v>
      </c>
      <c r="B439" t="s">
        <v>1616</v>
      </c>
      <c r="C439" t="s">
        <v>28</v>
      </c>
      <c r="D439" s="1" t="b">
        <v>0</v>
      </c>
      <c r="G439">
        <v>45.2</v>
      </c>
      <c r="O439" t="s">
        <v>29</v>
      </c>
      <c r="Q439" t="s">
        <v>1075</v>
      </c>
      <c r="X439" t="s">
        <v>1617</v>
      </c>
      <c r="Y439" t="s">
        <v>1618</v>
      </c>
      <c r="Z439">
        <v>726.54442900000004</v>
      </c>
    </row>
    <row r="440" spans="1:26" hidden="1">
      <c r="A440">
        <v>439</v>
      </c>
      <c r="B440" t="s">
        <v>1619</v>
      </c>
      <c r="C440" t="s">
        <v>54</v>
      </c>
      <c r="D440" s="1" t="b">
        <v>0</v>
      </c>
      <c r="E440">
        <v>0.02</v>
      </c>
      <c r="F440">
        <v>1.698970004</v>
      </c>
      <c r="G440">
        <v>49</v>
      </c>
      <c r="H440">
        <v>7.9899999999999999E-7</v>
      </c>
      <c r="I440">
        <v>2.08</v>
      </c>
      <c r="J440">
        <v>26</v>
      </c>
      <c r="K440">
        <v>2.5850266519999998</v>
      </c>
      <c r="L440">
        <v>2.5999999999999999E-3</v>
      </c>
      <c r="M440">
        <v>25</v>
      </c>
      <c r="N440" t="s">
        <v>1082</v>
      </c>
      <c r="O440" t="s">
        <v>29</v>
      </c>
      <c r="Q440" t="s">
        <v>1082</v>
      </c>
      <c r="R440" t="s">
        <v>1082</v>
      </c>
      <c r="S440" t="s">
        <v>1082</v>
      </c>
      <c r="T440" t="s">
        <v>1082</v>
      </c>
      <c r="V440" t="s">
        <v>1082</v>
      </c>
      <c r="X440" t="s">
        <v>1620</v>
      </c>
      <c r="Y440" t="s">
        <v>1621</v>
      </c>
      <c r="Z440">
        <v>603.36509220000005</v>
      </c>
    </row>
    <row r="441" spans="1:26" hidden="1">
      <c r="A441">
        <v>440</v>
      </c>
      <c r="B441" t="s">
        <v>1622</v>
      </c>
      <c r="C441" t="s">
        <v>28</v>
      </c>
      <c r="D441" s="1" t="b">
        <v>0</v>
      </c>
      <c r="E441">
        <v>2.5000000000000001E-3</v>
      </c>
      <c r="F441">
        <v>2.602059991</v>
      </c>
      <c r="G441">
        <v>46</v>
      </c>
      <c r="H441">
        <v>4.1800000000000001E-7</v>
      </c>
      <c r="I441">
        <v>3.97</v>
      </c>
      <c r="J441">
        <v>26</v>
      </c>
      <c r="K441">
        <v>3.677780705</v>
      </c>
      <c r="L441">
        <v>2.1000000000000001E-4</v>
      </c>
      <c r="M441">
        <v>25</v>
      </c>
      <c r="N441" t="s">
        <v>1082</v>
      </c>
      <c r="O441" t="s">
        <v>29</v>
      </c>
      <c r="Q441" t="s">
        <v>1082</v>
      </c>
      <c r="R441" t="s">
        <v>1082</v>
      </c>
      <c r="S441" t="s">
        <v>1082</v>
      </c>
      <c r="T441" t="s">
        <v>1082</v>
      </c>
      <c r="V441" t="s">
        <v>1082</v>
      </c>
      <c r="X441" t="s">
        <v>1623</v>
      </c>
      <c r="Y441" t="s">
        <v>1624</v>
      </c>
      <c r="Z441">
        <v>1064.5580339999999</v>
      </c>
    </row>
    <row r="442" spans="1:26" hidden="1">
      <c r="A442">
        <v>441</v>
      </c>
      <c r="B442" t="s">
        <v>1625</v>
      </c>
      <c r="C442" t="s">
        <v>28</v>
      </c>
      <c r="D442" s="1" t="b">
        <v>0</v>
      </c>
      <c r="E442">
        <v>0.01</v>
      </c>
      <c r="F442">
        <v>2</v>
      </c>
      <c r="G442">
        <v>44</v>
      </c>
      <c r="H442">
        <v>4.6100000000000001E-7</v>
      </c>
      <c r="I442">
        <v>3.6</v>
      </c>
      <c r="J442">
        <v>28</v>
      </c>
      <c r="K442">
        <v>3.2676062400000001</v>
      </c>
      <c r="L442">
        <v>5.4000000000000001E-4</v>
      </c>
      <c r="M442">
        <v>25</v>
      </c>
      <c r="N442" t="s">
        <v>1082</v>
      </c>
      <c r="O442" t="s">
        <v>29</v>
      </c>
      <c r="Q442" t="s">
        <v>1082</v>
      </c>
      <c r="R442" t="s">
        <v>1082</v>
      </c>
      <c r="S442" t="s">
        <v>1082</v>
      </c>
      <c r="T442" t="s">
        <v>1082</v>
      </c>
      <c r="V442" t="s">
        <v>1082</v>
      </c>
      <c r="X442" t="s">
        <v>1626</v>
      </c>
      <c r="Y442" t="s">
        <v>1627</v>
      </c>
      <c r="Z442">
        <v>1008.495433</v>
      </c>
    </row>
    <row r="443" spans="1:26" hidden="1">
      <c r="A443">
        <v>442</v>
      </c>
      <c r="B443" t="s">
        <v>1628</v>
      </c>
      <c r="C443" t="s">
        <v>134</v>
      </c>
      <c r="D443" s="13" t="b">
        <v>0</v>
      </c>
      <c r="E443">
        <v>2.3500000000000001E-3</v>
      </c>
      <c r="F443">
        <v>2.6289321380000001</v>
      </c>
      <c r="H443">
        <v>4.7399999999999998E-7</v>
      </c>
      <c r="I443">
        <v>3.5</v>
      </c>
      <c r="M443">
        <v>25</v>
      </c>
      <c r="N443" t="s">
        <v>179</v>
      </c>
      <c r="P443" t="s">
        <v>180</v>
      </c>
      <c r="T443" t="s">
        <v>289</v>
      </c>
      <c r="W443" t="s">
        <v>1629</v>
      </c>
      <c r="X443" t="s">
        <v>1630</v>
      </c>
      <c r="Y443" t="s">
        <v>1631</v>
      </c>
      <c r="Z443">
        <v>358.21537489999997</v>
      </c>
    </row>
    <row r="444" spans="1:26" hidden="1">
      <c r="A444">
        <v>443</v>
      </c>
      <c r="B444" t="s">
        <v>1632</v>
      </c>
      <c r="C444" t="s">
        <v>134</v>
      </c>
      <c r="D444" s="13" t="b">
        <v>0</v>
      </c>
      <c r="E444">
        <v>3.8020000000000003E-4</v>
      </c>
      <c r="F444">
        <v>3.419987887</v>
      </c>
      <c r="M444">
        <v>25</v>
      </c>
      <c r="N444" t="s">
        <v>179</v>
      </c>
      <c r="W444" t="s">
        <v>1633</v>
      </c>
      <c r="X444" t="s">
        <v>1634</v>
      </c>
      <c r="Y444" t="s">
        <v>1635</v>
      </c>
      <c r="Z444">
        <v>372.23102490000002</v>
      </c>
    </row>
    <row r="445" spans="1:26" hidden="1">
      <c r="A445">
        <v>444</v>
      </c>
      <c r="B445" t="s">
        <v>1636</v>
      </c>
      <c r="C445" t="s">
        <v>134</v>
      </c>
      <c r="D445" s="13" t="b">
        <v>0</v>
      </c>
      <c r="E445">
        <v>1.2E-4</v>
      </c>
      <c r="F445">
        <v>3.9208187539999999</v>
      </c>
      <c r="M445">
        <v>25</v>
      </c>
      <c r="N445" t="s">
        <v>179</v>
      </c>
      <c r="P445" t="s">
        <v>211</v>
      </c>
      <c r="X445" t="s">
        <v>1637</v>
      </c>
      <c r="Y445" t="s">
        <v>1638</v>
      </c>
      <c r="Z445">
        <v>553.25327649999997</v>
      </c>
    </row>
    <row r="446" spans="1:26">
      <c r="A446">
        <v>445</v>
      </c>
      <c r="B446" s="2" t="s">
        <v>1639</v>
      </c>
      <c r="C446" t="s">
        <v>83</v>
      </c>
      <c r="D446" s="1" t="b">
        <v>1</v>
      </c>
      <c r="E446">
        <v>1.66E-6</v>
      </c>
      <c r="F446">
        <v>5.7798919120000001</v>
      </c>
      <c r="G446">
        <v>32</v>
      </c>
      <c r="H446">
        <v>4.4000000000000002E-6</v>
      </c>
      <c r="I446">
        <v>0.38</v>
      </c>
      <c r="J446">
        <v>40</v>
      </c>
      <c r="K446">
        <v>6.58</v>
      </c>
      <c r="L446">
        <v>2.6300000000000001E-7</v>
      </c>
      <c r="M446">
        <v>25</v>
      </c>
      <c r="N446" t="s">
        <v>135</v>
      </c>
      <c r="O446" t="s">
        <v>137</v>
      </c>
      <c r="R446" t="s">
        <v>137</v>
      </c>
      <c r="S446" t="s">
        <v>137</v>
      </c>
      <c r="X446" t="s">
        <v>1640</v>
      </c>
      <c r="Y446" t="s">
        <v>1641</v>
      </c>
      <c r="Z446">
        <v>506.41825419999998</v>
      </c>
    </row>
    <row r="447" spans="1:26">
      <c r="A447">
        <v>446</v>
      </c>
      <c r="B447" s="2" t="s">
        <v>1642</v>
      </c>
      <c r="C447" t="s">
        <v>83</v>
      </c>
      <c r="D447" s="1" t="b">
        <v>1</v>
      </c>
      <c r="E447">
        <v>1.7E-6</v>
      </c>
      <c r="F447">
        <v>5.7695510790000002</v>
      </c>
      <c r="G447">
        <v>33</v>
      </c>
      <c r="H447">
        <v>3.8E-6</v>
      </c>
      <c r="I447">
        <v>0.44</v>
      </c>
      <c r="J447">
        <v>39</v>
      </c>
      <c r="K447">
        <v>6.69</v>
      </c>
      <c r="L447">
        <v>2.05E-7</v>
      </c>
      <c r="M447">
        <v>25</v>
      </c>
      <c r="N447" t="s">
        <v>135</v>
      </c>
      <c r="O447" t="s">
        <v>137</v>
      </c>
      <c r="R447" t="s">
        <v>137</v>
      </c>
      <c r="S447" t="s">
        <v>137</v>
      </c>
      <c r="X447" t="s">
        <v>1643</v>
      </c>
      <c r="Y447" t="s">
        <v>1644</v>
      </c>
      <c r="Z447">
        <v>550.44446889999995</v>
      </c>
    </row>
    <row r="448" spans="1:26" hidden="1">
      <c r="A448">
        <v>447</v>
      </c>
      <c r="B448" t="s">
        <v>1645</v>
      </c>
      <c r="C448" t="s">
        <v>134</v>
      </c>
      <c r="D448" s="13" t="b">
        <v>0</v>
      </c>
      <c r="E448">
        <v>2.3550000000000001E-4</v>
      </c>
      <c r="F448">
        <v>3.6280090889999999</v>
      </c>
      <c r="M448">
        <v>25</v>
      </c>
      <c r="N448" t="s">
        <v>179</v>
      </c>
      <c r="P448" t="s">
        <v>211</v>
      </c>
      <c r="X448" t="s">
        <v>1646</v>
      </c>
      <c r="Y448" t="s">
        <v>1647</v>
      </c>
      <c r="Z448">
        <v>432.25215429999997</v>
      </c>
    </row>
    <row r="449" spans="1:26" hidden="1">
      <c r="A449">
        <v>448</v>
      </c>
      <c r="B449" t="s">
        <v>1648</v>
      </c>
      <c r="C449" t="s">
        <v>28</v>
      </c>
      <c r="D449" s="1" t="b">
        <v>0</v>
      </c>
      <c r="G449">
        <v>30.9</v>
      </c>
      <c r="O449" t="s">
        <v>29</v>
      </c>
      <c r="Q449" t="s">
        <v>464</v>
      </c>
      <c r="X449" t="s">
        <v>1649</v>
      </c>
      <c r="Y449" t="s">
        <v>1650</v>
      </c>
      <c r="Z449">
        <v>974.67506949999995</v>
      </c>
    </row>
    <row r="450" spans="1:26" hidden="1">
      <c r="A450">
        <v>449</v>
      </c>
      <c r="B450" t="s">
        <v>1651</v>
      </c>
      <c r="C450" t="s">
        <v>311</v>
      </c>
      <c r="D450" s="1" t="b">
        <v>0</v>
      </c>
      <c r="G450">
        <v>36.4</v>
      </c>
      <c r="O450" t="s">
        <v>29</v>
      </c>
      <c r="Q450" t="s">
        <v>1232</v>
      </c>
      <c r="X450" t="s">
        <v>1652</v>
      </c>
      <c r="Y450" t="s">
        <v>1653</v>
      </c>
      <c r="Z450">
        <v>386.31445780000001</v>
      </c>
    </row>
    <row r="451" spans="1:26" hidden="1">
      <c r="A451">
        <v>450</v>
      </c>
      <c r="B451" t="s">
        <v>1654</v>
      </c>
      <c r="C451" t="s">
        <v>83</v>
      </c>
      <c r="D451" s="1" t="b">
        <v>0</v>
      </c>
      <c r="E451">
        <v>3.2809999999999999E-5</v>
      </c>
      <c r="F451">
        <v>4.4839937699999997</v>
      </c>
      <c r="M451">
        <v>25</v>
      </c>
      <c r="N451" t="s">
        <v>207</v>
      </c>
      <c r="X451" t="s">
        <v>1655</v>
      </c>
      <c r="Y451" t="s">
        <v>1656</v>
      </c>
      <c r="Z451">
        <v>578.40299809999999</v>
      </c>
    </row>
    <row r="452" spans="1:26" hidden="1">
      <c r="A452">
        <v>451</v>
      </c>
      <c r="B452" t="s">
        <v>1657</v>
      </c>
      <c r="C452" t="s">
        <v>83</v>
      </c>
      <c r="D452" s="1" t="b">
        <v>0</v>
      </c>
      <c r="E452">
        <v>2.7419999999999998E-5</v>
      </c>
      <c r="F452">
        <v>4.5619325499999999</v>
      </c>
      <c r="M452">
        <v>25</v>
      </c>
      <c r="N452" t="s">
        <v>207</v>
      </c>
      <c r="X452" t="s">
        <v>1658</v>
      </c>
      <c r="Y452" t="s">
        <v>1659</v>
      </c>
      <c r="Z452">
        <v>726.47655689999999</v>
      </c>
    </row>
    <row r="453" spans="1:26" hidden="1">
      <c r="A453">
        <v>452</v>
      </c>
      <c r="B453" t="s">
        <v>1660</v>
      </c>
      <c r="C453" t="s">
        <v>83</v>
      </c>
      <c r="D453" s="1" t="b">
        <v>0</v>
      </c>
      <c r="E453">
        <v>2.109E-5</v>
      </c>
      <c r="F453">
        <v>4.6759234200000002</v>
      </c>
      <c r="M453">
        <v>25</v>
      </c>
      <c r="N453" t="s">
        <v>207</v>
      </c>
      <c r="X453" t="s">
        <v>1661</v>
      </c>
      <c r="Y453" t="s">
        <v>1662</v>
      </c>
      <c r="Z453">
        <v>1022.623675</v>
      </c>
    </row>
    <row r="454" spans="1:26" hidden="1">
      <c r="A454">
        <v>453</v>
      </c>
      <c r="B454" t="s">
        <v>1663</v>
      </c>
      <c r="C454" t="s">
        <v>28</v>
      </c>
      <c r="D454" s="1" t="b">
        <v>0</v>
      </c>
      <c r="E454">
        <v>5.6199999999999997E-5</v>
      </c>
      <c r="F454">
        <v>4.2502636840000001</v>
      </c>
      <c r="G454">
        <v>37.5</v>
      </c>
      <c r="H454">
        <v>1.3799999999999999E-6</v>
      </c>
      <c r="I454">
        <v>1.2</v>
      </c>
      <c r="J454">
        <v>34.5</v>
      </c>
      <c r="K454">
        <v>4.68</v>
      </c>
      <c r="L454">
        <v>2.09E-5</v>
      </c>
      <c r="M454">
        <v>25</v>
      </c>
      <c r="N454" t="s">
        <v>479</v>
      </c>
      <c r="O454" t="s">
        <v>29</v>
      </c>
      <c r="Q454" t="s">
        <v>479</v>
      </c>
      <c r="R454" t="s">
        <v>479</v>
      </c>
      <c r="T454" t="s">
        <v>479</v>
      </c>
      <c r="U454" t="s">
        <v>479</v>
      </c>
      <c r="V454" t="s">
        <v>479</v>
      </c>
      <c r="W454" t="s">
        <v>1664</v>
      </c>
      <c r="X454" t="s">
        <v>1665</v>
      </c>
      <c r="Y454" t="s">
        <v>1666</v>
      </c>
      <c r="Z454">
        <v>836.70159839999997</v>
      </c>
    </row>
    <row r="455" spans="1:26" hidden="1">
      <c r="A455">
        <v>454</v>
      </c>
      <c r="B455" t="s">
        <v>1667</v>
      </c>
      <c r="C455" t="s">
        <v>54</v>
      </c>
      <c r="D455" s="1" t="b">
        <v>0</v>
      </c>
      <c r="G455">
        <v>42.2</v>
      </c>
      <c r="O455" t="s">
        <v>29</v>
      </c>
      <c r="Q455" t="s">
        <v>795</v>
      </c>
      <c r="X455" t="s">
        <v>1668</v>
      </c>
      <c r="Y455" t="s">
        <v>1669</v>
      </c>
      <c r="Z455">
        <v>466.36899190000003</v>
      </c>
    </row>
    <row r="456" spans="1:26" hidden="1">
      <c r="A456">
        <v>455</v>
      </c>
      <c r="B456" t="s">
        <v>1670</v>
      </c>
      <c r="C456" t="s">
        <v>28</v>
      </c>
      <c r="D456" s="1" t="b">
        <v>0</v>
      </c>
      <c r="E456">
        <v>3.5970000000000003E-5</v>
      </c>
      <c r="F456">
        <v>4.4440595619999996</v>
      </c>
      <c r="M456">
        <v>25</v>
      </c>
      <c r="N456" t="s">
        <v>484</v>
      </c>
      <c r="X456" t="s">
        <v>1671</v>
      </c>
      <c r="Y456" t="s">
        <v>1672</v>
      </c>
      <c r="Z456">
        <v>950.51108350000004</v>
      </c>
    </row>
    <row r="457" spans="1:26" hidden="1">
      <c r="A457">
        <v>456</v>
      </c>
      <c r="B457" t="s">
        <v>1673</v>
      </c>
      <c r="C457" t="s">
        <v>28</v>
      </c>
      <c r="D457" s="1" t="b">
        <v>0</v>
      </c>
      <c r="E457">
        <v>5.4950000000000001E-5</v>
      </c>
      <c r="F457">
        <v>4.260032303</v>
      </c>
      <c r="M457">
        <v>25</v>
      </c>
      <c r="N457" t="s">
        <v>484</v>
      </c>
      <c r="P457" t="s">
        <v>648</v>
      </c>
      <c r="X457" t="s">
        <v>1674</v>
      </c>
      <c r="Y457" t="s">
        <v>1675</v>
      </c>
      <c r="Z457">
        <v>862.61211470000001</v>
      </c>
    </row>
    <row r="458" spans="1:26" hidden="1">
      <c r="A458">
        <v>457</v>
      </c>
      <c r="B458" t="s">
        <v>1676</v>
      </c>
      <c r="C458" t="s">
        <v>134</v>
      </c>
      <c r="D458" s="13" t="b">
        <v>0</v>
      </c>
      <c r="E458">
        <v>1.8E-3</v>
      </c>
      <c r="F458">
        <v>2.7447274949999998</v>
      </c>
      <c r="M458">
        <v>35</v>
      </c>
      <c r="N458" t="s">
        <v>179</v>
      </c>
      <c r="P458" t="s">
        <v>498</v>
      </c>
      <c r="X458" t="s">
        <v>1677</v>
      </c>
      <c r="Y458" t="s">
        <v>1678</v>
      </c>
      <c r="Z458">
        <v>308.21176200000002</v>
      </c>
    </row>
    <row r="459" spans="1:26" hidden="1">
      <c r="A459">
        <v>458</v>
      </c>
      <c r="B459" t="s">
        <v>1679</v>
      </c>
      <c r="C459" t="s">
        <v>134</v>
      </c>
      <c r="D459" s="13" t="b">
        <v>0</v>
      </c>
      <c r="E459">
        <v>4.4979999999999998E-4</v>
      </c>
      <c r="F459">
        <v>3.346980549</v>
      </c>
      <c r="H459">
        <v>4.5200000000000002E-7</v>
      </c>
      <c r="I459">
        <v>3.67</v>
      </c>
      <c r="M459">
        <v>25</v>
      </c>
      <c r="N459" t="s">
        <v>179</v>
      </c>
      <c r="P459" t="s">
        <v>180</v>
      </c>
      <c r="T459" t="s">
        <v>289</v>
      </c>
      <c r="W459" t="s">
        <v>1680</v>
      </c>
      <c r="X459" t="s">
        <v>1681</v>
      </c>
      <c r="Y459" t="s">
        <v>1682</v>
      </c>
      <c r="Z459">
        <v>372.23102490000002</v>
      </c>
    </row>
    <row r="460" spans="1:26" hidden="1">
      <c r="A460">
        <v>459</v>
      </c>
      <c r="B460" t="s">
        <v>1683</v>
      </c>
      <c r="C460" t="s">
        <v>134</v>
      </c>
      <c r="D460" s="13" t="b">
        <v>0</v>
      </c>
      <c r="E460">
        <v>2.7160000000000001E-3</v>
      </c>
      <c r="F460">
        <v>2.5660702340000001</v>
      </c>
      <c r="M460">
        <v>25</v>
      </c>
      <c r="N460" t="s">
        <v>179</v>
      </c>
      <c r="X460" t="s">
        <v>1684</v>
      </c>
      <c r="Y460" t="s">
        <v>1685</v>
      </c>
      <c r="Z460">
        <v>428.25723970000001</v>
      </c>
    </row>
    <row r="461" spans="1:26" hidden="1">
      <c r="A461">
        <v>460</v>
      </c>
      <c r="B461" t="s">
        <v>1686</v>
      </c>
      <c r="C461" t="s">
        <v>134</v>
      </c>
      <c r="D461" s="13" t="b">
        <v>0</v>
      </c>
      <c r="E461">
        <v>1.2619999999999999E-5</v>
      </c>
      <c r="F461">
        <v>4.8989406449999997</v>
      </c>
      <c r="M461">
        <v>25</v>
      </c>
      <c r="N461" t="s">
        <v>179</v>
      </c>
      <c r="X461" t="s">
        <v>1687</v>
      </c>
      <c r="Y461" t="s">
        <v>1688</v>
      </c>
      <c r="Z461">
        <v>414.2415896</v>
      </c>
    </row>
    <row r="462" spans="1:26" hidden="1">
      <c r="A462">
        <v>461</v>
      </c>
      <c r="B462" t="s">
        <v>1689</v>
      </c>
      <c r="C462" t="s">
        <v>134</v>
      </c>
      <c r="D462" s="13" t="b">
        <v>0</v>
      </c>
      <c r="E462">
        <v>2.6979999999999999E-5</v>
      </c>
      <c r="F462">
        <v>4.5689580550000004</v>
      </c>
      <c r="M462">
        <v>25</v>
      </c>
      <c r="N462" t="s">
        <v>179</v>
      </c>
      <c r="X462" t="s">
        <v>1690</v>
      </c>
      <c r="Y462" t="s">
        <v>1691</v>
      </c>
      <c r="Z462">
        <v>428.25723970000001</v>
      </c>
    </row>
    <row r="463" spans="1:26" hidden="1">
      <c r="A463">
        <v>462</v>
      </c>
      <c r="B463" t="s">
        <v>1692</v>
      </c>
      <c r="C463" t="s">
        <v>134</v>
      </c>
      <c r="D463" s="13" t="b">
        <v>0</v>
      </c>
      <c r="E463">
        <v>7.8339999999999999E-5</v>
      </c>
      <c r="F463">
        <v>4.1060164329999997</v>
      </c>
      <c r="M463">
        <v>25</v>
      </c>
      <c r="N463" t="s">
        <v>179</v>
      </c>
      <c r="X463" t="s">
        <v>1693</v>
      </c>
      <c r="Y463" t="s">
        <v>1694</v>
      </c>
      <c r="Z463">
        <v>400.2259396</v>
      </c>
    </row>
    <row r="464" spans="1:26" hidden="1">
      <c r="A464">
        <v>463</v>
      </c>
      <c r="B464" t="s">
        <v>1695</v>
      </c>
      <c r="C464" t="s">
        <v>134</v>
      </c>
      <c r="D464" s="13" t="b">
        <v>0</v>
      </c>
      <c r="E464">
        <v>1.7990000000000001E-4</v>
      </c>
      <c r="F464">
        <v>3.7449688370000001</v>
      </c>
      <c r="M464">
        <v>25</v>
      </c>
      <c r="N464" t="s">
        <v>179</v>
      </c>
      <c r="W464" t="s">
        <v>1696</v>
      </c>
      <c r="X464" t="s">
        <v>1697</v>
      </c>
      <c r="Y464" t="s">
        <v>1698</v>
      </c>
      <c r="Z464">
        <v>354.22046030000001</v>
      </c>
    </row>
    <row r="465" spans="1:26" hidden="1">
      <c r="A465">
        <v>464</v>
      </c>
      <c r="B465" t="s">
        <v>1699</v>
      </c>
      <c r="C465" t="s">
        <v>161</v>
      </c>
      <c r="D465" s="1" t="b">
        <v>0</v>
      </c>
      <c r="E465">
        <v>5.6200000000000004E-6</v>
      </c>
      <c r="F465">
        <v>5.2502636840000001</v>
      </c>
      <c r="G465">
        <v>35.700000000000003</v>
      </c>
      <c r="H465">
        <v>3.32E-6</v>
      </c>
      <c r="I465">
        <v>0.499</v>
      </c>
      <c r="J465">
        <v>36.270000000000003</v>
      </c>
      <c r="K465">
        <v>5.95</v>
      </c>
      <c r="L465">
        <v>2.6058409999999998E-3</v>
      </c>
      <c r="M465">
        <v>25</v>
      </c>
      <c r="N465" t="s">
        <v>632</v>
      </c>
      <c r="O465" t="s">
        <v>632</v>
      </c>
      <c r="R465" t="s">
        <v>632</v>
      </c>
      <c r="S465" t="s">
        <v>31</v>
      </c>
      <c r="U465" t="s">
        <v>632</v>
      </c>
      <c r="V465" t="s">
        <v>31</v>
      </c>
      <c r="W465" t="s">
        <v>1700</v>
      </c>
      <c r="X465" t="s">
        <v>1701</v>
      </c>
      <c r="Y465" t="s">
        <v>1702</v>
      </c>
      <c r="Z465">
        <v>625.40372630000002</v>
      </c>
    </row>
    <row r="466" spans="1:26" hidden="1">
      <c r="A466">
        <v>465</v>
      </c>
      <c r="B466" t="s">
        <v>1703</v>
      </c>
      <c r="C466" t="s">
        <v>54</v>
      </c>
      <c r="D466" s="1" t="b">
        <v>0</v>
      </c>
      <c r="E466">
        <v>5.0100000000000005E-7</v>
      </c>
      <c r="F466">
        <v>6.3001622739999998</v>
      </c>
      <c r="G466">
        <v>35.9</v>
      </c>
      <c r="H466">
        <v>2.1799999999999999E-6</v>
      </c>
      <c r="I466">
        <v>0.76</v>
      </c>
      <c r="J466">
        <v>36.1</v>
      </c>
      <c r="K466">
        <v>6.946971864</v>
      </c>
      <c r="L466">
        <v>9.6154200000000002E-4</v>
      </c>
      <c r="M466">
        <v>25</v>
      </c>
      <c r="N466" t="s">
        <v>1590</v>
      </c>
      <c r="O466" t="s">
        <v>29</v>
      </c>
      <c r="Q466" t="s">
        <v>1590</v>
      </c>
      <c r="R466" t="s">
        <v>1590</v>
      </c>
      <c r="T466" t="s">
        <v>1590</v>
      </c>
      <c r="U466" t="s">
        <v>31</v>
      </c>
      <c r="V466" t="s">
        <v>31</v>
      </c>
      <c r="X466" t="s">
        <v>1704</v>
      </c>
      <c r="Y466" t="s">
        <v>1705</v>
      </c>
      <c r="Z466">
        <v>640.4429447</v>
      </c>
    </row>
    <row r="467" spans="1:26" hidden="1">
      <c r="A467">
        <v>466</v>
      </c>
      <c r="B467" t="s">
        <v>1706</v>
      </c>
      <c r="C467" t="s">
        <v>54</v>
      </c>
      <c r="D467" s="1" t="b">
        <v>0</v>
      </c>
      <c r="E467">
        <v>5.2499999999999997E-6</v>
      </c>
      <c r="F467">
        <v>5.279840697</v>
      </c>
      <c r="G467">
        <v>47.8</v>
      </c>
      <c r="H467">
        <v>1.06E-6</v>
      </c>
      <c r="I467">
        <v>1.57</v>
      </c>
      <c r="J467">
        <v>24.2</v>
      </c>
      <c r="K467">
        <v>5.6268574899999999</v>
      </c>
      <c r="L467">
        <v>3.5998699999999998E-3</v>
      </c>
      <c r="M467">
        <v>25</v>
      </c>
      <c r="N467" t="s">
        <v>1590</v>
      </c>
      <c r="O467" t="s">
        <v>29</v>
      </c>
      <c r="Q467" t="s">
        <v>1590</v>
      </c>
      <c r="R467" t="s">
        <v>1590</v>
      </c>
      <c r="T467" t="s">
        <v>1590</v>
      </c>
      <c r="U467" t="s">
        <v>31</v>
      </c>
      <c r="V467" t="s">
        <v>31</v>
      </c>
      <c r="X467" t="s">
        <v>1707</v>
      </c>
      <c r="Y467" t="s">
        <v>1708</v>
      </c>
      <c r="Z467">
        <v>610.43237999999997</v>
      </c>
    </row>
    <row r="468" spans="1:26" hidden="1">
      <c r="A468">
        <v>467</v>
      </c>
      <c r="B468" t="s">
        <v>1709</v>
      </c>
      <c r="C468" t="s">
        <v>83</v>
      </c>
      <c r="D468" s="1" t="b">
        <v>0</v>
      </c>
      <c r="G468">
        <v>29</v>
      </c>
      <c r="O468" t="s">
        <v>29</v>
      </c>
      <c r="Q468" t="s">
        <v>312</v>
      </c>
      <c r="X468" t="s">
        <v>1710</v>
      </c>
      <c r="Y468" t="s">
        <v>1711</v>
      </c>
      <c r="Z468">
        <v>440.39779349999998</v>
      </c>
    </row>
    <row r="469" spans="1:26" hidden="1">
      <c r="A469">
        <v>468</v>
      </c>
      <c r="B469" t="s">
        <v>1712</v>
      </c>
      <c r="C469" t="s">
        <v>311</v>
      </c>
      <c r="D469" s="1" t="b">
        <v>0</v>
      </c>
      <c r="G469">
        <v>35.799999999999997</v>
      </c>
      <c r="O469" t="s">
        <v>29</v>
      </c>
      <c r="Q469" t="s">
        <v>312</v>
      </c>
      <c r="X469" t="s">
        <v>1713</v>
      </c>
      <c r="Y469" t="s">
        <v>1714</v>
      </c>
      <c r="Z469">
        <v>566.39647319999995</v>
      </c>
    </row>
    <row r="470" spans="1:26" hidden="1">
      <c r="A470">
        <v>469</v>
      </c>
      <c r="B470" t="s">
        <v>1715</v>
      </c>
      <c r="C470" t="s">
        <v>54</v>
      </c>
      <c r="D470" s="1" t="b">
        <v>0</v>
      </c>
      <c r="G470">
        <v>39.700000000000003</v>
      </c>
      <c r="O470" t="s">
        <v>29</v>
      </c>
      <c r="Q470" t="s">
        <v>659</v>
      </c>
      <c r="X470" t="s">
        <v>1716</v>
      </c>
      <c r="Y470" t="s">
        <v>1717</v>
      </c>
      <c r="Z470">
        <v>673.34145130000002</v>
      </c>
    </row>
    <row r="471" spans="1:26" hidden="1">
      <c r="A471">
        <v>470</v>
      </c>
      <c r="B471" t="s">
        <v>1718</v>
      </c>
      <c r="C471" t="s">
        <v>83</v>
      </c>
      <c r="D471" s="1" t="b">
        <v>0</v>
      </c>
      <c r="E471">
        <v>2.2390000000000001E-5</v>
      </c>
      <c r="F471">
        <v>4.6499459060000001</v>
      </c>
      <c r="M471">
        <v>25</v>
      </c>
      <c r="N471" t="s">
        <v>207</v>
      </c>
      <c r="X471" t="s">
        <v>1719</v>
      </c>
      <c r="Y471" t="s">
        <v>1720</v>
      </c>
      <c r="Z471">
        <v>608.44994819999999</v>
      </c>
    </row>
    <row r="472" spans="1:26" hidden="1">
      <c r="A472">
        <v>471</v>
      </c>
      <c r="B472" t="s">
        <v>1721</v>
      </c>
      <c r="C472" t="s">
        <v>83</v>
      </c>
      <c r="D472" s="1" t="b">
        <v>0</v>
      </c>
      <c r="E472">
        <v>2.7990000000000001E-5</v>
      </c>
      <c r="F472">
        <v>4.552997102</v>
      </c>
      <c r="M472">
        <v>25</v>
      </c>
      <c r="N472" t="s">
        <v>207</v>
      </c>
      <c r="X472" t="s">
        <v>1722</v>
      </c>
      <c r="Y472" t="s">
        <v>1723</v>
      </c>
      <c r="Z472">
        <v>756.52350709999996</v>
      </c>
    </row>
    <row r="473" spans="1:26">
      <c r="A473">
        <v>472</v>
      </c>
      <c r="B473" t="s">
        <v>1724</v>
      </c>
      <c r="C473" t="s">
        <v>83</v>
      </c>
      <c r="D473" s="1" t="b">
        <v>1</v>
      </c>
      <c r="E473">
        <v>2.0999999999999999E-5</v>
      </c>
      <c r="F473">
        <v>4.677780705</v>
      </c>
      <c r="M473" s="2">
        <v>25</v>
      </c>
      <c r="N473" t="s">
        <v>121</v>
      </c>
      <c r="W473" t="s">
        <v>1725</v>
      </c>
      <c r="X473" t="s">
        <v>1726</v>
      </c>
      <c r="Y473" t="s">
        <v>1727</v>
      </c>
      <c r="Z473">
        <v>606.43429819999994</v>
      </c>
    </row>
    <row r="474" spans="1:26">
      <c r="A474">
        <v>473</v>
      </c>
      <c r="B474" t="s">
        <v>1728</v>
      </c>
      <c r="C474" t="s">
        <v>83</v>
      </c>
      <c r="D474" s="1" t="b">
        <v>1</v>
      </c>
      <c r="E474">
        <v>3.7300000000000001E-4</v>
      </c>
      <c r="F474">
        <v>3.4282911679999999</v>
      </c>
      <c r="M474" s="2">
        <v>25</v>
      </c>
      <c r="N474" t="s">
        <v>121</v>
      </c>
      <c r="W474" t="s">
        <v>1729</v>
      </c>
      <c r="X474" t="s">
        <v>1730</v>
      </c>
      <c r="Y474" t="s">
        <v>1731</v>
      </c>
      <c r="Z474">
        <v>636.48124840000003</v>
      </c>
    </row>
    <row r="475" spans="1:26" hidden="1">
      <c r="A475">
        <v>474</v>
      </c>
      <c r="B475" t="s">
        <v>1732</v>
      </c>
      <c r="C475" t="s">
        <v>311</v>
      </c>
      <c r="D475" s="1" t="b">
        <v>0</v>
      </c>
      <c r="G475">
        <v>30</v>
      </c>
      <c r="O475" t="s">
        <v>29</v>
      </c>
      <c r="Q475" t="s">
        <v>1733</v>
      </c>
      <c r="X475" t="s">
        <v>1734</v>
      </c>
      <c r="Y475" t="s">
        <v>1735</v>
      </c>
      <c r="Z475">
        <v>807.62580439999999</v>
      </c>
    </row>
    <row r="476" spans="1:26" hidden="1">
      <c r="A476">
        <v>475</v>
      </c>
      <c r="B476" t="s">
        <v>1736</v>
      </c>
      <c r="C476" t="s">
        <v>54</v>
      </c>
      <c r="D476" s="1" t="b">
        <v>0</v>
      </c>
      <c r="E476">
        <v>1.4999999999999999E-2</v>
      </c>
      <c r="F476">
        <v>1.8239087409999999</v>
      </c>
      <c r="G476">
        <v>47</v>
      </c>
      <c r="H476">
        <v>8.7300000000000005E-7</v>
      </c>
      <c r="I476">
        <v>1.9</v>
      </c>
      <c r="J476">
        <v>23</v>
      </c>
      <c r="K476">
        <v>2.2218487499999999</v>
      </c>
      <c r="L476">
        <v>6.0000000000000001E-3</v>
      </c>
      <c r="M476">
        <v>25</v>
      </c>
      <c r="N476" t="s">
        <v>1082</v>
      </c>
      <c r="O476" t="s">
        <v>29</v>
      </c>
      <c r="Q476" t="s">
        <v>1082</v>
      </c>
      <c r="R476" t="s">
        <v>1082</v>
      </c>
      <c r="S476" t="s">
        <v>1082</v>
      </c>
      <c r="T476" t="s">
        <v>1082</v>
      </c>
      <c r="V476" t="s">
        <v>1082</v>
      </c>
      <c r="X476" t="s">
        <v>1737</v>
      </c>
      <c r="Y476" t="s">
        <v>1738</v>
      </c>
      <c r="Z476">
        <v>631.3963923</v>
      </c>
    </row>
    <row r="477" spans="1:26" hidden="1">
      <c r="A477">
        <v>476</v>
      </c>
      <c r="B477" t="s">
        <v>1739</v>
      </c>
      <c r="C477" t="s">
        <v>28</v>
      </c>
      <c r="D477" s="1" t="b">
        <v>0</v>
      </c>
      <c r="E477">
        <v>2.0000000000000001E-4</v>
      </c>
      <c r="F477">
        <v>3.698970004</v>
      </c>
      <c r="G477">
        <v>50</v>
      </c>
      <c r="H477">
        <v>4.4900000000000001E-7</v>
      </c>
      <c r="I477">
        <v>3.7</v>
      </c>
      <c r="J477">
        <v>22</v>
      </c>
      <c r="K477">
        <v>4</v>
      </c>
      <c r="L477">
        <v>1E-4</v>
      </c>
      <c r="M477">
        <v>25</v>
      </c>
      <c r="N477" t="s">
        <v>1082</v>
      </c>
      <c r="O477" t="s">
        <v>29</v>
      </c>
      <c r="Q477" t="s">
        <v>1082</v>
      </c>
      <c r="R477" t="s">
        <v>1082</v>
      </c>
      <c r="S477" t="s">
        <v>1082</v>
      </c>
      <c r="T477" t="s">
        <v>1082</v>
      </c>
      <c r="V477" t="s">
        <v>1082</v>
      </c>
      <c r="X477" t="s">
        <v>1740</v>
      </c>
      <c r="Y477" t="s">
        <v>1741</v>
      </c>
      <c r="Z477">
        <v>1120.6206340000001</v>
      </c>
    </row>
    <row r="478" spans="1:26" hidden="1">
      <c r="A478">
        <v>477</v>
      </c>
      <c r="B478" t="s">
        <v>1742</v>
      </c>
      <c r="C478" t="s">
        <v>28</v>
      </c>
      <c r="D478" s="1" t="b">
        <v>0</v>
      </c>
      <c r="E478">
        <v>0.01</v>
      </c>
      <c r="F478">
        <v>2</v>
      </c>
      <c r="G478">
        <v>46</v>
      </c>
      <c r="H478">
        <v>5.13E-7</v>
      </c>
      <c r="I478">
        <v>3.24</v>
      </c>
      <c r="J478">
        <v>26</v>
      </c>
      <c r="K478">
        <v>2.657577319</v>
      </c>
      <c r="L478">
        <v>2.2000000000000001E-3</v>
      </c>
      <c r="M478">
        <v>25</v>
      </c>
      <c r="N478" t="s">
        <v>1082</v>
      </c>
      <c r="O478" t="s">
        <v>29</v>
      </c>
      <c r="Q478" t="s">
        <v>1082</v>
      </c>
      <c r="R478" t="s">
        <v>1082</v>
      </c>
      <c r="S478" t="s">
        <v>1082</v>
      </c>
      <c r="T478" t="s">
        <v>1082</v>
      </c>
      <c r="V478" t="s">
        <v>1082</v>
      </c>
      <c r="X478" t="s">
        <v>1743</v>
      </c>
      <c r="Y478" t="s">
        <v>1744</v>
      </c>
      <c r="Z478">
        <v>1064.5580339999999</v>
      </c>
    </row>
    <row r="479" spans="1:26" hidden="1">
      <c r="A479">
        <v>478</v>
      </c>
      <c r="B479" t="s">
        <v>1745</v>
      </c>
      <c r="C479" t="s">
        <v>311</v>
      </c>
      <c r="D479" s="1" t="b">
        <v>0</v>
      </c>
      <c r="G479">
        <v>33.1</v>
      </c>
      <c r="O479" t="s">
        <v>29</v>
      </c>
      <c r="Q479" t="s">
        <v>1232</v>
      </c>
      <c r="X479" t="s">
        <v>1746</v>
      </c>
      <c r="Y479" t="s">
        <v>1747</v>
      </c>
      <c r="Z479">
        <v>414.34575799999999</v>
      </c>
    </row>
    <row r="480" spans="1:26" hidden="1">
      <c r="A480">
        <v>479</v>
      </c>
      <c r="B480" t="s">
        <v>1748</v>
      </c>
      <c r="C480" t="s">
        <v>83</v>
      </c>
      <c r="D480" s="1" t="b">
        <v>0</v>
      </c>
      <c r="E480">
        <v>5.1050000000000003E-6</v>
      </c>
      <c r="F480">
        <v>5.2920042540000001</v>
      </c>
      <c r="M480">
        <v>25</v>
      </c>
      <c r="N480" t="s">
        <v>207</v>
      </c>
      <c r="X480" t="s">
        <v>1749</v>
      </c>
      <c r="Y480" t="s">
        <v>1750</v>
      </c>
      <c r="Z480">
        <v>594.39791270000001</v>
      </c>
    </row>
    <row r="481" spans="1:29" hidden="1">
      <c r="A481">
        <v>480</v>
      </c>
      <c r="B481" t="s">
        <v>1751</v>
      </c>
      <c r="C481" t="s">
        <v>83</v>
      </c>
      <c r="D481" s="1" t="b">
        <v>0</v>
      </c>
      <c r="E481">
        <v>1.1379999999999999E-5</v>
      </c>
      <c r="F481">
        <v>4.9438577380000002</v>
      </c>
      <c r="M481">
        <v>25</v>
      </c>
      <c r="N481" t="s">
        <v>207</v>
      </c>
      <c r="X481" t="s">
        <v>1752</v>
      </c>
      <c r="Y481" t="s">
        <v>1753</v>
      </c>
      <c r="Z481">
        <v>950.96052710000004</v>
      </c>
    </row>
    <row r="482" spans="1:29" hidden="1">
      <c r="A482">
        <v>481</v>
      </c>
      <c r="B482" t="s">
        <v>1754</v>
      </c>
      <c r="C482" t="s">
        <v>83</v>
      </c>
      <c r="D482" s="1" t="b">
        <v>0</v>
      </c>
      <c r="E482">
        <v>5.9980000000000005E-4</v>
      </c>
      <c r="F482">
        <v>3.2219935390000001</v>
      </c>
      <c r="M482">
        <v>25</v>
      </c>
      <c r="N482" t="s">
        <v>207</v>
      </c>
      <c r="X482" t="s">
        <v>1755</v>
      </c>
      <c r="Y482" t="s">
        <v>1756</v>
      </c>
      <c r="Z482">
        <v>536.51684599999999</v>
      </c>
    </row>
    <row r="483" spans="1:29" hidden="1">
      <c r="A483">
        <v>482</v>
      </c>
      <c r="B483" t="s">
        <v>1757</v>
      </c>
      <c r="C483" t="s">
        <v>83</v>
      </c>
      <c r="D483" s="1" t="b">
        <v>0</v>
      </c>
      <c r="G483">
        <v>32.1</v>
      </c>
      <c r="O483" t="s">
        <v>29</v>
      </c>
      <c r="Q483" t="s">
        <v>578</v>
      </c>
      <c r="X483" t="s">
        <v>1758</v>
      </c>
      <c r="Y483" t="s">
        <v>1759</v>
      </c>
      <c r="Z483">
        <v>461.37163839999999</v>
      </c>
    </row>
    <row r="484" spans="1:29">
      <c r="A484">
        <v>483</v>
      </c>
      <c r="B484" s="2" t="s">
        <v>1760</v>
      </c>
      <c r="C484" t="s">
        <v>83</v>
      </c>
      <c r="D484" s="1" t="b">
        <v>1</v>
      </c>
      <c r="E484">
        <v>2.8499999999999998E-6</v>
      </c>
      <c r="F484">
        <v>5.5451551400000003</v>
      </c>
      <c r="G484">
        <v>32.299999999999997</v>
      </c>
      <c r="H484">
        <v>3.9700000000000001E-6</v>
      </c>
      <c r="I484">
        <v>0.418271805</v>
      </c>
      <c r="J484">
        <v>39.700000000000003</v>
      </c>
      <c r="K484">
        <v>6.46</v>
      </c>
      <c r="L484">
        <v>3.5199999999999998E-7</v>
      </c>
      <c r="M484">
        <v>20</v>
      </c>
      <c r="N484" t="s">
        <v>135</v>
      </c>
      <c r="O484" t="s">
        <v>137</v>
      </c>
      <c r="Q484" t="s">
        <v>446</v>
      </c>
      <c r="R484" t="s">
        <v>137</v>
      </c>
      <c r="S484" t="s">
        <v>137</v>
      </c>
      <c r="T484" t="s">
        <v>31</v>
      </c>
      <c r="U484" t="s">
        <v>446</v>
      </c>
      <c r="X484" t="s">
        <v>1761</v>
      </c>
      <c r="Y484" t="s">
        <v>1762</v>
      </c>
      <c r="Z484">
        <v>431.36107370000002</v>
      </c>
    </row>
    <row r="485" spans="1:29">
      <c r="A485">
        <v>484</v>
      </c>
      <c r="B485" s="2" t="s">
        <v>1763</v>
      </c>
      <c r="C485" t="s">
        <v>161</v>
      </c>
      <c r="D485" s="1" t="b">
        <v>1</v>
      </c>
      <c r="E485">
        <v>3.3000000000000002E-6</v>
      </c>
      <c r="F485">
        <v>5.4814860599999999</v>
      </c>
      <c r="G485">
        <v>34.6</v>
      </c>
      <c r="H485">
        <v>3.9600000000000002E-6</v>
      </c>
      <c r="I485">
        <v>0.42</v>
      </c>
      <c r="J485">
        <v>38.200000000000003</v>
      </c>
      <c r="K485">
        <v>6.34</v>
      </c>
      <c r="L485">
        <v>4.5699999999999998E-7</v>
      </c>
      <c r="M485">
        <v>20</v>
      </c>
      <c r="N485" t="s">
        <v>162</v>
      </c>
      <c r="O485" t="s">
        <v>163</v>
      </c>
      <c r="P485" t="s">
        <v>164</v>
      </c>
      <c r="R485" t="s">
        <v>446</v>
      </c>
      <c r="S485" t="s">
        <v>446</v>
      </c>
      <c r="T485" t="s">
        <v>446</v>
      </c>
      <c r="U485" t="s">
        <v>446</v>
      </c>
      <c r="W485" t="s">
        <v>1764</v>
      </c>
      <c r="X485" t="s">
        <v>1765</v>
      </c>
      <c r="Y485" t="s">
        <v>1766</v>
      </c>
      <c r="Z485">
        <v>607.4295472</v>
      </c>
    </row>
    <row r="486" spans="1:29" hidden="1">
      <c r="A486">
        <v>485</v>
      </c>
      <c r="B486" t="s">
        <v>1767</v>
      </c>
      <c r="C486" t="s">
        <v>54</v>
      </c>
      <c r="D486" s="1" t="b">
        <v>0</v>
      </c>
      <c r="E486">
        <v>1.2600000000000001E-3</v>
      </c>
      <c r="F486">
        <v>2.8996294549999999</v>
      </c>
      <c r="G486">
        <v>36.799999999999997</v>
      </c>
      <c r="H486">
        <v>6.3099999999999997E-6</v>
      </c>
      <c r="I486">
        <v>0.26</v>
      </c>
      <c r="J486">
        <v>35</v>
      </c>
      <c r="K486">
        <v>3.1105997429999999</v>
      </c>
      <c r="L486">
        <v>4.4574214000000001E-2</v>
      </c>
      <c r="M486">
        <v>25</v>
      </c>
      <c r="N486" t="s">
        <v>1768</v>
      </c>
      <c r="O486" t="s">
        <v>29</v>
      </c>
      <c r="Q486" t="s">
        <v>1769</v>
      </c>
      <c r="R486" t="s">
        <v>1768</v>
      </c>
      <c r="S486" t="s">
        <v>1768</v>
      </c>
      <c r="T486" t="s">
        <v>1768</v>
      </c>
      <c r="U486" t="s">
        <v>31</v>
      </c>
      <c r="V486" t="s">
        <v>31</v>
      </c>
      <c r="W486" t="s">
        <v>1770</v>
      </c>
      <c r="X486" t="s">
        <v>1771</v>
      </c>
      <c r="Y486" t="s">
        <v>1772</v>
      </c>
      <c r="Z486">
        <v>570.34099779999997</v>
      </c>
    </row>
    <row r="487" spans="1:29" hidden="1">
      <c r="A487">
        <v>486</v>
      </c>
      <c r="B487" s="6" t="s">
        <v>1773</v>
      </c>
      <c r="C487" s="6" t="s">
        <v>161</v>
      </c>
      <c r="D487" s="11" t="b">
        <v>0</v>
      </c>
      <c r="E487" s="6">
        <v>3.3000000000000002E-6</v>
      </c>
      <c r="F487" s="6">
        <v>5.4814860599999999</v>
      </c>
      <c r="G487" s="6">
        <v>33.799999999999997</v>
      </c>
      <c r="H487" s="6">
        <v>3.9600000000000002E-6</v>
      </c>
      <c r="I487" s="6">
        <v>0.42</v>
      </c>
      <c r="J487" s="6">
        <v>38.200000000000003</v>
      </c>
      <c r="K487" s="6">
        <v>6.3</v>
      </c>
      <c r="L487" s="6">
        <v>4.58E-7</v>
      </c>
      <c r="M487" s="6">
        <v>20</v>
      </c>
      <c r="N487" s="6" t="s">
        <v>162</v>
      </c>
      <c r="O487" s="6"/>
      <c r="P487" s="6" t="s">
        <v>446</v>
      </c>
      <c r="Q487" s="6"/>
      <c r="R487" s="6" t="s">
        <v>446</v>
      </c>
      <c r="S487" s="6" t="s">
        <v>446</v>
      </c>
      <c r="T487" s="6" t="s">
        <v>446</v>
      </c>
      <c r="U487" s="6" t="s">
        <v>446</v>
      </c>
      <c r="V487" s="6"/>
      <c r="X487" s="6" t="s">
        <v>1774</v>
      </c>
      <c r="Y487" s="6" t="s">
        <v>1775</v>
      </c>
      <c r="Z487">
        <v>609.4088117</v>
      </c>
      <c r="AA487" s="6"/>
      <c r="AB487" s="6"/>
      <c r="AC487" s="6"/>
    </row>
    <row r="488" spans="1:29" hidden="1">
      <c r="A488">
        <v>487</v>
      </c>
      <c r="B488" t="s">
        <v>1776</v>
      </c>
      <c r="C488" t="s">
        <v>54</v>
      </c>
      <c r="D488" s="1" t="b">
        <v>0</v>
      </c>
      <c r="E488">
        <v>4.1000000000000002E-2</v>
      </c>
      <c r="F488">
        <v>1.3872161430000001</v>
      </c>
      <c r="G488">
        <v>39.1</v>
      </c>
      <c r="J488">
        <v>32.9</v>
      </c>
      <c r="M488">
        <v>25</v>
      </c>
      <c r="N488" t="s">
        <v>1777</v>
      </c>
      <c r="O488" t="s">
        <v>29</v>
      </c>
      <c r="Q488" t="s">
        <v>1777</v>
      </c>
      <c r="W488" t="s">
        <v>1778</v>
      </c>
      <c r="X488" t="s">
        <v>1779</v>
      </c>
      <c r="Y488" t="s">
        <v>1780</v>
      </c>
      <c r="Z488">
        <v>658.28037659999995</v>
      </c>
    </row>
    <row r="489" spans="1:29" hidden="1">
      <c r="A489">
        <v>488</v>
      </c>
      <c r="B489" t="s">
        <v>1781</v>
      </c>
      <c r="C489" t="s">
        <v>54</v>
      </c>
      <c r="D489" s="1" t="b">
        <v>0</v>
      </c>
      <c r="E489">
        <v>0.10199999999999999</v>
      </c>
      <c r="F489">
        <v>0.99139982800000004</v>
      </c>
      <c r="G489">
        <v>36.700000000000003</v>
      </c>
      <c r="J489">
        <v>35.299999999999997</v>
      </c>
      <c r="M489">
        <v>25</v>
      </c>
      <c r="N489" t="s">
        <v>1777</v>
      </c>
      <c r="O489" t="s">
        <v>29</v>
      </c>
      <c r="Q489" t="s">
        <v>1777</v>
      </c>
      <c r="W489" t="s">
        <v>1782</v>
      </c>
      <c r="X489" t="s">
        <v>1783</v>
      </c>
      <c r="Y489" t="s">
        <v>1784</v>
      </c>
      <c r="Z489">
        <v>628.26981190000004</v>
      </c>
    </row>
    <row r="490" spans="1:29" hidden="1">
      <c r="A490">
        <v>489</v>
      </c>
      <c r="B490" t="s">
        <v>1785</v>
      </c>
      <c r="C490" t="s">
        <v>54</v>
      </c>
      <c r="D490" s="1" t="b">
        <v>0</v>
      </c>
      <c r="E490">
        <v>2.5000000000000001E-4</v>
      </c>
      <c r="F490">
        <v>3.602059991</v>
      </c>
      <c r="G490">
        <v>39</v>
      </c>
      <c r="H490">
        <v>5.6400000000000002E-6</v>
      </c>
      <c r="I490">
        <v>2.94</v>
      </c>
      <c r="J490">
        <v>33</v>
      </c>
      <c r="K490">
        <v>5.94</v>
      </c>
      <c r="L490">
        <v>1.15E-6</v>
      </c>
      <c r="M490">
        <v>25</v>
      </c>
      <c r="N490" t="s">
        <v>1786</v>
      </c>
      <c r="O490" t="s">
        <v>29</v>
      </c>
      <c r="Q490" t="s">
        <v>1786</v>
      </c>
      <c r="R490" t="s">
        <v>1786</v>
      </c>
      <c r="S490" t="s">
        <v>1786</v>
      </c>
      <c r="T490" t="s">
        <v>1786</v>
      </c>
      <c r="U490" t="s">
        <v>1786</v>
      </c>
      <c r="W490" t="s">
        <v>1787</v>
      </c>
      <c r="X490" t="s">
        <v>1788</v>
      </c>
      <c r="Y490" t="s">
        <v>1789</v>
      </c>
      <c r="Z490">
        <v>632.35525580000001</v>
      </c>
    </row>
    <row r="491" spans="1:29" hidden="1">
      <c r="A491">
        <v>490</v>
      </c>
      <c r="B491" t="s">
        <v>1790</v>
      </c>
      <c r="C491" t="s">
        <v>54</v>
      </c>
      <c r="D491" s="1" t="b">
        <v>0</v>
      </c>
      <c r="E491">
        <v>1.6000000000000001E-4</v>
      </c>
      <c r="F491">
        <v>3.795880017</v>
      </c>
      <c r="G491">
        <v>47.5</v>
      </c>
      <c r="H491">
        <v>2.96E-6</v>
      </c>
      <c r="I491">
        <v>5.91</v>
      </c>
      <c r="J491">
        <v>24.5</v>
      </c>
      <c r="K491">
        <v>3.12</v>
      </c>
      <c r="L491">
        <v>7.5900000000000002E-4</v>
      </c>
      <c r="M491">
        <v>25</v>
      </c>
      <c r="N491" t="s">
        <v>1786</v>
      </c>
      <c r="O491" t="s">
        <v>29</v>
      </c>
      <c r="Q491" t="s">
        <v>1786</v>
      </c>
      <c r="R491" t="s">
        <v>1786</v>
      </c>
      <c r="S491" t="s">
        <v>1786</v>
      </c>
      <c r="T491" t="s">
        <v>1786</v>
      </c>
      <c r="U491" t="s">
        <v>1786</v>
      </c>
      <c r="W491" t="s">
        <v>1791</v>
      </c>
      <c r="X491" t="s">
        <v>1792</v>
      </c>
      <c r="Y491" t="s">
        <v>1793</v>
      </c>
      <c r="Z491">
        <v>634.33452030000001</v>
      </c>
    </row>
    <row r="492" spans="1:29" hidden="1">
      <c r="A492">
        <v>491</v>
      </c>
      <c r="B492" t="s">
        <v>1794</v>
      </c>
      <c r="C492" t="s">
        <v>54</v>
      </c>
      <c r="D492" s="1" t="b">
        <v>0</v>
      </c>
      <c r="G492">
        <v>36.5</v>
      </c>
      <c r="O492" t="s">
        <v>29</v>
      </c>
      <c r="Q492" t="s">
        <v>1795</v>
      </c>
      <c r="X492" t="s">
        <v>1796</v>
      </c>
      <c r="Y492" t="s">
        <v>1797</v>
      </c>
      <c r="Z492">
        <v>576.29265550000002</v>
      </c>
    </row>
    <row r="493" spans="1:29" hidden="1">
      <c r="A493">
        <v>492</v>
      </c>
      <c r="B493" t="s">
        <v>1798</v>
      </c>
      <c r="C493" t="s">
        <v>54</v>
      </c>
      <c r="D493" s="1" t="b">
        <v>0</v>
      </c>
      <c r="E493">
        <v>5.1500000000000001E-3</v>
      </c>
      <c r="F493">
        <v>2.2881927709999998</v>
      </c>
      <c r="G493">
        <v>35</v>
      </c>
      <c r="H493">
        <v>1.5099999999999999E-6</v>
      </c>
      <c r="I493">
        <v>1.1000000000000001</v>
      </c>
      <c r="J493">
        <v>36.78</v>
      </c>
      <c r="K493">
        <v>2.39</v>
      </c>
      <c r="L493">
        <v>4.4000000000000003E-3</v>
      </c>
      <c r="M493">
        <v>25</v>
      </c>
      <c r="N493" t="s">
        <v>1799</v>
      </c>
      <c r="O493" t="s">
        <v>29</v>
      </c>
      <c r="Q493" t="s">
        <v>1799</v>
      </c>
      <c r="R493" t="s">
        <v>1799</v>
      </c>
      <c r="S493" t="s">
        <v>1799</v>
      </c>
      <c r="T493" t="s">
        <v>1799</v>
      </c>
      <c r="U493" t="s">
        <v>1799</v>
      </c>
      <c r="V493" t="s">
        <v>1799</v>
      </c>
      <c r="W493" t="s">
        <v>1800</v>
      </c>
      <c r="X493" t="s">
        <v>1801</v>
      </c>
      <c r="Y493" t="s">
        <v>1802</v>
      </c>
      <c r="Z493">
        <v>525.30427789999999</v>
      </c>
    </row>
    <row r="494" spans="1:29" hidden="1">
      <c r="A494">
        <v>493</v>
      </c>
      <c r="B494" t="s">
        <v>1803</v>
      </c>
      <c r="C494" t="s">
        <v>83</v>
      </c>
      <c r="D494" s="1" t="b">
        <v>0</v>
      </c>
      <c r="E494">
        <v>3.3000000000000003E-5</v>
      </c>
      <c r="F494">
        <v>4.4814860599999999</v>
      </c>
      <c r="G494">
        <v>26.27</v>
      </c>
      <c r="H494">
        <v>4.7299999999999996E-6</v>
      </c>
      <c r="I494">
        <v>0.25</v>
      </c>
      <c r="J494">
        <v>45.7</v>
      </c>
      <c r="K494">
        <v>5.434316688</v>
      </c>
      <c r="L494">
        <v>4.3642159999999998E-3</v>
      </c>
      <c r="M494">
        <v>25</v>
      </c>
      <c r="N494" t="s">
        <v>89</v>
      </c>
      <c r="O494" t="s">
        <v>31</v>
      </c>
      <c r="P494" t="s">
        <v>103</v>
      </c>
      <c r="R494" t="s">
        <v>1181</v>
      </c>
      <c r="S494" t="s">
        <v>1181</v>
      </c>
      <c r="T494" t="s">
        <v>1181</v>
      </c>
      <c r="U494" t="s">
        <v>31</v>
      </c>
      <c r="V494" t="s">
        <v>31</v>
      </c>
      <c r="W494" t="s">
        <v>1804</v>
      </c>
      <c r="X494" t="s">
        <v>1805</v>
      </c>
      <c r="Y494" t="s">
        <v>1806</v>
      </c>
      <c r="Z494">
        <v>796.62757829999998</v>
      </c>
    </row>
    <row r="495" spans="1:29">
      <c r="A495">
        <v>494</v>
      </c>
      <c r="B495" t="s">
        <v>1807</v>
      </c>
      <c r="C495" t="s">
        <v>83</v>
      </c>
      <c r="D495" s="1" t="b">
        <v>1</v>
      </c>
      <c r="E495">
        <v>3.0000000000000001E-6</v>
      </c>
      <c r="F495">
        <v>5.5228787449999999</v>
      </c>
      <c r="M495" s="2">
        <v>25</v>
      </c>
      <c r="N495" t="s">
        <v>121</v>
      </c>
      <c r="W495" t="s">
        <v>1808</v>
      </c>
      <c r="X495" t="s">
        <v>1809</v>
      </c>
      <c r="Y495" t="s">
        <v>1810</v>
      </c>
      <c r="Z495">
        <v>710.55441329999996</v>
      </c>
    </row>
    <row r="496" spans="1:29">
      <c r="A496">
        <v>495</v>
      </c>
      <c r="B496" s="2" t="s">
        <v>1811</v>
      </c>
      <c r="C496" t="s">
        <v>83</v>
      </c>
      <c r="D496" s="1" t="b">
        <v>1</v>
      </c>
      <c r="E496">
        <v>3.1E-6</v>
      </c>
      <c r="F496">
        <v>5.5086383059999999</v>
      </c>
      <c r="G496" s="2">
        <v>40</v>
      </c>
      <c r="H496" s="3">
        <v>2.0999999999999998E-6</v>
      </c>
      <c r="I496" s="2">
        <f>81/100</f>
        <v>0.81</v>
      </c>
      <c r="J496" s="2">
        <v>32</v>
      </c>
      <c r="K496" s="2">
        <f>-LOG10(L496)</f>
        <v>6.4580283128106402</v>
      </c>
      <c r="L496" s="2">
        <f>E496/8.9</f>
        <v>3.4831460674157301E-7</v>
      </c>
      <c r="M496">
        <v>25</v>
      </c>
      <c r="N496" t="s">
        <v>135</v>
      </c>
      <c r="R496" s="2" t="s">
        <v>137</v>
      </c>
      <c r="S496" s="2" t="s">
        <v>137</v>
      </c>
      <c r="T496" s="2" t="s">
        <v>137</v>
      </c>
      <c r="U496" s="2" t="s">
        <v>31</v>
      </c>
      <c r="V496" s="2" t="s">
        <v>31</v>
      </c>
      <c r="W496" t="s">
        <v>1812</v>
      </c>
      <c r="X496" t="s">
        <v>1813</v>
      </c>
      <c r="Y496" t="s">
        <v>1814</v>
      </c>
      <c r="Z496">
        <v>886.6592723</v>
      </c>
    </row>
    <row r="497" spans="1:26">
      <c r="A497">
        <v>496</v>
      </c>
      <c r="B497" s="2" t="s">
        <v>1815</v>
      </c>
      <c r="C497" t="s">
        <v>83</v>
      </c>
      <c r="D497" s="1" t="b">
        <v>1</v>
      </c>
      <c r="E497" s="10">
        <v>9.7E-5</v>
      </c>
      <c r="F497">
        <f>-LOG10(E497)</f>
        <v>4.0132282657337548</v>
      </c>
      <c r="G497" s="2"/>
      <c r="H497" s="2"/>
      <c r="I497" s="2"/>
      <c r="J497" s="2"/>
      <c r="K497" s="2"/>
      <c r="L497" s="2"/>
      <c r="M497" s="2">
        <v>25</v>
      </c>
      <c r="N497" t="s">
        <v>1816</v>
      </c>
      <c r="W497" t="s">
        <v>1817</v>
      </c>
      <c r="X497" t="s">
        <v>1818</v>
      </c>
      <c r="Y497" t="s">
        <v>1819</v>
      </c>
      <c r="Z497">
        <v>1150.8165610000001</v>
      </c>
    </row>
    <row r="498" spans="1:26">
      <c r="A498">
        <v>497</v>
      </c>
      <c r="B498" t="s">
        <v>1820</v>
      </c>
      <c r="C498" t="s">
        <v>83</v>
      </c>
      <c r="D498" s="1" t="b">
        <v>1</v>
      </c>
      <c r="E498">
        <v>3.8999999999999999E-6</v>
      </c>
      <c r="F498">
        <v>5.4089353930000001</v>
      </c>
      <c r="M498" s="2">
        <v>25</v>
      </c>
      <c r="N498" t="s">
        <v>121</v>
      </c>
      <c r="W498" t="s">
        <v>1821</v>
      </c>
      <c r="X498" t="s">
        <v>1822</v>
      </c>
      <c r="Y498" t="s">
        <v>1823</v>
      </c>
      <c r="Z498">
        <v>1194.842776</v>
      </c>
    </row>
    <row r="499" spans="1:26">
      <c r="A499">
        <v>498</v>
      </c>
      <c r="B499" t="s">
        <v>1824</v>
      </c>
      <c r="C499" t="s">
        <v>83</v>
      </c>
      <c r="D499" s="1" t="b">
        <v>1</v>
      </c>
      <c r="E499">
        <v>2.0000000000000002E-5</v>
      </c>
      <c r="F499">
        <v>4.6989700040000004</v>
      </c>
      <c r="M499" s="2">
        <v>25</v>
      </c>
      <c r="N499" t="s">
        <v>121</v>
      </c>
      <c r="W499" t="s">
        <v>1825</v>
      </c>
      <c r="X499" t="s">
        <v>1826</v>
      </c>
      <c r="Y499" t="s">
        <v>1827</v>
      </c>
      <c r="Z499">
        <v>4672.9137410000003</v>
      </c>
    </row>
    <row r="500" spans="1:26">
      <c r="A500">
        <v>499</v>
      </c>
      <c r="B500" s="2" t="s">
        <v>1828</v>
      </c>
      <c r="C500" t="s">
        <v>134</v>
      </c>
      <c r="D500" s="1" t="b">
        <v>1</v>
      </c>
      <c r="E500" s="2">
        <v>2.5000000000000001E-5</v>
      </c>
      <c r="F500" s="2">
        <f>-LOG10(E500)</f>
        <v>4.6020599913279625</v>
      </c>
      <c r="G500" s="2"/>
      <c r="H500" s="2"/>
      <c r="I500" s="2"/>
      <c r="J500" s="2"/>
      <c r="K500" s="2"/>
      <c r="L500" s="2"/>
      <c r="M500">
        <v>25</v>
      </c>
      <c r="N500" t="s">
        <v>135</v>
      </c>
      <c r="X500" t="s">
        <v>1829</v>
      </c>
      <c r="Y500" t="s">
        <v>1830</v>
      </c>
      <c r="Z500">
        <v>592.36209870000005</v>
      </c>
    </row>
    <row r="501" spans="1:26" hidden="1">
      <c r="A501">
        <v>500</v>
      </c>
      <c r="B501" t="s">
        <v>1831</v>
      </c>
      <c r="C501" t="s">
        <v>134</v>
      </c>
      <c r="D501" s="1" t="b">
        <v>0</v>
      </c>
      <c r="E501">
        <v>4.0000000000000003E-5</v>
      </c>
      <c r="F501">
        <v>4.397940009</v>
      </c>
      <c r="M501">
        <v>25</v>
      </c>
      <c r="N501" t="s">
        <v>1832</v>
      </c>
      <c r="X501" t="s">
        <v>1833</v>
      </c>
      <c r="Y501" t="s">
        <v>1834</v>
      </c>
      <c r="Z501">
        <v>548.3358839</v>
      </c>
    </row>
    <row r="502" spans="1:26" hidden="1">
      <c r="A502">
        <v>501</v>
      </c>
      <c r="B502" t="s">
        <v>1835</v>
      </c>
      <c r="C502" t="s">
        <v>134</v>
      </c>
      <c r="D502" s="1" t="b">
        <v>0</v>
      </c>
      <c r="E502">
        <v>5.0000000000000002E-5</v>
      </c>
      <c r="F502">
        <v>4.3010299959999996</v>
      </c>
      <c r="M502">
        <v>25</v>
      </c>
      <c r="N502" t="s">
        <v>1832</v>
      </c>
      <c r="X502" t="s">
        <v>1836</v>
      </c>
      <c r="Y502" t="s">
        <v>1837</v>
      </c>
      <c r="Z502">
        <v>504.30966919999997</v>
      </c>
    </row>
    <row r="503" spans="1:26" hidden="1">
      <c r="A503">
        <v>502</v>
      </c>
      <c r="B503" t="s">
        <v>1838</v>
      </c>
      <c r="C503" t="s">
        <v>134</v>
      </c>
      <c r="D503" s="1" t="b">
        <v>0</v>
      </c>
      <c r="E503">
        <v>6.9999999999999994E-5</v>
      </c>
      <c r="F503">
        <v>4.1549019600000001</v>
      </c>
      <c r="M503">
        <v>25</v>
      </c>
      <c r="N503" t="s">
        <v>1832</v>
      </c>
      <c r="X503" t="s">
        <v>1839</v>
      </c>
      <c r="Y503" t="s">
        <v>1840</v>
      </c>
      <c r="Z503">
        <v>460.28345439999998</v>
      </c>
    </row>
    <row r="504" spans="1:26" hidden="1">
      <c r="A504">
        <v>503</v>
      </c>
      <c r="B504" t="s">
        <v>1841</v>
      </c>
      <c r="C504" t="s">
        <v>134</v>
      </c>
      <c r="D504" s="1" t="b">
        <v>0</v>
      </c>
      <c r="E504">
        <v>1.1E-4</v>
      </c>
      <c r="F504">
        <v>3.9586073150000001</v>
      </c>
      <c r="M504">
        <v>25</v>
      </c>
      <c r="N504" t="s">
        <v>1832</v>
      </c>
      <c r="X504" t="s">
        <v>1842</v>
      </c>
      <c r="Y504" t="s">
        <v>1843</v>
      </c>
      <c r="Z504">
        <v>416.25723970000001</v>
      </c>
    </row>
    <row r="505" spans="1:26" hidden="1">
      <c r="A505">
        <v>504</v>
      </c>
      <c r="B505" t="s">
        <v>1844</v>
      </c>
      <c r="C505" t="s">
        <v>83</v>
      </c>
      <c r="D505" s="1" t="b">
        <v>0</v>
      </c>
      <c r="E505">
        <v>2.0000000000000001E-4</v>
      </c>
      <c r="F505">
        <v>3.698970004</v>
      </c>
      <c r="M505">
        <v>25</v>
      </c>
      <c r="N505" t="s">
        <v>207</v>
      </c>
      <c r="X505" t="s">
        <v>1845</v>
      </c>
      <c r="Y505" t="s">
        <v>1846</v>
      </c>
      <c r="Z505">
        <v>462.35565389999999</v>
      </c>
    </row>
    <row r="506" spans="1:26" hidden="1">
      <c r="A506">
        <v>505</v>
      </c>
      <c r="B506" t="s">
        <v>1847</v>
      </c>
      <c r="C506" t="s">
        <v>1848</v>
      </c>
      <c r="D506" s="1" t="b">
        <v>0</v>
      </c>
      <c r="E506" s="4">
        <v>5.9000000000000003E-6</v>
      </c>
      <c r="F506">
        <v>5.2290999999999999</v>
      </c>
      <c r="M506">
        <v>25</v>
      </c>
      <c r="N506" t="s">
        <v>1849</v>
      </c>
      <c r="X506" t="s">
        <v>1850</v>
      </c>
      <c r="Y506" t="s">
        <v>1851</v>
      </c>
      <c r="Z506">
        <v>533.45729619999997</v>
      </c>
    </row>
    <row r="507" spans="1:26" hidden="1">
      <c r="A507">
        <v>506</v>
      </c>
      <c r="B507" t="s">
        <v>1852</v>
      </c>
      <c r="C507" t="s">
        <v>134</v>
      </c>
      <c r="D507" s="13" t="b">
        <v>0</v>
      </c>
      <c r="E507">
        <v>1.1E-4</v>
      </c>
      <c r="F507">
        <v>3.9586073150000001</v>
      </c>
      <c r="M507">
        <v>25</v>
      </c>
      <c r="N507" t="s">
        <v>1853</v>
      </c>
      <c r="P507" t="s">
        <v>180</v>
      </c>
      <c r="W507" t="s">
        <v>1854</v>
      </c>
      <c r="X507" t="s">
        <v>1855</v>
      </c>
      <c r="Y507" t="s">
        <v>1856</v>
      </c>
      <c r="Z507">
        <v>372.23102490000002</v>
      </c>
    </row>
    <row r="508" spans="1:26" hidden="1">
      <c r="A508">
        <v>507</v>
      </c>
      <c r="B508" t="s">
        <v>1857</v>
      </c>
      <c r="C508" t="s">
        <v>54</v>
      </c>
      <c r="D508" s="1" t="b">
        <v>0</v>
      </c>
      <c r="E508">
        <v>3.5E-4</v>
      </c>
      <c r="F508">
        <v>3.4559319560000001</v>
      </c>
      <c r="G508">
        <v>35</v>
      </c>
      <c r="H508">
        <v>3.19E-6</v>
      </c>
      <c r="I508">
        <v>0.52</v>
      </c>
      <c r="J508">
        <v>37</v>
      </c>
      <c r="K508">
        <v>3.82</v>
      </c>
      <c r="L508">
        <v>1.4999999999999999E-4</v>
      </c>
      <c r="M508">
        <v>25</v>
      </c>
      <c r="N508" t="s">
        <v>1858</v>
      </c>
      <c r="T508" t="s">
        <v>1858</v>
      </c>
      <c r="V508" t="s">
        <v>1858</v>
      </c>
      <c r="W508" t="s">
        <v>1859</v>
      </c>
      <c r="X508" t="s">
        <v>1860</v>
      </c>
      <c r="Y508" t="s">
        <v>1861</v>
      </c>
      <c r="Z508">
        <v>391.28136260000002</v>
      </c>
    </row>
    <row r="509" spans="1:26" hidden="1">
      <c r="A509">
        <v>508</v>
      </c>
      <c r="B509" t="s">
        <v>1862</v>
      </c>
      <c r="C509" t="s">
        <v>54</v>
      </c>
      <c r="D509" s="1" t="b">
        <v>0</v>
      </c>
      <c r="E509">
        <v>3.4000000000000002E-4</v>
      </c>
      <c r="F509">
        <v>3.4685210830000002</v>
      </c>
      <c r="G509">
        <v>37.200000000000003</v>
      </c>
      <c r="J509">
        <v>34.770000000000003</v>
      </c>
      <c r="M509">
        <v>25</v>
      </c>
      <c r="N509" t="s">
        <v>1832</v>
      </c>
      <c r="O509" t="s">
        <v>29</v>
      </c>
      <c r="Q509" t="s">
        <v>1863</v>
      </c>
      <c r="S509" t="s">
        <v>31</v>
      </c>
      <c r="X509" t="s">
        <v>1864</v>
      </c>
      <c r="Y509" t="s">
        <v>1865</v>
      </c>
      <c r="Z509">
        <v>347.33187820000001</v>
      </c>
    </row>
    <row r="510" spans="1:26" hidden="1">
      <c r="A510">
        <v>509</v>
      </c>
      <c r="B510" t="s">
        <v>1866</v>
      </c>
      <c r="C510" t="s">
        <v>28</v>
      </c>
      <c r="D510" s="1" t="b">
        <v>0</v>
      </c>
      <c r="E510">
        <v>3.97E-4</v>
      </c>
      <c r="F510">
        <v>3.4012094930000001</v>
      </c>
      <c r="G510">
        <v>40.9</v>
      </c>
      <c r="H510">
        <v>1.207E-6</v>
      </c>
      <c r="I510">
        <v>1.38</v>
      </c>
      <c r="J510">
        <v>31.1</v>
      </c>
      <c r="K510">
        <v>4.9939999999999998</v>
      </c>
      <c r="L510">
        <v>1.01E-5</v>
      </c>
      <c r="M510">
        <v>25</v>
      </c>
      <c r="N510" t="s">
        <v>1867</v>
      </c>
      <c r="O510" t="s">
        <v>29</v>
      </c>
      <c r="Q510" t="s">
        <v>1867</v>
      </c>
      <c r="R510" t="s">
        <v>1867</v>
      </c>
      <c r="S510" t="s">
        <v>1867</v>
      </c>
      <c r="T510" t="s">
        <v>1867</v>
      </c>
      <c r="U510" t="s">
        <v>1867</v>
      </c>
      <c r="V510" t="s">
        <v>1867</v>
      </c>
      <c r="W510" t="s">
        <v>1868</v>
      </c>
      <c r="X510" t="s">
        <v>1869</v>
      </c>
      <c r="Y510" t="s">
        <v>1870</v>
      </c>
      <c r="Z510">
        <v>864.76928399999997</v>
      </c>
    </row>
    <row r="511" spans="1:26" hidden="1">
      <c r="A511">
        <v>510</v>
      </c>
      <c r="B511" t="s">
        <v>1871</v>
      </c>
      <c r="C511" t="s">
        <v>28</v>
      </c>
      <c r="D511" s="1" t="b">
        <v>0</v>
      </c>
      <c r="E511">
        <v>4.8999999999999998E-5</v>
      </c>
      <c r="F511">
        <v>4.3098039200000002</v>
      </c>
      <c r="G511">
        <v>33</v>
      </c>
      <c r="H511">
        <v>2.9399999999999998E-6</v>
      </c>
      <c r="I511">
        <v>0.56999999999999995</v>
      </c>
      <c r="J511">
        <v>39</v>
      </c>
      <c r="K511">
        <v>5.39</v>
      </c>
      <c r="L511">
        <v>5.0000000000000004E-6</v>
      </c>
      <c r="M511">
        <v>25</v>
      </c>
      <c r="N511" t="s">
        <v>1872</v>
      </c>
      <c r="O511" t="s">
        <v>1872</v>
      </c>
      <c r="Q511" t="s">
        <v>1872</v>
      </c>
      <c r="R511" t="s">
        <v>1872</v>
      </c>
      <c r="S511" t="s">
        <v>1872</v>
      </c>
      <c r="U511" t="s">
        <v>1872</v>
      </c>
      <c r="W511" t="s">
        <v>1873</v>
      </c>
      <c r="X511" t="s">
        <v>1874</v>
      </c>
      <c r="Y511" t="s">
        <v>1875</v>
      </c>
      <c r="Z511">
        <v>1288.1059729999999</v>
      </c>
    </row>
    <row r="512" spans="1:26" hidden="1">
      <c r="A512">
        <v>511</v>
      </c>
      <c r="B512" t="s">
        <v>1876</v>
      </c>
      <c r="C512" t="s">
        <v>54</v>
      </c>
      <c r="D512" s="1" t="b">
        <v>0</v>
      </c>
      <c r="G512">
        <v>42.1</v>
      </c>
      <c r="O512" t="s">
        <v>29</v>
      </c>
      <c r="Q512" t="s">
        <v>1877</v>
      </c>
      <c r="X512" t="s">
        <v>1878</v>
      </c>
      <c r="Y512" t="s">
        <v>1879</v>
      </c>
      <c r="Z512">
        <v>971.77674100000002</v>
      </c>
    </row>
    <row r="513" spans="1:26" hidden="1">
      <c r="A513">
        <v>512</v>
      </c>
      <c r="B513" t="s">
        <v>1880</v>
      </c>
      <c r="C513" t="s">
        <v>28</v>
      </c>
      <c r="D513" s="1" t="b">
        <v>0</v>
      </c>
      <c r="G513">
        <v>36.4</v>
      </c>
      <c r="O513" t="s">
        <v>29</v>
      </c>
      <c r="Q513" t="s">
        <v>1881</v>
      </c>
      <c r="X513" t="s">
        <v>1882</v>
      </c>
      <c r="Y513" t="s">
        <v>1883</v>
      </c>
      <c r="Z513">
        <v>722.65867089999995</v>
      </c>
    </row>
    <row r="514" spans="1:26" hidden="1">
      <c r="A514">
        <v>513</v>
      </c>
      <c r="B514" t="s">
        <v>1884</v>
      </c>
      <c r="C514" t="s">
        <v>28</v>
      </c>
      <c r="D514" s="1" t="b">
        <v>0</v>
      </c>
      <c r="E514">
        <v>5.9006499999999997E-4</v>
      </c>
      <c r="F514">
        <v>3.2290999999999999</v>
      </c>
      <c r="M514">
        <v>25</v>
      </c>
      <c r="N514" t="s">
        <v>1849</v>
      </c>
      <c r="X514" t="s">
        <v>1885</v>
      </c>
      <c r="Y514" t="s">
        <v>1886</v>
      </c>
      <c r="Z514">
        <v>668.42187460000002</v>
      </c>
    </row>
    <row r="515" spans="1:26" hidden="1">
      <c r="A515">
        <v>514</v>
      </c>
      <c r="B515" t="s">
        <v>1887</v>
      </c>
      <c r="C515" t="s">
        <v>54</v>
      </c>
      <c r="D515" s="1" t="b">
        <v>0</v>
      </c>
      <c r="G515">
        <v>41.2</v>
      </c>
      <c r="O515" t="s">
        <v>29</v>
      </c>
      <c r="Q515" t="s">
        <v>1888</v>
      </c>
      <c r="X515" t="s">
        <v>1889</v>
      </c>
      <c r="Y515" t="s">
        <v>1890</v>
      </c>
      <c r="Z515">
        <v>992.6136553</v>
      </c>
    </row>
    <row r="516" spans="1:26" hidden="1">
      <c r="A516">
        <v>515</v>
      </c>
      <c r="B516" t="s">
        <v>1891</v>
      </c>
      <c r="C516" t="s">
        <v>54</v>
      </c>
      <c r="D516" s="1" t="b">
        <v>0</v>
      </c>
      <c r="G516">
        <v>38.200000000000003</v>
      </c>
      <c r="O516" t="s">
        <v>29</v>
      </c>
      <c r="Q516" t="s">
        <v>1888</v>
      </c>
      <c r="X516" t="s">
        <v>1892</v>
      </c>
      <c r="Y516" t="s">
        <v>1893</v>
      </c>
      <c r="Z516">
        <v>592.38147049999998</v>
      </c>
    </row>
    <row r="517" spans="1:26" hidden="1">
      <c r="A517">
        <v>516</v>
      </c>
      <c r="B517" t="s">
        <v>1894</v>
      </c>
      <c r="C517" t="s">
        <v>28</v>
      </c>
      <c r="D517" s="1" t="b">
        <v>0</v>
      </c>
      <c r="G517">
        <v>32.700000000000003</v>
      </c>
      <c r="O517" t="s">
        <v>29</v>
      </c>
      <c r="Q517" t="s">
        <v>1895</v>
      </c>
      <c r="X517" t="s">
        <v>1896</v>
      </c>
      <c r="Y517" t="s">
        <v>1897</v>
      </c>
      <c r="Z517">
        <v>836.69036500000004</v>
      </c>
    </row>
    <row r="518" spans="1:26" hidden="1">
      <c r="A518">
        <v>517</v>
      </c>
      <c r="B518" t="s">
        <v>1898</v>
      </c>
      <c r="C518" t="s">
        <v>28</v>
      </c>
      <c r="D518" s="1" t="b">
        <v>0</v>
      </c>
      <c r="G518">
        <v>33.200000000000003</v>
      </c>
      <c r="O518" t="s">
        <v>29</v>
      </c>
      <c r="Q518" t="s">
        <v>1895</v>
      </c>
      <c r="X518" t="s">
        <v>1899</v>
      </c>
      <c r="Y518" t="s">
        <v>1900</v>
      </c>
      <c r="Z518">
        <v>892.75296519999995</v>
      </c>
    </row>
    <row r="519" spans="1:26" hidden="1">
      <c r="A519">
        <v>518</v>
      </c>
      <c r="B519" t="s">
        <v>1901</v>
      </c>
      <c r="C519" t="s">
        <v>28</v>
      </c>
      <c r="D519" s="1" t="b">
        <v>0</v>
      </c>
      <c r="E519">
        <v>1.3999999999999999E-6</v>
      </c>
      <c r="F519">
        <v>5.8538719639999997</v>
      </c>
      <c r="G519">
        <v>40</v>
      </c>
      <c r="H519">
        <v>1.9999999999999999E-6</v>
      </c>
      <c r="I519">
        <v>2.5</v>
      </c>
      <c r="J519">
        <v>32</v>
      </c>
      <c r="K519">
        <v>6.26</v>
      </c>
      <c r="L519">
        <v>5.5000000000000003E-7</v>
      </c>
      <c r="M519">
        <v>25</v>
      </c>
      <c r="N519" t="s">
        <v>1902</v>
      </c>
      <c r="O519" t="s">
        <v>29</v>
      </c>
      <c r="Q519" t="s">
        <v>1903</v>
      </c>
      <c r="R519" t="s">
        <v>1903</v>
      </c>
      <c r="T519" t="s">
        <v>1903</v>
      </c>
      <c r="U519" t="s">
        <v>1903</v>
      </c>
      <c r="W519" t="s">
        <v>1904</v>
      </c>
      <c r="X519" t="s">
        <v>1905</v>
      </c>
      <c r="Y519" t="s">
        <v>1906</v>
      </c>
      <c r="Z519">
        <v>824.5732898</v>
      </c>
    </row>
    <row r="520" spans="1:26" hidden="1">
      <c r="A520">
        <v>519</v>
      </c>
      <c r="B520" t="s">
        <v>1907</v>
      </c>
      <c r="C520" t="s">
        <v>1848</v>
      </c>
      <c r="D520" s="1" t="b">
        <v>0</v>
      </c>
      <c r="E520" s="4">
        <v>4.7999999999999998E-6</v>
      </c>
      <c r="F520">
        <v>5.3188000000000004</v>
      </c>
      <c r="M520">
        <v>25</v>
      </c>
      <c r="N520" t="s">
        <v>1849</v>
      </c>
      <c r="X520" t="s">
        <v>1908</v>
      </c>
      <c r="Y520" t="s">
        <v>1909</v>
      </c>
      <c r="Z520">
        <v>533.45729619999997</v>
      </c>
    </row>
    <row r="521" spans="1:26" hidden="1">
      <c r="A521">
        <v>520</v>
      </c>
      <c r="B521" t="s">
        <v>1910</v>
      </c>
      <c r="C521" t="s">
        <v>28</v>
      </c>
      <c r="D521" s="1" t="b">
        <v>0</v>
      </c>
      <c r="E521">
        <v>9.9999999999999995E-7</v>
      </c>
      <c r="F521">
        <v>6</v>
      </c>
      <c r="G521">
        <v>40.9</v>
      </c>
      <c r="H521">
        <v>1.39E-6</v>
      </c>
      <c r="I521">
        <v>1.19</v>
      </c>
      <c r="J521">
        <v>31.1</v>
      </c>
      <c r="K521">
        <v>6.4662555209999999</v>
      </c>
      <c r="L521">
        <v>1.5550379999999999E-3</v>
      </c>
      <c r="M521">
        <v>25</v>
      </c>
      <c r="N521" t="s">
        <v>1911</v>
      </c>
      <c r="O521" t="s">
        <v>29</v>
      </c>
      <c r="Q521" t="s">
        <v>1912</v>
      </c>
      <c r="R521" t="s">
        <v>1912</v>
      </c>
      <c r="U521" t="s">
        <v>31</v>
      </c>
      <c r="V521" t="s">
        <v>31</v>
      </c>
      <c r="W521" t="s">
        <v>1913</v>
      </c>
      <c r="X521" t="s">
        <v>1914</v>
      </c>
      <c r="Y521" t="s">
        <v>1915</v>
      </c>
      <c r="Z521">
        <v>840.55044620000001</v>
      </c>
    </row>
    <row r="522" spans="1:26" hidden="1">
      <c r="A522">
        <v>521</v>
      </c>
      <c r="B522" t="s">
        <v>1916</v>
      </c>
      <c r="C522" t="s">
        <v>54</v>
      </c>
      <c r="D522" s="1" t="b">
        <v>0</v>
      </c>
      <c r="E522">
        <v>3.6100000000000003E-5</v>
      </c>
      <c r="F522">
        <v>4.442492798</v>
      </c>
      <c r="G522">
        <v>42.5</v>
      </c>
      <c r="H522">
        <v>1.2500000000000001E-6</v>
      </c>
      <c r="I522">
        <v>1.33</v>
      </c>
      <c r="J522">
        <v>29.5</v>
      </c>
      <c r="K522">
        <v>5.34</v>
      </c>
      <c r="L522">
        <v>4.5700000000000003E-6</v>
      </c>
      <c r="M522">
        <v>25</v>
      </c>
      <c r="N522" t="s">
        <v>1917</v>
      </c>
      <c r="O522" t="s">
        <v>29</v>
      </c>
      <c r="Q522" t="s">
        <v>1917</v>
      </c>
      <c r="R522" t="s">
        <v>1917</v>
      </c>
      <c r="T522" t="s">
        <v>1917</v>
      </c>
      <c r="U522" t="s">
        <v>1917</v>
      </c>
      <c r="W522" t="s">
        <v>1918</v>
      </c>
      <c r="X522" t="s">
        <v>1919</v>
      </c>
      <c r="Y522" t="s">
        <v>1920</v>
      </c>
      <c r="Z522">
        <v>453.37374299999999</v>
      </c>
    </row>
    <row r="523" spans="1:26" hidden="1">
      <c r="A523">
        <v>522</v>
      </c>
      <c r="B523" t="s">
        <v>1921</v>
      </c>
      <c r="C523" t="s">
        <v>54</v>
      </c>
      <c r="D523" s="1" t="b">
        <v>0</v>
      </c>
      <c r="E523">
        <v>5.3000000000000001E-5</v>
      </c>
      <c r="F523">
        <v>4.2757241300000004</v>
      </c>
      <c r="G523">
        <v>40.299999999999997</v>
      </c>
      <c r="H523">
        <v>1.2300000000000001E-6</v>
      </c>
      <c r="I523">
        <v>1.35</v>
      </c>
      <c r="J523">
        <v>31.7</v>
      </c>
      <c r="K523">
        <v>5.14</v>
      </c>
      <c r="L523">
        <v>7.2400000000000001E-6</v>
      </c>
      <c r="M523">
        <v>25</v>
      </c>
      <c r="N523" t="s">
        <v>1917</v>
      </c>
      <c r="O523" t="s">
        <v>29</v>
      </c>
      <c r="Q523" t="s">
        <v>1917</v>
      </c>
      <c r="R523" t="s">
        <v>1917</v>
      </c>
      <c r="T523" t="s">
        <v>1917</v>
      </c>
      <c r="U523" t="s">
        <v>1917</v>
      </c>
      <c r="W523" t="s">
        <v>1922</v>
      </c>
      <c r="X523" t="s">
        <v>1923</v>
      </c>
      <c r="Y523" t="s">
        <v>1924</v>
      </c>
      <c r="Z523">
        <v>423.36317830000002</v>
      </c>
    </row>
    <row r="524" spans="1:26" hidden="1">
      <c r="A524">
        <v>523</v>
      </c>
      <c r="B524" t="s">
        <v>1925</v>
      </c>
      <c r="C524" t="s">
        <v>54</v>
      </c>
      <c r="D524" s="1" t="b">
        <v>0</v>
      </c>
      <c r="E524">
        <v>9.1000000000000004E-3</v>
      </c>
      <c r="F524">
        <v>2.040958608</v>
      </c>
      <c r="G524">
        <v>43.2</v>
      </c>
      <c r="H524">
        <v>1.33E-6</v>
      </c>
      <c r="I524">
        <v>1.25</v>
      </c>
      <c r="J524">
        <v>28.8</v>
      </c>
      <c r="K524">
        <v>5.04</v>
      </c>
      <c r="L524">
        <v>9.1400000000000006E-6</v>
      </c>
      <c r="M524">
        <v>25</v>
      </c>
      <c r="N524" t="s">
        <v>1926</v>
      </c>
      <c r="O524" t="s">
        <v>29</v>
      </c>
      <c r="Q524" t="s">
        <v>1926</v>
      </c>
      <c r="R524" t="s">
        <v>1926</v>
      </c>
      <c r="T524" t="s">
        <v>1926</v>
      </c>
      <c r="U524" t="s">
        <v>1926</v>
      </c>
      <c r="W524" t="s">
        <v>1927</v>
      </c>
      <c r="X524" t="s">
        <v>1928</v>
      </c>
      <c r="Y524" t="s">
        <v>1929</v>
      </c>
      <c r="Z524">
        <v>453.37374299999999</v>
      </c>
    </row>
    <row r="525" spans="1:26" hidden="1">
      <c r="A525">
        <v>524</v>
      </c>
      <c r="B525" t="s">
        <v>1930</v>
      </c>
      <c r="C525" t="s">
        <v>28</v>
      </c>
      <c r="D525" s="1" t="b">
        <v>0</v>
      </c>
      <c r="E525">
        <v>1.0499999999999999E-5</v>
      </c>
      <c r="F525">
        <v>4.9788107009999996</v>
      </c>
      <c r="M525">
        <v>25</v>
      </c>
      <c r="N525" t="s">
        <v>484</v>
      </c>
      <c r="X525" t="s">
        <v>1931</v>
      </c>
      <c r="Y525" t="s">
        <v>1932</v>
      </c>
      <c r="Z525">
        <v>856.57837519999998</v>
      </c>
    </row>
    <row r="526" spans="1:26" hidden="1">
      <c r="A526">
        <v>525</v>
      </c>
      <c r="B526" t="s">
        <v>1933</v>
      </c>
      <c r="C526" t="s">
        <v>28</v>
      </c>
      <c r="D526" s="1" t="b">
        <v>0</v>
      </c>
      <c r="E526">
        <v>1.66E-5</v>
      </c>
      <c r="F526">
        <v>4.7798919120000001</v>
      </c>
      <c r="M526">
        <v>25</v>
      </c>
      <c r="N526" t="s">
        <v>484</v>
      </c>
      <c r="X526" t="s">
        <v>1934</v>
      </c>
      <c r="Y526" t="s">
        <v>1935</v>
      </c>
      <c r="Z526">
        <v>884.60967530000005</v>
      </c>
    </row>
    <row r="527" spans="1:26">
      <c r="A527">
        <v>526</v>
      </c>
      <c r="B527" s="2" t="s">
        <v>1936</v>
      </c>
      <c r="C527" t="s">
        <v>54</v>
      </c>
      <c r="D527" s="1" t="b">
        <v>1</v>
      </c>
      <c r="E527">
        <v>2.4000000000000001E-4</v>
      </c>
      <c r="F527">
        <v>3.6197887579999999</v>
      </c>
      <c r="M527">
        <v>25</v>
      </c>
      <c r="N527" t="s">
        <v>1832</v>
      </c>
      <c r="X527" t="s">
        <v>1937</v>
      </c>
      <c r="Y527" t="s">
        <v>1938</v>
      </c>
      <c r="Z527">
        <v>372.33970319999997</v>
      </c>
    </row>
    <row r="528" spans="1:26" hidden="1">
      <c r="A528">
        <v>527</v>
      </c>
      <c r="B528" t="s">
        <v>1939</v>
      </c>
      <c r="C528" t="s">
        <v>28</v>
      </c>
      <c r="D528" s="1" t="b">
        <v>0</v>
      </c>
      <c r="E528">
        <v>9.5000000000000005E-5</v>
      </c>
      <c r="F528">
        <v>4.0222763949999996</v>
      </c>
      <c r="G528">
        <v>27.5</v>
      </c>
      <c r="H528">
        <v>9.3799999999999996E-7</v>
      </c>
      <c r="I528">
        <v>1.77</v>
      </c>
      <c r="J528">
        <v>44.8</v>
      </c>
      <c r="K528">
        <v>6.62</v>
      </c>
      <c r="L528">
        <v>2.3999999999999998E-7</v>
      </c>
      <c r="M528">
        <v>25</v>
      </c>
      <c r="N528" t="s">
        <v>1940</v>
      </c>
      <c r="O528" t="s">
        <v>29</v>
      </c>
      <c r="Q528" t="s">
        <v>1940</v>
      </c>
      <c r="R528" t="s">
        <v>1940</v>
      </c>
      <c r="S528" t="s">
        <v>1940</v>
      </c>
      <c r="T528" t="s">
        <v>1940</v>
      </c>
      <c r="U528" t="s">
        <v>1940</v>
      </c>
      <c r="W528" t="s">
        <v>1941</v>
      </c>
      <c r="X528" t="s">
        <v>1942</v>
      </c>
      <c r="Y528" t="s">
        <v>1943</v>
      </c>
      <c r="Z528">
        <v>1461.77719</v>
      </c>
    </row>
    <row r="529" spans="1:29" hidden="1">
      <c r="A529">
        <v>528</v>
      </c>
      <c r="B529" t="s">
        <v>1944</v>
      </c>
      <c r="C529" t="s">
        <v>54</v>
      </c>
      <c r="D529" s="1" t="b">
        <v>0</v>
      </c>
      <c r="E529">
        <v>2.4000000000000001E-4</v>
      </c>
      <c r="F529">
        <v>3.6197887579999999</v>
      </c>
      <c r="M529">
        <v>25</v>
      </c>
      <c r="N529" t="s">
        <v>89</v>
      </c>
      <c r="P529" t="s">
        <v>103</v>
      </c>
      <c r="W529" t="s">
        <v>1945</v>
      </c>
      <c r="X529" t="s">
        <v>1946</v>
      </c>
      <c r="Y529" t="s">
        <v>1947</v>
      </c>
      <c r="Z529">
        <v>367.30057799999997</v>
      </c>
    </row>
    <row r="530" spans="1:29" hidden="1">
      <c r="A530">
        <v>529</v>
      </c>
      <c r="B530" t="s">
        <v>1948</v>
      </c>
      <c r="C530" t="s">
        <v>54</v>
      </c>
      <c r="D530" s="1" t="b">
        <v>0</v>
      </c>
      <c r="G530">
        <v>40.5</v>
      </c>
      <c r="O530" t="s">
        <v>29</v>
      </c>
      <c r="Q530" t="s">
        <v>1949</v>
      </c>
      <c r="X530" t="s">
        <v>1950</v>
      </c>
      <c r="Y530" t="s">
        <v>1951</v>
      </c>
      <c r="Z530">
        <v>414.26096150000001</v>
      </c>
    </row>
    <row r="531" spans="1:29" hidden="1">
      <c r="A531">
        <v>530</v>
      </c>
      <c r="B531" t="s">
        <v>1952</v>
      </c>
      <c r="C531" t="s">
        <v>54</v>
      </c>
      <c r="D531" s="1" t="b">
        <v>0</v>
      </c>
      <c r="G531">
        <v>41.5</v>
      </c>
      <c r="O531" t="s">
        <v>29</v>
      </c>
      <c r="Q531" t="s">
        <v>1953</v>
      </c>
      <c r="X531" t="s">
        <v>1954</v>
      </c>
      <c r="Y531" t="s">
        <v>1955</v>
      </c>
      <c r="Z531">
        <v>543.33994010000004</v>
      </c>
    </row>
    <row r="532" spans="1:29">
      <c r="A532">
        <v>531</v>
      </c>
      <c r="B532" s="2" t="s">
        <v>1944</v>
      </c>
      <c r="C532" t="s">
        <v>54</v>
      </c>
      <c r="D532" s="1" t="b">
        <v>1</v>
      </c>
      <c r="E532">
        <v>2.4000000000000001E-4</v>
      </c>
      <c r="F532">
        <v>3.6197887579999999</v>
      </c>
      <c r="G532" s="2"/>
      <c r="H532" s="2"/>
      <c r="I532" s="2"/>
      <c r="J532" s="2"/>
      <c r="K532" s="2"/>
      <c r="L532" s="2"/>
      <c r="M532">
        <v>25</v>
      </c>
      <c r="N532" t="s">
        <v>135</v>
      </c>
      <c r="X532" t="s">
        <v>1956</v>
      </c>
      <c r="Y532" t="s">
        <v>1957</v>
      </c>
      <c r="Z532">
        <v>367.30057799999997</v>
      </c>
    </row>
    <row r="533" spans="1:29" hidden="1">
      <c r="A533">
        <v>532</v>
      </c>
      <c r="B533" t="s">
        <v>1958</v>
      </c>
      <c r="C533" t="s">
        <v>83</v>
      </c>
      <c r="D533" s="1" t="b">
        <v>0</v>
      </c>
      <c r="E533">
        <v>2.6420000000000001E-5</v>
      </c>
      <c r="F533">
        <v>4.5780671870000003</v>
      </c>
      <c r="M533">
        <v>25</v>
      </c>
      <c r="N533" t="s">
        <v>207</v>
      </c>
      <c r="X533" t="s">
        <v>1959</v>
      </c>
      <c r="Y533" t="s">
        <v>1960</v>
      </c>
      <c r="Z533">
        <v>474.428425</v>
      </c>
    </row>
    <row r="534" spans="1:29" hidden="1">
      <c r="A534">
        <v>533</v>
      </c>
      <c r="B534" t="s">
        <v>1961</v>
      </c>
      <c r="C534" t="s">
        <v>134</v>
      </c>
      <c r="D534" s="13" t="b">
        <v>0</v>
      </c>
      <c r="E534">
        <v>2.3169999999999999E-4</v>
      </c>
      <c r="F534">
        <v>3.6350739660000002</v>
      </c>
      <c r="M534">
        <v>25</v>
      </c>
      <c r="N534" t="s">
        <v>179</v>
      </c>
      <c r="W534" t="s">
        <v>1962</v>
      </c>
      <c r="X534" t="s">
        <v>1963</v>
      </c>
      <c r="Y534" t="s">
        <v>1964</v>
      </c>
      <c r="Z534">
        <v>342.22046030000001</v>
      </c>
    </row>
    <row r="535" spans="1:29" hidden="1">
      <c r="A535">
        <v>534</v>
      </c>
      <c r="B535" t="s">
        <v>1965</v>
      </c>
      <c r="C535" t="s">
        <v>83</v>
      </c>
      <c r="D535" s="1" t="b">
        <v>0</v>
      </c>
      <c r="G535">
        <v>33.299999999999997</v>
      </c>
      <c r="O535" t="s">
        <v>29</v>
      </c>
      <c r="Q535" t="s">
        <v>578</v>
      </c>
      <c r="X535" t="s">
        <v>1966</v>
      </c>
      <c r="Y535" t="s">
        <v>1967</v>
      </c>
      <c r="Z535">
        <v>433.34033820000002</v>
      </c>
    </row>
    <row r="536" spans="1:29">
      <c r="A536">
        <v>535</v>
      </c>
      <c r="B536" s="2" t="s">
        <v>1968</v>
      </c>
      <c r="C536" t="s">
        <v>83</v>
      </c>
      <c r="D536" s="1" t="b">
        <v>1</v>
      </c>
      <c r="E536">
        <v>7.7400000000000004E-6</v>
      </c>
      <c r="F536">
        <v>5.1112590390000001</v>
      </c>
      <c r="G536">
        <v>33.5</v>
      </c>
      <c r="H536">
        <v>3.6500000000000002E-6</v>
      </c>
      <c r="I536">
        <v>0.45494221000000001</v>
      </c>
      <c r="J536">
        <v>38.5</v>
      </c>
      <c r="K536">
        <v>6.11</v>
      </c>
      <c r="L536">
        <v>7.6599999999999995E-7</v>
      </c>
      <c r="M536">
        <v>20</v>
      </c>
      <c r="N536" t="s">
        <v>135</v>
      </c>
      <c r="O536" t="s">
        <v>137</v>
      </c>
      <c r="Q536" t="s">
        <v>446</v>
      </c>
      <c r="R536" t="s">
        <v>137</v>
      </c>
      <c r="S536" t="s">
        <v>137</v>
      </c>
      <c r="T536" t="s">
        <v>31</v>
      </c>
      <c r="U536" t="s">
        <v>446</v>
      </c>
      <c r="X536" t="s">
        <v>1969</v>
      </c>
      <c r="Y536" t="s">
        <v>1970</v>
      </c>
      <c r="Z536">
        <v>403.32977349999999</v>
      </c>
    </row>
    <row r="537" spans="1:29">
      <c r="A537">
        <v>536</v>
      </c>
      <c r="B537" s="2" t="s">
        <v>1971</v>
      </c>
      <c r="C537" t="s">
        <v>161</v>
      </c>
      <c r="D537" s="1" t="b">
        <v>1</v>
      </c>
      <c r="E537">
        <v>9.3000000000000007E-6</v>
      </c>
      <c r="F537">
        <v>5.0315170509999998</v>
      </c>
      <c r="G537">
        <v>35.6</v>
      </c>
      <c r="H537">
        <v>3.76E-6</v>
      </c>
      <c r="I537">
        <v>0.44</v>
      </c>
      <c r="J537">
        <v>37.200000000000003</v>
      </c>
      <c r="K537" s="2">
        <v>6.01</v>
      </c>
      <c r="L537" s="2">
        <f>10^(-K537)</f>
        <v>9.7723722095580961E-7</v>
      </c>
      <c r="M537">
        <v>20</v>
      </c>
      <c r="N537" t="s">
        <v>162</v>
      </c>
      <c r="O537" t="s">
        <v>163</v>
      </c>
      <c r="P537" t="s">
        <v>164</v>
      </c>
      <c r="R537" t="s">
        <v>446</v>
      </c>
      <c r="S537" t="s">
        <v>446</v>
      </c>
      <c r="T537" t="s">
        <v>446</v>
      </c>
      <c r="U537" t="s">
        <v>446</v>
      </c>
      <c r="W537" t="s">
        <v>1972</v>
      </c>
      <c r="X537" t="s">
        <v>1973</v>
      </c>
      <c r="Y537" t="s">
        <v>1974</v>
      </c>
      <c r="Z537">
        <v>579.39824699999997</v>
      </c>
    </row>
    <row r="538" spans="1:29" hidden="1">
      <c r="A538">
        <v>537</v>
      </c>
      <c r="B538" t="s">
        <v>1975</v>
      </c>
      <c r="C538" t="s">
        <v>54</v>
      </c>
      <c r="D538" s="1" t="b">
        <v>0</v>
      </c>
      <c r="E538">
        <v>7.2999999999999996E-4</v>
      </c>
      <c r="F538">
        <v>3.1366771400000002</v>
      </c>
      <c r="G538">
        <v>33</v>
      </c>
      <c r="H538">
        <v>6.1399999999999997E-6</v>
      </c>
      <c r="I538">
        <v>0.27</v>
      </c>
      <c r="J538">
        <v>44</v>
      </c>
      <c r="K538">
        <v>3.407691496</v>
      </c>
      <c r="L538">
        <v>3.3117564000000002E-2</v>
      </c>
      <c r="M538">
        <v>25</v>
      </c>
      <c r="N538" t="s">
        <v>1768</v>
      </c>
      <c r="O538" t="s">
        <v>29</v>
      </c>
      <c r="Q538" t="s">
        <v>1769</v>
      </c>
      <c r="R538" t="s">
        <v>1768</v>
      </c>
      <c r="S538" t="s">
        <v>1768</v>
      </c>
      <c r="T538" t="s">
        <v>1768</v>
      </c>
      <c r="U538" t="s">
        <v>31</v>
      </c>
      <c r="V538" t="s">
        <v>31</v>
      </c>
      <c r="W538" t="s">
        <v>1976</v>
      </c>
      <c r="X538" t="s">
        <v>1977</v>
      </c>
      <c r="Y538" t="s">
        <v>1978</v>
      </c>
      <c r="Z538">
        <v>542.30969760000005</v>
      </c>
    </row>
    <row r="539" spans="1:29" hidden="1">
      <c r="A539">
        <v>538</v>
      </c>
      <c r="B539" s="6" t="s">
        <v>1979</v>
      </c>
      <c r="C539" s="6" t="s">
        <v>161</v>
      </c>
      <c r="D539" s="11" t="b">
        <v>0</v>
      </c>
      <c r="E539" s="6">
        <v>9.3000000000000007E-6</v>
      </c>
      <c r="F539" s="6">
        <v>5.0315170509999998</v>
      </c>
      <c r="G539" s="6">
        <v>34.799999999999997</v>
      </c>
      <c r="H539" s="6">
        <v>3.76E-6</v>
      </c>
      <c r="I539" s="6">
        <v>0.44</v>
      </c>
      <c r="J539" s="6">
        <v>37.200000000000003</v>
      </c>
      <c r="K539" s="6">
        <v>6</v>
      </c>
      <c r="L539" s="6">
        <v>9.7900000000000007E-7</v>
      </c>
      <c r="M539" s="6">
        <v>20</v>
      </c>
      <c r="N539" s="6" t="s">
        <v>162</v>
      </c>
      <c r="O539" s="6"/>
      <c r="P539" s="6" t="s">
        <v>446</v>
      </c>
      <c r="Q539" s="6"/>
      <c r="R539" s="6" t="s">
        <v>446</v>
      </c>
      <c r="S539" s="6" t="s">
        <v>446</v>
      </c>
      <c r="T539" s="6" t="s">
        <v>446</v>
      </c>
      <c r="U539" s="6" t="s">
        <v>446</v>
      </c>
      <c r="V539" s="6"/>
      <c r="X539" s="6" t="s">
        <v>1980</v>
      </c>
      <c r="Y539" s="6" t="s">
        <v>1981</v>
      </c>
      <c r="Z539">
        <v>581.37751160000005</v>
      </c>
      <c r="AA539" s="6"/>
      <c r="AB539" s="6"/>
      <c r="AC539" s="6"/>
    </row>
    <row r="540" spans="1:29" hidden="1">
      <c r="A540">
        <v>539</v>
      </c>
      <c r="B540" t="s">
        <v>1982</v>
      </c>
      <c r="C540" t="s">
        <v>54</v>
      </c>
      <c r="D540" s="1" t="b">
        <v>0</v>
      </c>
      <c r="E540">
        <v>4.6100000000000002E-5</v>
      </c>
      <c r="F540">
        <v>4.3362990750000003</v>
      </c>
      <c r="G540">
        <v>39.799999999999997</v>
      </c>
      <c r="H540">
        <v>1.88E-6</v>
      </c>
      <c r="I540">
        <v>0.88</v>
      </c>
      <c r="J540">
        <v>32.200000000000003</v>
      </c>
      <c r="K540">
        <v>4.9000000000000004</v>
      </c>
      <c r="L540">
        <v>1.26E-5</v>
      </c>
      <c r="M540">
        <v>25</v>
      </c>
      <c r="N540" t="s">
        <v>1983</v>
      </c>
      <c r="O540" t="s">
        <v>29</v>
      </c>
      <c r="Q540" t="s">
        <v>1983</v>
      </c>
      <c r="R540" t="s">
        <v>1983</v>
      </c>
      <c r="S540" t="s">
        <v>1983</v>
      </c>
      <c r="T540" t="s">
        <v>1983</v>
      </c>
      <c r="V540" t="s">
        <v>1983</v>
      </c>
      <c r="W540" t="s">
        <v>1984</v>
      </c>
      <c r="X540" t="s">
        <v>1985</v>
      </c>
      <c r="Y540" t="s">
        <v>1986</v>
      </c>
      <c r="Z540">
        <v>539.38537029999998</v>
      </c>
    </row>
    <row r="541" spans="1:29" hidden="1">
      <c r="A541">
        <v>540</v>
      </c>
      <c r="B541" t="s">
        <v>1987</v>
      </c>
      <c r="C541" t="s">
        <v>54</v>
      </c>
      <c r="D541" s="1" t="b">
        <v>0</v>
      </c>
      <c r="G541">
        <v>31.6</v>
      </c>
      <c r="O541" t="s">
        <v>29</v>
      </c>
      <c r="Q541" t="s">
        <v>1988</v>
      </c>
      <c r="X541" t="s">
        <v>1989</v>
      </c>
      <c r="Y541" t="s">
        <v>1990</v>
      </c>
      <c r="Z541">
        <v>524.37447120000002</v>
      </c>
    </row>
    <row r="542" spans="1:29" hidden="1">
      <c r="A542">
        <v>541</v>
      </c>
      <c r="B542" t="s">
        <v>1991</v>
      </c>
      <c r="C542" t="s">
        <v>54</v>
      </c>
      <c r="D542" s="1" t="b">
        <v>0</v>
      </c>
      <c r="E542">
        <v>6.8400000000000004E-4</v>
      </c>
      <c r="F542">
        <v>3.1649438980000002</v>
      </c>
      <c r="G542">
        <v>27.7</v>
      </c>
      <c r="H542">
        <v>1.1000000000000001E-6</v>
      </c>
      <c r="I542">
        <v>1.51</v>
      </c>
      <c r="J542">
        <v>44.3</v>
      </c>
      <c r="K542">
        <v>5.0599999999999996</v>
      </c>
      <c r="L542">
        <v>8.7299999999999994E-6</v>
      </c>
      <c r="M542">
        <v>20</v>
      </c>
      <c r="N542" t="s">
        <v>1992</v>
      </c>
      <c r="O542" t="s">
        <v>29</v>
      </c>
      <c r="Q542" t="s">
        <v>1992</v>
      </c>
      <c r="R542" t="s">
        <v>1992</v>
      </c>
      <c r="S542" t="s">
        <v>1992</v>
      </c>
      <c r="T542" t="s">
        <v>1992</v>
      </c>
      <c r="U542" t="s">
        <v>1992</v>
      </c>
      <c r="W542" t="s">
        <v>1993</v>
      </c>
      <c r="X542" t="s">
        <v>1994</v>
      </c>
      <c r="Y542" t="s">
        <v>1995</v>
      </c>
      <c r="Z542">
        <v>451.34283679999999</v>
      </c>
    </row>
    <row r="543" spans="1:29" hidden="1">
      <c r="A543">
        <v>542</v>
      </c>
      <c r="B543" t="s">
        <v>1996</v>
      </c>
      <c r="C543" t="s">
        <v>28</v>
      </c>
      <c r="D543" s="1" t="b">
        <v>0</v>
      </c>
      <c r="E543">
        <v>6.4599999999999996E-3</v>
      </c>
      <c r="F543">
        <v>2.1897674820000002</v>
      </c>
      <c r="G543">
        <v>42.1</v>
      </c>
      <c r="H543">
        <v>7.3E-7</v>
      </c>
      <c r="I543">
        <v>2.266</v>
      </c>
      <c r="J543">
        <v>29.7</v>
      </c>
      <c r="K543">
        <v>3.3400837999999999</v>
      </c>
      <c r="L543">
        <v>4.57E-4</v>
      </c>
      <c r="M543">
        <v>25</v>
      </c>
      <c r="N543" t="s">
        <v>1997</v>
      </c>
      <c r="O543" t="s">
        <v>29</v>
      </c>
      <c r="Q543" t="s">
        <v>1997</v>
      </c>
      <c r="R543" t="s">
        <v>1997</v>
      </c>
      <c r="S543" t="s">
        <v>1997</v>
      </c>
      <c r="T543" t="s">
        <v>1997</v>
      </c>
      <c r="V543" t="s">
        <v>1997</v>
      </c>
      <c r="X543" t="s">
        <v>1998</v>
      </c>
      <c r="Y543" t="s">
        <v>1999</v>
      </c>
      <c r="Z543">
        <v>1014.743463</v>
      </c>
    </row>
    <row r="544" spans="1:29" hidden="1">
      <c r="A544">
        <v>543</v>
      </c>
      <c r="B544" t="s">
        <v>2000</v>
      </c>
      <c r="C544" t="s">
        <v>54</v>
      </c>
      <c r="D544" s="1" t="b">
        <v>0</v>
      </c>
      <c r="E544">
        <v>3.1E-4</v>
      </c>
      <c r="F544">
        <v>3.5086383059999999</v>
      </c>
      <c r="G544">
        <v>37.1</v>
      </c>
      <c r="H544">
        <v>1.8500000000000001E-6</v>
      </c>
      <c r="I544">
        <v>0.9</v>
      </c>
      <c r="J544">
        <v>34.68</v>
      </c>
      <c r="K544">
        <v>4.21</v>
      </c>
      <c r="L544">
        <v>6.1600000000000007E-5</v>
      </c>
      <c r="M544">
        <v>25</v>
      </c>
      <c r="N544" t="s">
        <v>2001</v>
      </c>
      <c r="O544" t="s">
        <v>29</v>
      </c>
      <c r="Q544" t="s">
        <v>2001</v>
      </c>
      <c r="R544" t="s">
        <v>2001</v>
      </c>
      <c r="S544" t="s">
        <v>2001</v>
      </c>
      <c r="T544" t="s">
        <v>2001</v>
      </c>
      <c r="U544" t="s">
        <v>2001</v>
      </c>
      <c r="V544" t="s">
        <v>2001</v>
      </c>
      <c r="W544" t="s">
        <v>2002</v>
      </c>
      <c r="X544" t="s">
        <v>2003</v>
      </c>
      <c r="Y544" t="s">
        <v>2004</v>
      </c>
      <c r="Z544">
        <v>447.2711918</v>
      </c>
    </row>
    <row r="545" spans="1:26" hidden="1">
      <c r="A545">
        <v>544</v>
      </c>
      <c r="B545" t="s">
        <v>2005</v>
      </c>
      <c r="C545" t="s">
        <v>54</v>
      </c>
      <c r="D545" s="1" t="b">
        <v>0</v>
      </c>
      <c r="E545">
        <v>3.6999999999999999E-4</v>
      </c>
      <c r="F545">
        <v>3.4317982759999999</v>
      </c>
      <c r="G545">
        <v>41</v>
      </c>
      <c r="H545">
        <v>2.7700000000000002E-6</v>
      </c>
      <c r="I545">
        <v>0.6</v>
      </c>
      <c r="J545">
        <v>30.78</v>
      </c>
      <c r="K545">
        <v>3.85</v>
      </c>
      <c r="L545">
        <v>1.4100000000000001E-4</v>
      </c>
      <c r="M545">
        <v>25</v>
      </c>
      <c r="N545" t="s">
        <v>2001</v>
      </c>
      <c r="O545" t="s">
        <v>29</v>
      </c>
      <c r="Q545" t="s">
        <v>2001</v>
      </c>
      <c r="R545" t="s">
        <v>2001</v>
      </c>
      <c r="S545" t="s">
        <v>2001</v>
      </c>
      <c r="T545" t="s">
        <v>2001</v>
      </c>
      <c r="U545" t="s">
        <v>2001</v>
      </c>
      <c r="V545" t="s">
        <v>2001</v>
      </c>
      <c r="W545" t="s">
        <v>2006</v>
      </c>
      <c r="X545" t="s">
        <v>2007</v>
      </c>
      <c r="Y545" t="s">
        <v>2008</v>
      </c>
      <c r="Z545">
        <v>403.32170739999998</v>
      </c>
    </row>
    <row r="546" spans="1:26" hidden="1">
      <c r="A546">
        <v>545</v>
      </c>
      <c r="B546" t="s">
        <v>2009</v>
      </c>
      <c r="C546" t="s">
        <v>54</v>
      </c>
      <c r="D546" s="1" t="b">
        <v>0</v>
      </c>
      <c r="E546">
        <v>9.4E-2</v>
      </c>
      <c r="F546">
        <v>1.0268721460000001</v>
      </c>
      <c r="G546">
        <v>39.200000000000003</v>
      </c>
      <c r="J546">
        <v>32.799999999999997</v>
      </c>
      <c r="M546">
        <v>25</v>
      </c>
      <c r="N546" t="s">
        <v>1777</v>
      </c>
      <c r="O546" t="s">
        <v>29</v>
      </c>
      <c r="Q546" t="s">
        <v>1777</v>
      </c>
      <c r="W546" t="s">
        <v>2010</v>
      </c>
      <c r="X546" t="s">
        <v>2011</v>
      </c>
      <c r="Y546" t="s">
        <v>2012</v>
      </c>
      <c r="Z546">
        <v>630.2490765</v>
      </c>
    </row>
    <row r="547" spans="1:26" hidden="1">
      <c r="A547">
        <v>546</v>
      </c>
      <c r="B547" t="s">
        <v>2013</v>
      </c>
      <c r="C547" t="s">
        <v>54</v>
      </c>
      <c r="D547" s="1" t="b">
        <v>0</v>
      </c>
      <c r="E547">
        <v>0.106</v>
      </c>
      <c r="F547">
        <v>0.97469413500000002</v>
      </c>
      <c r="G547">
        <v>40.4</v>
      </c>
      <c r="J547">
        <v>31.6</v>
      </c>
      <c r="M547">
        <v>25</v>
      </c>
      <c r="N547" t="s">
        <v>1777</v>
      </c>
      <c r="O547" t="s">
        <v>29</v>
      </c>
      <c r="Q547" t="s">
        <v>1777</v>
      </c>
      <c r="W547" t="s">
        <v>2014</v>
      </c>
      <c r="X547" t="s">
        <v>2015</v>
      </c>
      <c r="Y547" t="s">
        <v>2016</v>
      </c>
      <c r="Z547">
        <v>600.23851179999997</v>
      </c>
    </row>
    <row r="548" spans="1:26" hidden="1">
      <c r="A548">
        <v>547</v>
      </c>
      <c r="B548" t="s">
        <v>2017</v>
      </c>
      <c r="C548" t="s">
        <v>54</v>
      </c>
      <c r="D548" s="1" t="b">
        <v>0</v>
      </c>
      <c r="E548">
        <v>5.5999999999999995E-4</v>
      </c>
      <c r="F548">
        <v>3.2518119730000001</v>
      </c>
      <c r="G548">
        <v>29.8</v>
      </c>
      <c r="H548">
        <v>1.3400000000000001E-6</v>
      </c>
      <c r="I548">
        <v>1.236</v>
      </c>
      <c r="J548">
        <v>42</v>
      </c>
      <c r="K548">
        <v>3.8696662320000002</v>
      </c>
      <c r="L548">
        <v>1.35E-4</v>
      </c>
      <c r="M548">
        <v>25</v>
      </c>
      <c r="N548" t="s">
        <v>2018</v>
      </c>
      <c r="O548" t="s">
        <v>29</v>
      </c>
      <c r="Q548" t="s">
        <v>2018</v>
      </c>
      <c r="R548" t="s">
        <v>2018</v>
      </c>
      <c r="S548" t="s">
        <v>2018</v>
      </c>
      <c r="T548" t="s">
        <v>2018</v>
      </c>
      <c r="V548" t="s">
        <v>2018</v>
      </c>
      <c r="X548" t="s">
        <v>2019</v>
      </c>
      <c r="Y548" t="s">
        <v>2020</v>
      </c>
      <c r="Z548">
        <v>590.27192009999999</v>
      </c>
    </row>
    <row r="549" spans="1:26" hidden="1">
      <c r="A549">
        <v>548</v>
      </c>
      <c r="B549" t="s">
        <v>2021</v>
      </c>
      <c r="C549" t="s">
        <v>54</v>
      </c>
      <c r="D549" s="1" t="b">
        <v>0</v>
      </c>
      <c r="E549">
        <v>5.0000000000000001E-4</v>
      </c>
      <c r="F549">
        <v>3.301029996</v>
      </c>
      <c r="G549">
        <v>42.5</v>
      </c>
      <c r="H549">
        <v>5.2299999999999999E-6</v>
      </c>
      <c r="I549">
        <v>3.17</v>
      </c>
      <c r="J549">
        <v>29.5</v>
      </c>
      <c r="K549">
        <v>5.51</v>
      </c>
      <c r="L549">
        <v>3.0900000000000001E-6</v>
      </c>
      <c r="M549">
        <v>25</v>
      </c>
      <c r="N549" t="s">
        <v>1786</v>
      </c>
      <c r="O549" t="s">
        <v>29</v>
      </c>
      <c r="Q549" t="s">
        <v>1786</v>
      </c>
      <c r="R549" t="s">
        <v>1786</v>
      </c>
      <c r="S549" t="s">
        <v>1786</v>
      </c>
      <c r="T549" t="s">
        <v>1786</v>
      </c>
      <c r="U549" t="s">
        <v>1786</v>
      </c>
      <c r="W549" t="s">
        <v>2022</v>
      </c>
      <c r="X549" t="s">
        <v>2023</v>
      </c>
      <c r="Y549" t="s">
        <v>2024</v>
      </c>
      <c r="Z549">
        <v>604.32395570000006</v>
      </c>
    </row>
    <row r="550" spans="1:26" hidden="1">
      <c r="A550">
        <v>549</v>
      </c>
      <c r="B550" t="s">
        <v>2025</v>
      </c>
      <c r="C550" t="s">
        <v>54</v>
      </c>
      <c r="D550" s="1" t="b">
        <v>0</v>
      </c>
      <c r="E550">
        <v>1E-4</v>
      </c>
      <c r="F550">
        <v>4</v>
      </c>
      <c r="G550">
        <v>45</v>
      </c>
      <c r="H550">
        <v>2.8899999999999999E-6</v>
      </c>
      <c r="I550">
        <v>5.75</v>
      </c>
      <c r="J550">
        <v>27</v>
      </c>
      <c r="K550">
        <v>3.04</v>
      </c>
      <c r="L550">
        <v>9.1200000000000005E-4</v>
      </c>
      <c r="M550">
        <v>25</v>
      </c>
      <c r="N550" t="s">
        <v>1786</v>
      </c>
      <c r="O550" t="s">
        <v>29</v>
      </c>
      <c r="Q550" t="s">
        <v>1786</v>
      </c>
      <c r="R550" t="s">
        <v>1786</v>
      </c>
      <c r="S550" t="s">
        <v>1786</v>
      </c>
      <c r="T550" t="s">
        <v>1786</v>
      </c>
      <c r="U550" t="s">
        <v>1786</v>
      </c>
      <c r="W550" t="s">
        <v>2026</v>
      </c>
      <c r="X550" t="s">
        <v>2027</v>
      </c>
      <c r="Y550" t="s">
        <v>2028</v>
      </c>
      <c r="Z550">
        <v>606.30322020000006</v>
      </c>
    </row>
    <row r="551" spans="1:26" hidden="1">
      <c r="A551">
        <v>550</v>
      </c>
      <c r="B551" t="s">
        <v>2029</v>
      </c>
      <c r="C551" t="s">
        <v>54</v>
      </c>
      <c r="D551" s="1" t="b">
        <v>0</v>
      </c>
      <c r="G551">
        <v>37.799999999999997</v>
      </c>
      <c r="O551" t="s">
        <v>29</v>
      </c>
      <c r="Q551" t="s">
        <v>1795</v>
      </c>
      <c r="X551" t="s">
        <v>2030</v>
      </c>
      <c r="Y551" t="s">
        <v>2031</v>
      </c>
      <c r="Z551">
        <v>548.26135539999996</v>
      </c>
    </row>
    <row r="552" spans="1:26" hidden="1">
      <c r="A552">
        <v>551</v>
      </c>
      <c r="B552" t="s">
        <v>2032</v>
      </c>
      <c r="C552" t="s">
        <v>54</v>
      </c>
      <c r="D552" s="1" t="b">
        <v>0</v>
      </c>
      <c r="E552">
        <v>5.4999999999999997E-3</v>
      </c>
      <c r="F552">
        <v>2.2596373110000001</v>
      </c>
      <c r="G552">
        <v>33</v>
      </c>
      <c r="H552">
        <v>1.42E-6</v>
      </c>
      <c r="I552">
        <v>1.17</v>
      </c>
      <c r="J552">
        <v>38.78</v>
      </c>
      <c r="K552">
        <v>2.36</v>
      </c>
      <c r="L552">
        <v>4.47E-3</v>
      </c>
      <c r="M552">
        <v>25</v>
      </c>
      <c r="N552" t="s">
        <v>1799</v>
      </c>
      <c r="O552" t="s">
        <v>29</v>
      </c>
      <c r="Q552" t="s">
        <v>1799</v>
      </c>
      <c r="R552" t="s">
        <v>1799</v>
      </c>
      <c r="S552" t="s">
        <v>1799</v>
      </c>
      <c r="T552" t="s">
        <v>1799</v>
      </c>
      <c r="U552" t="s">
        <v>1799</v>
      </c>
      <c r="V552" t="s">
        <v>1799</v>
      </c>
      <c r="W552" t="s">
        <v>2033</v>
      </c>
      <c r="X552" t="s">
        <v>2034</v>
      </c>
      <c r="Y552" t="s">
        <v>2035</v>
      </c>
      <c r="Z552">
        <v>497.27297779999998</v>
      </c>
    </row>
    <row r="553" spans="1:26" hidden="1">
      <c r="A553">
        <v>552</v>
      </c>
      <c r="B553" t="s">
        <v>2036</v>
      </c>
      <c r="C553" t="s">
        <v>28</v>
      </c>
      <c r="D553" s="1" t="b">
        <v>0</v>
      </c>
      <c r="E553">
        <v>3.0000000000000001E-6</v>
      </c>
      <c r="F553">
        <v>5.5228787449999999</v>
      </c>
      <c r="G553">
        <v>39.200000000000003</v>
      </c>
      <c r="H553">
        <v>1.9099999999999999E-6</v>
      </c>
      <c r="I553">
        <v>0.87</v>
      </c>
      <c r="J553">
        <v>32.799999999999997</v>
      </c>
      <c r="K553">
        <v>6.12</v>
      </c>
      <c r="L553">
        <v>7.5799999999999998E-7</v>
      </c>
      <c r="M553">
        <v>25</v>
      </c>
      <c r="N553" t="s">
        <v>2037</v>
      </c>
      <c r="O553" t="s">
        <v>29</v>
      </c>
      <c r="Q553" t="s">
        <v>2037</v>
      </c>
      <c r="R553" t="s">
        <v>2037</v>
      </c>
      <c r="T553" t="s">
        <v>2037</v>
      </c>
      <c r="U553" t="s">
        <v>2037</v>
      </c>
      <c r="W553" t="s">
        <v>2038</v>
      </c>
      <c r="X553" t="s">
        <v>2039</v>
      </c>
      <c r="Y553" t="s">
        <v>2040</v>
      </c>
      <c r="Z553">
        <v>900.58933379999996</v>
      </c>
    </row>
    <row r="554" spans="1:26" hidden="1">
      <c r="A554">
        <v>553</v>
      </c>
      <c r="B554" t="s">
        <v>2041</v>
      </c>
      <c r="C554" t="s">
        <v>54</v>
      </c>
      <c r="D554" s="1" t="b">
        <v>0</v>
      </c>
      <c r="E554">
        <v>2.7E-4</v>
      </c>
      <c r="F554">
        <v>3.5686362360000001</v>
      </c>
      <c r="G554">
        <v>40.700000000000003</v>
      </c>
      <c r="H554">
        <v>2.08E-6</v>
      </c>
      <c r="I554">
        <v>0.8</v>
      </c>
      <c r="J554">
        <v>31.08</v>
      </c>
      <c r="K554">
        <v>4</v>
      </c>
      <c r="L554">
        <v>1E-4</v>
      </c>
      <c r="M554">
        <v>25</v>
      </c>
      <c r="N554" t="s">
        <v>2042</v>
      </c>
      <c r="O554" t="s">
        <v>29</v>
      </c>
      <c r="Q554" t="s">
        <v>2042</v>
      </c>
      <c r="R554" t="s">
        <v>2042</v>
      </c>
      <c r="S554" t="s">
        <v>2042</v>
      </c>
      <c r="T554" t="s">
        <v>2042</v>
      </c>
      <c r="U554" t="s">
        <v>2042</v>
      </c>
      <c r="V554" t="s">
        <v>2042</v>
      </c>
      <c r="W554" t="s">
        <v>2043</v>
      </c>
      <c r="X554" t="s">
        <v>2044</v>
      </c>
      <c r="Y554" t="s">
        <v>2045</v>
      </c>
      <c r="Z554">
        <v>460.2664408</v>
      </c>
    </row>
    <row r="555" spans="1:26" hidden="1">
      <c r="A555">
        <v>554</v>
      </c>
      <c r="B555" t="s">
        <v>2046</v>
      </c>
      <c r="C555" t="s">
        <v>54</v>
      </c>
      <c r="D555" s="1" t="b">
        <v>0</v>
      </c>
      <c r="E555">
        <v>1.34E-3</v>
      </c>
      <c r="F555">
        <v>2.872895202</v>
      </c>
      <c r="G555">
        <v>42</v>
      </c>
      <c r="H555">
        <v>1.73E-6</v>
      </c>
      <c r="I555">
        <v>0.96</v>
      </c>
      <c r="J555">
        <v>29.78</v>
      </c>
      <c r="K555">
        <v>3.75</v>
      </c>
      <c r="L555">
        <v>1.7699999999999999E-4</v>
      </c>
      <c r="M555">
        <v>25</v>
      </c>
      <c r="N555" t="s">
        <v>2042</v>
      </c>
      <c r="O555" t="s">
        <v>29</v>
      </c>
      <c r="Q555" t="s">
        <v>2042</v>
      </c>
      <c r="R555" t="s">
        <v>2042</v>
      </c>
      <c r="S555" t="s">
        <v>2042</v>
      </c>
      <c r="T555" t="s">
        <v>2042</v>
      </c>
      <c r="U555" t="s">
        <v>2042</v>
      </c>
      <c r="V555" t="s">
        <v>2042</v>
      </c>
      <c r="W555" t="s">
        <v>2047</v>
      </c>
      <c r="X555" t="s">
        <v>2048</v>
      </c>
      <c r="Y555" t="s">
        <v>2049</v>
      </c>
      <c r="Z555">
        <v>416.31695639999998</v>
      </c>
    </row>
    <row r="556" spans="1:26" hidden="1">
      <c r="A556">
        <v>555</v>
      </c>
      <c r="B556" t="s">
        <v>2050</v>
      </c>
      <c r="C556" t="s">
        <v>54</v>
      </c>
      <c r="D556" s="1" t="b">
        <v>0</v>
      </c>
      <c r="E556">
        <v>5.3000000000000001E-5</v>
      </c>
      <c r="F556">
        <v>4.2757241300000004</v>
      </c>
      <c r="G556">
        <v>50.5</v>
      </c>
      <c r="H556">
        <v>1.1799999999999999E-6</v>
      </c>
      <c r="I556">
        <v>0.93</v>
      </c>
      <c r="J556">
        <v>21.74</v>
      </c>
      <c r="K556">
        <v>1.8</v>
      </c>
      <c r="L556">
        <v>1.6E-2</v>
      </c>
      <c r="M556">
        <v>25</v>
      </c>
      <c r="N556" t="s">
        <v>2051</v>
      </c>
      <c r="O556" t="s">
        <v>29</v>
      </c>
      <c r="Q556" t="s">
        <v>2051</v>
      </c>
      <c r="R556" t="s">
        <v>2051</v>
      </c>
      <c r="S556" t="s">
        <v>2051</v>
      </c>
      <c r="T556" t="s">
        <v>2051</v>
      </c>
      <c r="V556" t="s">
        <v>2051</v>
      </c>
      <c r="W556" t="s">
        <v>2052</v>
      </c>
      <c r="X556" t="s">
        <v>2053</v>
      </c>
      <c r="Y556" t="s">
        <v>2054</v>
      </c>
      <c r="Z556">
        <v>488.29774090000001</v>
      </c>
    </row>
    <row r="557" spans="1:26" hidden="1">
      <c r="A557">
        <v>556</v>
      </c>
      <c r="B557" t="s">
        <v>2055</v>
      </c>
      <c r="C557" t="s">
        <v>54</v>
      </c>
      <c r="D557" s="1" t="b">
        <v>0</v>
      </c>
      <c r="E557">
        <v>6.7000000000000002E-5</v>
      </c>
      <c r="F557">
        <v>4.173925197</v>
      </c>
      <c r="G557">
        <v>54.2</v>
      </c>
      <c r="H557">
        <v>1.11E-6</v>
      </c>
      <c r="I557">
        <v>0.88</v>
      </c>
      <c r="J557">
        <v>17.97</v>
      </c>
      <c r="K557">
        <v>1.96</v>
      </c>
      <c r="L557">
        <v>1.0999999999999999E-2</v>
      </c>
      <c r="M557">
        <v>25</v>
      </c>
      <c r="N557" t="s">
        <v>2051</v>
      </c>
      <c r="O557" t="s">
        <v>29</v>
      </c>
      <c r="Q557" t="s">
        <v>2051</v>
      </c>
      <c r="R557" t="s">
        <v>2051</v>
      </c>
      <c r="S557" t="s">
        <v>2051</v>
      </c>
      <c r="T557" t="s">
        <v>2051</v>
      </c>
      <c r="V557" t="s">
        <v>2051</v>
      </c>
      <c r="W557" t="s">
        <v>2056</v>
      </c>
      <c r="X557" t="s">
        <v>2057</v>
      </c>
      <c r="Y557" t="s">
        <v>2058</v>
      </c>
      <c r="Z557">
        <v>444.34825649999999</v>
      </c>
    </row>
    <row r="558" spans="1:26" hidden="1">
      <c r="A558">
        <v>557</v>
      </c>
      <c r="B558" t="s">
        <v>2059</v>
      </c>
      <c r="C558" t="s">
        <v>28</v>
      </c>
      <c r="D558" s="1" t="b">
        <v>0</v>
      </c>
      <c r="E558">
        <v>4.1110000000000002E-4</v>
      </c>
      <c r="F558">
        <v>3.386052523</v>
      </c>
      <c r="G558">
        <v>50.1</v>
      </c>
      <c r="H558">
        <v>2.0099999999999998E-6</v>
      </c>
      <c r="I558">
        <v>0.08</v>
      </c>
      <c r="J558">
        <v>21.84</v>
      </c>
      <c r="K558">
        <v>0.46</v>
      </c>
      <c r="L558">
        <v>0.35</v>
      </c>
      <c r="M558">
        <v>25</v>
      </c>
      <c r="N558" t="s">
        <v>2060</v>
      </c>
      <c r="O558" t="s">
        <v>29</v>
      </c>
      <c r="Q558" t="s">
        <v>2060</v>
      </c>
      <c r="R558" t="s">
        <v>2060</v>
      </c>
      <c r="S558" t="s">
        <v>2060</v>
      </c>
      <c r="T558" t="s">
        <v>2060</v>
      </c>
      <c r="V558" t="s">
        <v>2060</v>
      </c>
      <c r="W558" t="s">
        <v>2061</v>
      </c>
      <c r="X558" t="s">
        <v>2062</v>
      </c>
      <c r="Y558" t="s">
        <v>2063</v>
      </c>
      <c r="Z558">
        <v>932.5328816</v>
      </c>
    </row>
    <row r="559" spans="1:26" hidden="1">
      <c r="A559">
        <v>558</v>
      </c>
      <c r="B559" t="s">
        <v>2064</v>
      </c>
      <c r="C559" t="s">
        <v>28</v>
      </c>
      <c r="D559" s="1" t="b">
        <v>0</v>
      </c>
      <c r="E559">
        <v>4.2900000000000002E-4</v>
      </c>
      <c r="F559">
        <v>3.3675427080000002</v>
      </c>
      <c r="G559">
        <v>48.1</v>
      </c>
      <c r="H559">
        <v>2.7099999999999999E-6</v>
      </c>
      <c r="I559">
        <v>0.06</v>
      </c>
      <c r="J559">
        <v>24.33</v>
      </c>
      <c r="K559">
        <v>0.52</v>
      </c>
      <c r="L559">
        <v>0.29899999999999999</v>
      </c>
      <c r="M559">
        <v>25</v>
      </c>
      <c r="N559" t="s">
        <v>2060</v>
      </c>
      <c r="O559" t="s">
        <v>29</v>
      </c>
      <c r="Q559" t="s">
        <v>2060</v>
      </c>
      <c r="R559" t="s">
        <v>2060</v>
      </c>
      <c r="S559" t="s">
        <v>2060</v>
      </c>
      <c r="T559" t="s">
        <v>2060</v>
      </c>
      <c r="V559" t="s">
        <v>2060</v>
      </c>
      <c r="W559" t="s">
        <v>2065</v>
      </c>
      <c r="X559" t="s">
        <v>2066</v>
      </c>
      <c r="Y559" t="s">
        <v>2067</v>
      </c>
      <c r="Z559">
        <v>918.51723149999998</v>
      </c>
    </row>
    <row r="560" spans="1:26" hidden="1">
      <c r="A560">
        <v>559</v>
      </c>
      <c r="B560" t="s">
        <v>2068</v>
      </c>
      <c r="C560" t="s">
        <v>83</v>
      </c>
      <c r="D560" s="1" t="b">
        <v>0</v>
      </c>
      <c r="E560">
        <v>1.66E-6</v>
      </c>
      <c r="F560">
        <v>5.7798919120000001</v>
      </c>
      <c r="G560">
        <v>31.8</v>
      </c>
      <c r="J560">
        <v>40.200000000000003</v>
      </c>
      <c r="M560">
        <v>25</v>
      </c>
      <c r="N560" t="s">
        <v>89</v>
      </c>
      <c r="O560" t="s">
        <v>29</v>
      </c>
      <c r="P560" t="s">
        <v>103</v>
      </c>
      <c r="Q560" t="s">
        <v>578</v>
      </c>
      <c r="W560" t="s">
        <v>2069</v>
      </c>
      <c r="X560" t="s">
        <v>2070</v>
      </c>
      <c r="Y560" t="s">
        <v>2071</v>
      </c>
      <c r="Z560">
        <v>506.41825419999998</v>
      </c>
    </row>
    <row r="561" spans="1:26" hidden="1">
      <c r="A561">
        <v>560</v>
      </c>
      <c r="B561" t="s">
        <v>2072</v>
      </c>
      <c r="C561" t="s">
        <v>83</v>
      </c>
      <c r="D561" s="1" t="b">
        <v>0</v>
      </c>
      <c r="E561">
        <v>1.7E-6</v>
      </c>
      <c r="F561">
        <v>5.7695510790000002</v>
      </c>
      <c r="G561">
        <v>32.799999999999997</v>
      </c>
      <c r="H561">
        <v>4.3699999999999997E-6</v>
      </c>
      <c r="I561">
        <v>0.38</v>
      </c>
      <c r="J561">
        <v>39.200000000000003</v>
      </c>
      <c r="K561">
        <v>6.5391365410000004</v>
      </c>
      <c r="L561">
        <v>1.445736E-3</v>
      </c>
      <c r="M561">
        <v>25</v>
      </c>
      <c r="N561" t="s">
        <v>89</v>
      </c>
      <c r="O561" t="s">
        <v>29</v>
      </c>
      <c r="P561" t="s">
        <v>103</v>
      </c>
      <c r="Q561" t="s">
        <v>578</v>
      </c>
      <c r="U561" t="s">
        <v>31</v>
      </c>
      <c r="V561" t="s">
        <v>31</v>
      </c>
      <c r="W561" t="s">
        <v>2073</v>
      </c>
      <c r="X561" t="s">
        <v>2074</v>
      </c>
      <c r="Y561" t="s">
        <v>2075</v>
      </c>
      <c r="Z561">
        <v>550.44446889999995</v>
      </c>
    </row>
    <row r="562" spans="1:26" hidden="1">
      <c r="A562">
        <v>561</v>
      </c>
      <c r="B562" t="s">
        <v>1209</v>
      </c>
      <c r="C562" t="s">
        <v>83</v>
      </c>
      <c r="D562" s="1" t="b">
        <v>0</v>
      </c>
      <c r="E562">
        <v>2.0999999999999998E-6</v>
      </c>
      <c r="F562">
        <v>5.677780705</v>
      </c>
      <c r="G562">
        <v>35.799999999999997</v>
      </c>
      <c r="H562">
        <v>3.1300000000000001E-6</v>
      </c>
      <c r="I562">
        <v>0.53</v>
      </c>
      <c r="J562">
        <v>36.200000000000003</v>
      </c>
      <c r="K562">
        <v>6.5843640590000003</v>
      </c>
      <c r="L562">
        <v>1.381806E-3</v>
      </c>
      <c r="M562">
        <v>25</v>
      </c>
      <c r="N562" t="s">
        <v>89</v>
      </c>
      <c r="O562" t="s">
        <v>29</v>
      </c>
      <c r="P562" t="s">
        <v>103</v>
      </c>
      <c r="Q562" t="s">
        <v>578</v>
      </c>
      <c r="T562" t="s">
        <v>2076</v>
      </c>
      <c r="U562" t="s">
        <v>31</v>
      </c>
      <c r="V562" t="s">
        <v>31</v>
      </c>
      <c r="W562" t="s">
        <v>2077</v>
      </c>
      <c r="X562" t="s">
        <v>2078</v>
      </c>
      <c r="Y562" t="s">
        <v>2079</v>
      </c>
      <c r="Z562">
        <v>638.49689839999996</v>
      </c>
    </row>
    <row r="563" spans="1:26">
      <c r="A563">
        <v>562</v>
      </c>
      <c r="B563" t="s">
        <v>2080</v>
      </c>
      <c r="C563" t="s">
        <v>83</v>
      </c>
      <c r="D563" s="1" t="b">
        <v>1</v>
      </c>
      <c r="E563">
        <v>1.9999999999999999E-6</v>
      </c>
      <c r="F563">
        <v>5.6989700040000004</v>
      </c>
      <c r="M563" s="2">
        <v>25</v>
      </c>
      <c r="N563" t="s">
        <v>121</v>
      </c>
      <c r="W563" t="s">
        <v>2081</v>
      </c>
      <c r="X563" t="s">
        <v>2082</v>
      </c>
      <c r="Y563" t="s">
        <v>2083</v>
      </c>
      <c r="Z563">
        <v>682.52311320000001</v>
      </c>
    </row>
    <row r="564" spans="1:26" hidden="1">
      <c r="A564">
        <v>563</v>
      </c>
      <c r="B564" t="s">
        <v>2084</v>
      </c>
      <c r="C564" t="s">
        <v>83</v>
      </c>
      <c r="D564" s="1" t="b">
        <v>0</v>
      </c>
      <c r="E564">
        <v>2.3E-6</v>
      </c>
      <c r="F564">
        <v>5.638272164</v>
      </c>
      <c r="G564">
        <v>38.799999999999997</v>
      </c>
      <c r="H564">
        <v>2.3099999999999999E-6</v>
      </c>
      <c r="I564">
        <v>0.72</v>
      </c>
      <c r="J564">
        <v>33.200000000000003</v>
      </c>
      <c r="K564">
        <v>6.639191351</v>
      </c>
      <c r="L564">
        <v>1.3080850000000001E-3</v>
      </c>
      <c r="M564">
        <v>25</v>
      </c>
      <c r="N564" t="s">
        <v>89</v>
      </c>
      <c r="O564" t="s">
        <v>29</v>
      </c>
      <c r="P564" t="s">
        <v>103</v>
      </c>
      <c r="Q564" t="s">
        <v>578</v>
      </c>
      <c r="T564" t="s">
        <v>2076</v>
      </c>
      <c r="U564" t="s">
        <v>31</v>
      </c>
      <c r="V564" t="s">
        <v>31</v>
      </c>
      <c r="W564" t="s">
        <v>2085</v>
      </c>
      <c r="X564" t="s">
        <v>2086</v>
      </c>
      <c r="Y564" t="s">
        <v>2087</v>
      </c>
      <c r="Z564">
        <v>770.57554270000003</v>
      </c>
    </row>
    <row r="565" spans="1:26" hidden="1">
      <c r="A565">
        <v>564</v>
      </c>
      <c r="B565" t="s">
        <v>1811</v>
      </c>
      <c r="C565" t="s">
        <v>83</v>
      </c>
      <c r="D565" s="1" t="b">
        <v>0</v>
      </c>
      <c r="E565">
        <v>3.1E-6</v>
      </c>
      <c r="F565">
        <v>5.5086383059999999</v>
      </c>
      <c r="G565">
        <v>39.799999999999997</v>
      </c>
      <c r="H565">
        <v>2.0499999999999999E-6</v>
      </c>
      <c r="I565">
        <v>0.81</v>
      </c>
      <c r="J565">
        <v>32.200000000000003</v>
      </c>
      <c r="K565">
        <v>6.5510590210000004</v>
      </c>
      <c r="L565">
        <v>1.428602E-3</v>
      </c>
      <c r="M565">
        <v>25</v>
      </c>
      <c r="N565" t="s">
        <v>89</v>
      </c>
      <c r="O565" t="s">
        <v>29</v>
      </c>
      <c r="P565" t="s">
        <v>103</v>
      </c>
      <c r="Q565" t="s">
        <v>578</v>
      </c>
      <c r="T565" t="s">
        <v>2076</v>
      </c>
      <c r="U565" t="s">
        <v>31</v>
      </c>
      <c r="V565" t="s">
        <v>31</v>
      </c>
      <c r="W565" t="s">
        <v>2088</v>
      </c>
      <c r="X565" t="s">
        <v>2089</v>
      </c>
      <c r="Y565" t="s">
        <v>2090</v>
      </c>
      <c r="Z565">
        <v>902.65418690000001</v>
      </c>
    </row>
    <row r="566" spans="1:26" hidden="1">
      <c r="A566">
        <v>565</v>
      </c>
      <c r="B566" t="s">
        <v>2091</v>
      </c>
      <c r="C566" t="s">
        <v>83</v>
      </c>
      <c r="D566" s="1" t="b">
        <v>0</v>
      </c>
      <c r="G566">
        <v>39.700000000000003</v>
      </c>
      <c r="O566" t="s">
        <v>29</v>
      </c>
      <c r="Q566" t="s">
        <v>2092</v>
      </c>
      <c r="X566" t="s">
        <v>2093</v>
      </c>
      <c r="Y566" t="s">
        <v>2094</v>
      </c>
      <c r="Z566">
        <v>990.70661640000003</v>
      </c>
    </row>
    <row r="567" spans="1:26">
      <c r="A567">
        <v>566</v>
      </c>
      <c r="B567" t="s">
        <v>2095</v>
      </c>
      <c r="C567" t="s">
        <v>83</v>
      </c>
      <c r="D567" s="1" t="b">
        <v>1</v>
      </c>
      <c r="E567">
        <v>6.9999999999999999E-6</v>
      </c>
      <c r="F567">
        <v>5.1549019600000001</v>
      </c>
      <c r="M567" s="2">
        <v>25</v>
      </c>
      <c r="N567" t="s">
        <v>121</v>
      </c>
      <c r="W567" t="s">
        <v>2096</v>
      </c>
      <c r="X567" t="s">
        <v>2097</v>
      </c>
      <c r="Y567" t="s">
        <v>2098</v>
      </c>
      <c r="Z567">
        <v>1122.785261</v>
      </c>
    </row>
    <row r="568" spans="1:26" hidden="1">
      <c r="A568">
        <v>567</v>
      </c>
      <c r="B568" t="s">
        <v>2099</v>
      </c>
      <c r="C568" t="s">
        <v>83</v>
      </c>
      <c r="D568" s="1" t="b">
        <v>0</v>
      </c>
      <c r="E568">
        <v>3.8999999999999999E-6</v>
      </c>
      <c r="F568">
        <v>5.4089353930000001</v>
      </c>
      <c r="G568">
        <v>44.8</v>
      </c>
      <c r="H568">
        <v>1.3799999999999999E-6</v>
      </c>
      <c r="I568">
        <v>1.2</v>
      </c>
      <c r="J568">
        <v>27.2</v>
      </c>
      <c r="K568">
        <v>6.3228181289999998</v>
      </c>
      <c r="L568">
        <v>1.794878E-3</v>
      </c>
      <c r="M568">
        <v>25</v>
      </c>
      <c r="N568" t="s">
        <v>89</v>
      </c>
      <c r="O568" t="s">
        <v>29</v>
      </c>
      <c r="P568" t="s">
        <v>103</v>
      </c>
      <c r="Q568" t="s">
        <v>578</v>
      </c>
      <c r="T568" t="s">
        <v>2076</v>
      </c>
      <c r="U568" t="s">
        <v>31</v>
      </c>
      <c r="V568" t="s">
        <v>31</v>
      </c>
      <c r="W568" t="s">
        <v>2100</v>
      </c>
      <c r="X568" t="s">
        <v>2101</v>
      </c>
      <c r="Y568" t="s">
        <v>2102</v>
      </c>
      <c r="Z568">
        <v>1166.811475</v>
      </c>
    </row>
    <row r="569" spans="1:26" hidden="1">
      <c r="A569">
        <v>568</v>
      </c>
      <c r="B569" t="s">
        <v>2103</v>
      </c>
      <c r="C569" t="s">
        <v>83</v>
      </c>
      <c r="D569" s="1" t="b">
        <v>0</v>
      </c>
      <c r="G569">
        <v>44.7</v>
      </c>
      <c r="O569" t="s">
        <v>29</v>
      </c>
      <c r="Q569" t="s">
        <v>2092</v>
      </c>
      <c r="X569" t="s">
        <v>2104</v>
      </c>
      <c r="Y569" t="s">
        <v>2105</v>
      </c>
      <c r="Z569">
        <v>2179.4144150000002</v>
      </c>
    </row>
    <row r="570" spans="1:26" hidden="1">
      <c r="A570">
        <v>569</v>
      </c>
      <c r="B570" t="s">
        <v>2106</v>
      </c>
      <c r="C570" t="s">
        <v>83</v>
      </c>
      <c r="D570" s="1" t="b">
        <v>0</v>
      </c>
      <c r="G570">
        <v>47.5</v>
      </c>
      <c r="O570" t="s">
        <v>29</v>
      </c>
      <c r="Q570" t="s">
        <v>2092</v>
      </c>
      <c r="X570" t="s">
        <v>2107</v>
      </c>
      <c r="Y570" t="s">
        <v>2108</v>
      </c>
      <c r="Z570">
        <v>3015.912495</v>
      </c>
    </row>
    <row r="571" spans="1:26" hidden="1">
      <c r="A571">
        <v>570</v>
      </c>
      <c r="B571" t="s">
        <v>2109</v>
      </c>
      <c r="C571" t="s">
        <v>134</v>
      </c>
      <c r="D571" s="1" t="b">
        <v>0</v>
      </c>
      <c r="E571">
        <v>1E-4</v>
      </c>
      <c r="F571">
        <v>4</v>
      </c>
      <c r="M571">
        <v>25</v>
      </c>
      <c r="N571" t="s">
        <v>1832</v>
      </c>
      <c r="X571" t="s">
        <v>2110</v>
      </c>
      <c r="Y571" t="s">
        <v>2111</v>
      </c>
      <c r="Z571">
        <v>520.30458380000005</v>
      </c>
    </row>
    <row r="572" spans="1:26" hidden="1">
      <c r="A572">
        <v>571</v>
      </c>
      <c r="B572" t="s">
        <v>2112</v>
      </c>
      <c r="C572" t="s">
        <v>134</v>
      </c>
      <c r="D572" s="1" t="b">
        <v>0</v>
      </c>
      <c r="E572">
        <v>1E-4</v>
      </c>
      <c r="F572">
        <v>4</v>
      </c>
      <c r="M572">
        <v>25</v>
      </c>
      <c r="N572" t="s">
        <v>1832</v>
      </c>
      <c r="X572" t="s">
        <v>2113</v>
      </c>
      <c r="Y572" t="s">
        <v>2114</v>
      </c>
      <c r="Z572">
        <v>476.27836910000002</v>
      </c>
    </row>
    <row r="573" spans="1:26" hidden="1">
      <c r="A573">
        <v>572</v>
      </c>
      <c r="B573" t="s">
        <v>2115</v>
      </c>
      <c r="C573" t="s">
        <v>134</v>
      </c>
      <c r="D573" s="1" t="b">
        <v>0</v>
      </c>
      <c r="E573">
        <v>1.3999999999999999E-4</v>
      </c>
      <c r="F573">
        <v>3.8538719640000001</v>
      </c>
      <c r="M573">
        <v>25</v>
      </c>
      <c r="N573" t="s">
        <v>1832</v>
      </c>
      <c r="X573" t="s">
        <v>2116</v>
      </c>
      <c r="Y573" t="s">
        <v>2117</v>
      </c>
      <c r="Z573">
        <v>432.25215429999997</v>
      </c>
    </row>
    <row r="574" spans="1:26">
      <c r="A574">
        <v>573</v>
      </c>
      <c r="B574" t="s">
        <v>2118</v>
      </c>
      <c r="C574" t="s">
        <v>54</v>
      </c>
      <c r="D574" s="1" t="b">
        <v>1</v>
      </c>
      <c r="E574">
        <v>2.3000000000000001E-4</v>
      </c>
      <c r="F574">
        <v>3.638272164</v>
      </c>
      <c r="G574">
        <v>44.6</v>
      </c>
      <c r="I574">
        <v>0.97</v>
      </c>
      <c r="J574">
        <v>27.9</v>
      </c>
      <c r="M574">
        <v>25</v>
      </c>
      <c r="N574" t="s">
        <v>349</v>
      </c>
      <c r="O574" t="s">
        <v>29</v>
      </c>
      <c r="Q574" t="s">
        <v>2119</v>
      </c>
      <c r="S574" t="s">
        <v>349</v>
      </c>
      <c r="T574" t="s">
        <v>349</v>
      </c>
      <c r="X574" t="s">
        <v>2120</v>
      </c>
      <c r="Y574" t="s">
        <v>2121</v>
      </c>
      <c r="Z574">
        <v>451.30249190000001</v>
      </c>
    </row>
    <row r="575" spans="1:26">
      <c r="A575">
        <v>574</v>
      </c>
      <c r="B575" s="2" t="s">
        <v>2122</v>
      </c>
      <c r="C575" t="s">
        <v>54</v>
      </c>
      <c r="D575" s="1" t="b">
        <v>1</v>
      </c>
      <c r="E575">
        <v>1.8000000000000001E-4</v>
      </c>
      <c r="F575">
        <v>3.7447274949999998</v>
      </c>
      <c r="M575">
        <v>25</v>
      </c>
      <c r="N575" t="s">
        <v>1832</v>
      </c>
      <c r="X575" t="s">
        <v>2123</v>
      </c>
      <c r="Y575" t="s">
        <v>2124</v>
      </c>
      <c r="Z575">
        <v>432.36083259999998</v>
      </c>
    </row>
    <row r="576" spans="1:26" hidden="1">
      <c r="A576">
        <v>575</v>
      </c>
      <c r="B576" t="s">
        <v>2125</v>
      </c>
      <c r="C576" t="s">
        <v>54</v>
      </c>
      <c r="D576" s="1" t="b">
        <v>0</v>
      </c>
      <c r="G576">
        <v>46.5</v>
      </c>
      <c r="O576" t="s">
        <v>29</v>
      </c>
      <c r="Q576" t="s">
        <v>2126</v>
      </c>
      <c r="X576" t="s">
        <v>2127</v>
      </c>
      <c r="Y576" t="s">
        <v>2128</v>
      </c>
      <c r="Z576">
        <v>427.32170739999998</v>
      </c>
    </row>
    <row r="577" spans="1:26" hidden="1">
      <c r="A577">
        <v>576</v>
      </c>
      <c r="B577" t="s">
        <v>2129</v>
      </c>
      <c r="C577" t="s">
        <v>134</v>
      </c>
      <c r="D577" s="1" t="b">
        <v>0</v>
      </c>
      <c r="E577">
        <v>2.2000000000000001E-4</v>
      </c>
      <c r="F577">
        <v>3.657577319</v>
      </c>
      <c r="M577">
        <v>25</v>
      </c>
      <c r="N577" t="s">
        <v>1832</v>
      </c>
      <c r="X577" t="s">
        <v>2130</v>
      </c>
      <c r="Y577" t="s">
        <v>2131</v>
      </c>
      <c r="Z577">
        <v>388.2259396</v>
      </c>
    </row>
    <row r="578" spans="1:26">
      <c r="A578">
        <v>577</v>
      </c>
      <c r="B578" s="2" t="s">
        <v>2132</v>
      </c>
      <c r="C578" t="s">
        <v>54</v>
      </c>
      <c r="D578" s="1" t="b">
        <v>1</v>
      </c>
      <c r="E578">
        <v>2.9E-4</v>
      </c>
      <c r="F578">
        <v>3.5376020019999999</v>
      </c>
      <c r="M578">
        <v>25</v>
      </c>
      <c r="N578" t="s">
        <v>1832</v>
      </c>
      <c r="X578" t="s">
        <v>2133</v>
      </c>
      <c r="Y578" t="s">
        <v>2134</v>
      </c>
      <c r="Z578">
        <v>388.33461779999999</v>
      </c>
    </row>
    <row r="579" spans="1:26" hidden="1">
      <c r="A579">
        <v>578</v>
      </c>
      <c r="B579" t="s">
        <v>2135</v>
      </c>
      <c r="C579" t="s">
        <v>54</v>
      </c>
      <c r="D579" s="1" t="b">
        <v>0</v>
      </c>
      <c r="G579">
        <v>46</v>
      </c>
      <c r="O579" t="s">
        <v>29</v>
      </c>
      <c r="Q579" t="s">
        <v>2126</v>
      </c>
      <c r="X579" t="s">
        <v>2136</v>
      </c>
      <c r="Y579" t="s">
        <v>2137</v>
      </c>
      <c r="Z579">
        <v>383.29549259999999</v>
      </c>
    </row>
    <row r="580" spans="1:26" hidden="1">
      <c r="A580">
        <v>579</v>
      </c>
      <c r="B580" t="s">
        <v>2138</v>
      </c>
      <c r="C580" t="s">
        <v>83</v>
      </c>
      <c r="D580" s="1" t="b">
        <v>0</v>
      </c>
      <c r="E580">
        <v>1.3999999999999999E-4</v>
      </c>
      <c r="F580">
        <v>3.8538719640000001</v>
      </c>
      <c r="M580">
        <v>25</v>
      </c>
      <c r="N580" t="s">
        <v>207</v>
      </c>
      <c r="X580" t="s">
        <v>2139</v>
      </c>
      <c r="Y580" t="s">
        <v>2140</v>
      </c>
      <c r="Z580">
        <v>434.32435379999998</v>
      </c>
    </row>
    <row r="581" spans="1:26" hidden="1">
      <c r="A581">
        <v>580</v>
      </c>
      <c r="B581" t="s">
        <v>2141</v>
      </c>
      <c r="C581" t="s">
        <v>83</v>
      </c>
      <c r="D581" s="1" t="b">
        <v>0</v>
      </c>
      <c r="E581">
        <v>7.5859999999999999E-6</v>
      </c>
      <c r="F581">
        <v>5.1199871620000001</v>
      </c>
      <c r="M581">
        <v>25</v>
      </c>
      <c r="N581" t="s">
        <v>207</v>
      </c>
      <c r="X581" t="s">
        <v>2142</v>
      </c>
      <c r="Y581" t="s">
        <v>2143</v>
      </c>
      <c r="Z581">
        <v>598.39282730000002</v>
      </c>
    </row>
    <row r="582" spans="1:26" hidden="1">
      <c r="A582">
        <v>581</v>
      </c>
      <c r="B582" t="s">
        <v>2144</v>
      </c>
      <c r="C582" t="s">
        <v>83</v>
      </c>
      <c r="D582" s="1" t="b">
        <v>0</v>
      </c>
      <c r="E582">
        <v>9.55E-6</v>
      </c>
      <c r="F582">
        <v>5.0199966280000003</v>
      </c>
      <c r="M582">
        <v>25</v>
      </c>
      <c r="N582" t="s">
        <v>207</v>
      </c>
      <c r="X582" t="s">
        <v>2145</v>
      </c>
      <c r="Y582" t="s">
        <v>2146</v>
      </c>
      <c r="Z582">
        <v>596.37717720000001</v>
      </c>
    </row>
    <row r="583" spans="1:26" hidden="1">
      <c r="A583">
        <v>582</v>
      </c>
      <c r="B583" t="s">
        <v>2147</v>
      </c>
      <c r="C583" t="s">
        <v>83</v>
      </c>
      <c r="D583" s="1" t="b">
        <v>0</v>
      </c>
      <c r="E583">
        <v>1.66E-6</v>
      </c>
      <c r="F583">
        <v>5.7798919120000001</v>
      </c>
      <c r="G583">
        <v>32</v>
      </c>
      <c r="J583">
        <v>40</v>
      </c>
      <c r="M583">
        <v>25</v>
      </c>
      <c r="N583" t="s">
        <v>207</v>
      </c>
      <c r="O583" t="s">
        <v>2148</v>
      </c>
      <c r="X583" t="s">
        <v>2149</v>
      </c>
      <c r="Y583" t="s">
        <v>2150</v>
      </c>
      <c r="Z583">
        <v>506.41825419999998</v>
      </c>
    </row>
    <row r="584" spans="1:26" hidden="1">
      <c r="A584">
        <v>583</v>
      </c>
      <c r="B584" t="s">
        <v>2151</v>
      </c>
      <c r="C584" t="s">
        <v>83</v>
      </c>
      <c r="D584" s="1" t="b">
        <v>0</v>
      </c>
      <c r="E584">
        <v>1.6980000000000001E-6</v>
      </c>
      <c r="F584">
        <v>5.7700623139999996</v>
      </c>
      <c r="G584">
        <v>33</v>
      </c>
      <c r="J584">
        <v>39</v>
      </c>
      <c r="M584">
        <v>25</v>
      </c>
      <c r="N584" t="s">
        <v>207</v>
      </c>
      <c r="O584" t="s">
        <v>2148</v>
      </c>
      <c r="X584" t="s">
        <v>2152</v>
      </c>
      <c r="Y584" t="s">
        <v>2153</v>
      </c>
      <c r="Z584">
        <v>550.44446889999995</v>
      </c>
    </row>
    <row r="585" spans="1:26" hidden="1">
      <c r="A585">
        <v>584</v>
      </c>
      <c r="B585" t="s">
        <v>2154</v>
      </c>
      <c r="C585" t="s">
        <v>83</v>
      </c>
      <c r="D585" s="1" t="b">
        <v>0</v>
      </c>
      <c r="E585">
        <v>1.1990000000000001E-6</v>
      </c>
      <c r="F585">
        <v>5.9211808169999998</v>
      </c>
      <c r="M585">
        <v>25</v>
      </c>
      <c r="N585" t="s">
        <v>207</v>
      </c>
      <c r="X585" t="s">
        <v>2155</v>
      </c>
      <c r="Y585" t="s">
        <v>2156</v>
      </c>
      <c r="Z585">
        <v>594.4706837</v>
      </c>
    </row>
    <row r="586" spans="1:26" hidden="1">
      <c r="A586">
        <v>585</v>
      </c>
      <c r="B586" t="s">
        <v>2157</v>
      </c>
      <c r="C586" t="s">
        <v>83</v>
      </c>
      <c r="D586" s="1" t="b">
        <v>0</v>
      </c>
      <c r="E586">
        <v>2.0990000000000001E-6</v>
      </c>
      <c r="F586">
        <v>5.6779875610000001</v>
      </c>
      <c r="G586">
        <v>35.799999999999997</v>
      </c>
      <c r="J586">
        <v>36.200000000000003</v>
      </c>
      <c r="M586">
        <v>25</v>
      </c>
      <c r="N586" t="s">
        <v>207</v>
      </c>
      <c r="O586" t="s">
        <v>2148</v>
      </c>
      <c r="X586" t="s">
        <v>2158</v>
      </c>
      <c r="Y586" t="s">
        <v>2159</v>
      </c>
      <c r="Z586">
        <v>638.49689839999996</v>
      </c>
    </row>
    <row r="587" spans="1:26" hidden="1">
      <c r="A587">
        <v>586</v>
      </c>
      <c r="B587" t="s">
        <v>2160</v>
      </c>
      <c r="C587" t="s">
        <v>83</v>
      </c>
      <c r="D587" s="1" t="b">
        <v>0</v>
      </c>
      <c r="E587">
        <v>1.9999999999999999E-6</v>
      </c>
      <c r="F587">
        <v>5.6989700040000004</v>
      </c>
      <c r="M587">
        <v>25</v>
      </c>
      <c r="N587" t="s">
        <v>207</v>
      </c>
      <c r="X587" t="s">
        <v>2161</v>
      </c>
      <c r="Y587" t="s">
        <v>2162</v>
      </c>
      <c r="Z587">
        <v>682.52311320000001</v>
      </c>
    </row>
    <row r="588" spans="1:26" hidden="1">
      <c r="A588">
        <v>587</v>
      </c>
      <c r="B588" t="s">
        <v>2163</v>
      </c>
      <c r="C588" t="s">
        <v>83</v>
      </c>
      <c r="D588" s="1" t="b">
        <v>0</v>
      </c>
      <c r="E588">
        <v>2.3010000000000001E-6</v>
      </c>
      <c r="F588">
        <v>5.6380833810000004</v>
      </c>
      <c r="G588">
        <v>38.9</v>
      </c>
      <c r="J588">
        <v>33.1</v>
      </c>
      <c r="M588">
        <v>25</v>
      </c>
      <c r="N588" t="s">
        <v>207</v>
      </c>
      <c r="O588" t="s">
        <v>2148</v>
      </c>
      <c r="X588" t="s">
        <v>2164</v>
      </c>
      <c r="Y588" t="s">
        <v>2165</v>
      </c>
      <c r="Z588">
        <v>770.57554270000003</v>
      </c>
    </row>
    <row r="589" spans="1:26" hidden="1">
      <c r="A589">
        <v>588</v>
      </c>
      <c r="B589" t="s">
        <v>2166</v>
      </c>
      <c r="C589" t="s">
        <v>134</v>
      </c>
      <c r="D589" s="13" t="b">
        <v>0</v>
      </c>
      <c r="E589">
        <v>4.0000000000000002E-4</v>
      </c>
      <c r="F589">
        <v>3.397940009</v>
      </c>
      <c r="H589">
        <v>4.9999999999999998E-7</v>
      </c>
      <c r="I589">
        <v>3.32</v>
      </c>
      <c r="M589">
        <v>25</v>
      </c>
      <c r="N589" t="s">
        <v>2167</v>
      </c>
      <c r="P589" t="s">
        <v>180</v>
      </c>
      <c r="T589" t="s">
        <v>289</v>
      </c>
      <c r="W589" t="s">
        <v>2168</v>
      </c>
      <c r="X589" t="s">
        <v>2169</v>
      </c>
      <c r="Y589" t="s">
        <v>2170</v>
      </c>
      <c r="Z589">
        <v>344.19972480000001</v>
      </c>
    </row>
    <row r="590" spans="1:26" hidden="1">
      <c r="A590">
        <v>589</v>
      </c>
      <c r="B590" t="s">
        <v>2171</v>
      </c>
      <c r="C590" t="s">
        <v>54</v>
      </c>
      <c r="D590" s="1" t="b">
        <v>0</v>
      </c>
      <c r="G590">
        <v>37.9</v>
      </c>
      <c r="O590" t="s">
        <v>29</v>
      </c>
      <c r="Q590" t="s">
        <v>2172</v>
      </c>
      <c r="X590" t="s">
        <v>2173</v>
      </c>
      <c r="Y590" t="s">
        <v>2174</v>
      </c>
      <c r="Z590">
        <v>492.27152619999998</v>
      </c>
    </row>
    <row r="591" spans="1:26" hidden="1">
      <c r="A591">
        <v>590</v>
      </c>
      <c r="B591" t="s">
        <v>2175</v>
      </c>
      <c r="C591" t="s">
        <v>28</v>
      </c>
      <c r="D591" s="1" t="b">
        <v>0</v>
      </c>
      <c r="E591">
        <v>2.8799999999999999E-5</v>
      </c>
      <c r="F591">
        <v>4.5406075120000002</v>
      </c>
      <c r="G591">
        <v>45</v>
      </c>
      <c r="H591">
        <v>1.72E-6</v>
      </c>
      <c r="I591">
        <v>0.97</v>
      </c>
      <c r="J591">
        <v>27</v>
      </c>
      <c r="K591">
        <v>4.87</v>
      </c>
      <c r="L591">
        <v>1.3499999999999999E-5</v>
      </c>
      <c r="M591">
        <v>25</v>
      </c>
      <c r="N591" t="s">
        <v>2176</v>
      </c>
      <c r="O591" t="s">
        <v>2177</v>
      </c>
      <c r="Q591" t="s">
        <v>2176</v>
      </c>
      <c r="R591" t="s">
        <v>2176</v>
      </c>
      <c r="T591" t="s">
        <v>2176</v>
      </c>
      <c r="U591" t="s">
        <v>2176</v>
      </c>
      <c r="W591" t="s">
        <v>2178</v>
      </c>
      <c r="X591" t="s">
        <v>2179</v>
      </c>
      <c r="Y591" t="s">
        <v>2180</v>
      </c>
      <c r="Z591">
        <v>1078.6424320000001</v>
      </c>
    </row>
    <row r="592" spans="1:26" hidden="1">
      <c r="A592">
        <v>591</v>
      </c>
      <c r="B592" t="s">
        <v>2181</v>
      </c>
      <c r="C592" t="s">
        <v>28</v>
      </c>
      <c r="D592" s="1" t="b">
        <v>0</v>
      </c>
      <c r="E592">
        <v>9.0000000000000002E-6</v>
      </c>
      <c r="F592">
        <v>5.0457574909999998</v>
      </c>
      <c r="G592">
        <v>48</v>
      </c>
      <c r="H592">
        <v>1.24E-6</v>
      </c>
      <c r="I592">
        <v>1.34</v>
      </c>
      <c r="J592">
        <v>24</v>
      </c>
      <c r="K592">
        <v>5.49</v>
      </c>
      <c r="L592">
        <v>3.2399999999999999E-6</v>
      </c>
      <c r="M592">
        <v>25</v>
      </c>
      <c r="N592" t="s">
        <v>2176</v>
      </c>
      <c r="O592" t="s">
        <v>2177</v>
      </c>
      <c r="P592" t="s">
        <v>2182</v>
      </c>
      <c r="Q592" t="s">
        <v>2176</v>
      </c>
      <c r="R592" t="s">
        <v>2176</v>
      </c>
      <c r="T592" t="s">
        <v>2176</v>
      </c>
      <c r="U592" t="s">
        <v>2176</v>
      </c>
      <c r="W592" t="s">
        <v>2183</v>
      </c>
      <c r="X592" t="s">
        <v>2184</v>
      </c>
      <c r="Y592" t="s">
        <v>2185</v>
      </c>
      <c r="Z592">
        <v>1050.611132</v>
      </c>
    </row>
    <row r="593" spans="1:26" hidden="1">
      <c r="A593">
        <v>592</v>
      </c>
      <c r="B593" t="s">
        <v>2186</v>
      </c>
      <c r="C593" t="s">
        <v>28</v>
      </c>
      <c r="D593" s="1" t="b">
        <v>0</v>
      </c>
      <c r="E593">
        <v>1.4E-5</v>
      </c>
      <c r="F593">
        <v>4.8538719639999997</v>
      </c>
      <c r="G593">
        <v>46</v>
      </c>
      <c r="H593">
        <v>8.7000000000000003E-7</v>
      </c>
      <c r="I593">
        <v>1.91</v>
      </c>
      <c r="J593">
        <v>26</v>
      </c>
      <c r="K593">
        <v>5.35</v>
      </c>
      <c r="L593">
        <v>4.4700000000000004E-6</v>
      </c>
      <c r="M593">
        <v>25</v>
      </c>
      <c r="N593" t="s">
        <v>2176</v>
      </c>
      <c r="O593" t="s">
        <v>2177</v>
      </c>
      <c r="P593" t="s">
        <v>2182</v>
      </c>
      <c r="Q593" t="s">
        <v>2176</v>
      </c>
      <c r="R593" t="s">
        <v>2176</v>
      </c>
      <c r="T593" t="s">
        <v>2176</v>
      </c>
      <c r="U593" t="s">
        <v>2176</v>
      </c>
      <c r="W593" t="s">
        <v>2187</v>
      </c>
      <c r="X593" t="s">
        <v>2188</v>
      </c>
      <c r="Y593" t="s">
        <v>2189</v>
      </c>
      <c r="Z593">
        <v>1022.579832</v>
      </c>
    </row>
    <row r="594" spans="1:26" hidden="1">
      <c r="A594">
        <v>593</v>
      </c>
      <c r="B594" t="s">
        <v>2190</v>
      </c>
      <c r="C594" t="s">
        <v>28</v>
      </c>
      <c r="D594" s="1" t="b">
        <v>0</v>
      </c>
      <c r="X594" t="s">
        <v>2191</v>
      </c>
      <c r="Y594" t="s">
        <v>2192</v>
      </c>
      <c r="Z594">
        <v>854.45356860000004</v>
      </c>
    </row>
    <row r="595" spans="1:26" hidden="1">
      <c r="A595">
        <v>594</v>
      </c>
      <c r="B595" t="s">
        <v>2193</v>
      </c>
      <c r="C595" t="s">
        <v>134</v>
      </c>
      <c r="D595" s="13" t="b">
        <v>0</v>
      </c>
      <c r="E595">
        <v>7.3959999999999998E-4</v>
      </c>
      <c r="F595">
        <v>3.1310030979999999</v>
      </c>
      <c r="M595">
        <v>25</v>
      </c>
      <c r="N595" t="s">
        <v>179</v>
      </c>
      <c r="W595" t="s">
        <v>2194</v>
      </c>
      <c r="X595" t="s">
        <v>2195</v>
      </c>
      <c r="Y595" t="s">
        <v>2196</v>
      </c>
      <c r="Z595">
        <v>328.2048102</v>
      </c>
    </row>
    <row r="596" spans="1:26" hidden="1">
      <c r="A596">
        <v>595</v>
      </c>
      <c r="B596" t="s">
        <v>2197</v>
      </c>
      <c r="C596" t="s">
        <v>54</v>
      </c>
      <c r="D596" s="1" t="b">
        <v>0</v>
      </c>
      <c r="E596">
        <v>2.3000000000000001E-4</v>
      </c>
      <c r="F596">
        <v>3.638272164</v>
      </c>
      <c r="G596">
        <v>32</v>
      </c>
      <c r="H596">
        <v>3.4599999999999999E-6</v>
      </c>
      <c r="I596">
        <v>0.48</v>
      </c>
      <c r="J596">
        <v>40</v>
      </c>
      <c r="K596">
        <v>4.0999999999999996</v>
      </c>
      <c r="L596">
        <v>8.0000000000000007E-5</v>
      </c>
      <c r="M596">
        <v>25</v>
      </c>
      <c r="N596" t="s">
        <v>1858</v>
      </c>
      <c r="T596" t="s">
        <v>1858</v>
      </c>
      <c r="V596" t="s">
        <v>1858</v>
      </c>
      <c r="W596" t="s">
        <v>2198</v>
      </c>
      <c r="X596" t="s">
        <v>2199</v>
      </c>
      <c r="Y596" t="s">
        <v>2200</v>
      </c>
      <c r="Z596">
        <v>455.34331539999999</v>
      </c>
    </row>
    <row r="597" spans="1:26" hidden="1">
      <c r="A597">
        <v>596</v>
      </c>
      <c r="B597" t="s">
        <v>2201</v>
      </c>
      <c r="C597" t="s">
        <v>54</v>
      </c>
      <c r="D597" s="1" t="b">
        <v>0</v>
      </c>
      <c r="E597">
        <v>9.7999999999999997E-4</v>
      </c>
      <c r="F597">
        <v>3.0087739240000002</v>
      </c>
      <c r="G597">
        <v>37</v>
      </c>
      <c r="H597">
        <v>4.2400000000000001E-6</v>
      </c>
      <c r="I597">
        <v>0.39</v>
      </c>
      <c r="J597">
        <v>35</v>
      </c>
      <c r="K597">
        <v>3.3186103469999999</v>
      </c>
      <c r="L597">
        <v>3.6203106999999998E-2</v>
      </c>
      <c r="M597">
        <v>25</v>
      </c>
      <c r="N597" t="s">
        <v>2202</v>
      </c>
      <c r="O597" t="s">
        <v>2203</v>
      </c>
      <c r="P597" t="s">
        <v>103</v>
      </c>
      <c r="Q597" t="s">
        <v>2204</v>
      </c>
      <c r="R597" t="s">
        <v>2205</v>
      </c>
      <c r="T597" t="s">
        <v>2205</v>
      </c>
      <c r="U597" t="s">
        <v>31</v>
      </c>
      <c r="V597" t="s">
        <v>31</v>
      </c>
      <c r="W597" t="s">
        <v>2206</v>
      </c>
      <c r="X597" t="s">
        <v>2207</v>
      </c>
      <c r="Y597" t="s">
        <v>2208</v>
      </c>
      <c r="Z597">
        <v>363.25006239999999</v>
      </c>
    </row>
    <row r="598" spans="1:26" hidden="1">
      <c r="A598">
        <v>597</v>
      </c>
      <c r="B598" t="s">
        <v>2209</v>
      </c>
      <c r="C598" t="s">
        <v>54</v>
      </c>
      <c r="D598" s="1" t="b">
        <v>0</v>
      </c>
      <c r="E598">
        <v>1.2999999999999999E-3</v>
      </c>
      <c r="F598">
        <v>2.8860566479999998</v>
      </c>
      <c r="G598">
        <v>41</v>
      </c>
      <c r="H598">
        <v>1.2500000000000001E-6</v>
      </c>
      <c r="I598">
        <v>0.54</v>
      </c>
      <c r="J598">
        <v>31</v>
      </c>
      <c r="K598">
        <v>4.0999999999999996</v>
      </c>
      <c r="L598">
        <v>8.0000000000000007E-5</v>
      </c>
      <c r="M598">
        <v>25</v>
      </c>
      <c r="N598" t="s">
        <v>1858</v>
      </c>
      <c r="O598" t="s">
        <v>29</v>
      </c>
      <c r="Q598" t="s">
        <v>1858</v>
      </c>
      <c r="T598" t="s">
        <v>1858</v>
      </c>
      <c r="V598" t="s">
        <v>1858</v>
      </c>
      <c r="W598" t="s">
        <v>2210</v>
      </c>
      <c r="X598" t="s">
        <v>2211</v>
      </c>
      <c r="Y598" t="s">
        <v>2212</v>
      </c>
      <c r="Z598">
        <v>319.30057799999997</v>
      </c>
    </row>
    <row r="599" spans="1:26" hidden="1">
      <c r="A599">
        <v>598</v>
      </c>
      <c r="B599" t="s">
        <v>2213</v>
      </c>
      <c r="C599" t="s">
        <v>28</v>
      </c>
      <c r="D599" s="1" t="b">
        <v>0</v>
      </c>
      <c r="E599">
        <v>4.7719999999999997E-5</v>
      </c>
      <c r="F599">
        <v>4.3212995650000003</v>
      </c>
      <c r="G599">
        <v>50</v>
      </c>
      <c r="H599">
        <v>1.57E-6</v>
      </c>
      <c r="I599">
        <v>1.63</v>
      </c>
      <c r="J599">
        <v>21.18</v>
      </c>
      <c r="K599">
        <v>4.43</v>
      </c>
      <c r="L599">
        <v>3.7599999999999999E-5</v>
      </c>
      <c r="M599">
        <v>29.85</v>
      </c>
      <c r="N599" t="s">
        <v>2214</v>
      </c>
      <c r="O599" t="s">
        <v>29</v>
      </c>
      <c r="Q599" t="s">
        <v>2214</v>
      </c>
      <c r="R599" t="s">
        <v>2214</v>
      </c>
      <c r="S599" t="s">
        <v>31</v>
      </c>
      <c r="T599" t="s">
        <v>2214</v>
      </c>
      <c r="U599" t="s">
        <v>2214</v>
      </c>
      <c r="W599" t="s">
        <v>2215</v>
      </c>
      <c r="X599" t="s">
        <v>2216</v>
      </c>
      <c r="Y599" t="s">
        <v>2217</v>
      </c>
      <c r="Z599">
        <v>750.62843339999995</v>
      </c>
    </row>
    <row r="600" spans="1:26" hidden="1">
      <c r="A600">
        <v>599</v>
      </c>
      <c r="B600" t="s">
        <v>2218</v>
      </c>
      <c r="C600" t="s">
        <v>54</v>
      </c>
      <c r="D600" s="1" t="b">
        <v>0</v>
      </c>
      <c r="G600">
        <v>32.4</v>
      </c>
      <c r="O600" t="s">
        <v>29</v>
      </c>
      <c r="Q600" t="s">
        <v>2219</v>
      </c>
      <c r="X600" t="s">
        <v>2220</v>
      </c>
      <c r="Y600" t="s">
        <v>2221</v>
      </c>
      <c r="Z600">
        <v>438.33769180000002</v>
      </c>
    </row>
    <row r="601" spans="1:26" hidden="1">
      <c r="A601">
        <v>600</v>
      </c>
      <c r="B601" t="s">
        <v>2222</v>
      </c>
      <c r="C601" t="s">
        <v>28</v>
      </c>
      <c r="D601" s="1" t="b">
        <v>0</v>
      </c>
      <c r="E601">
        <v>5.5999999999999999E-5</v>
      </c>
      <c r="F601">
        <v>4.2518119729999997</v>
      </c>
      <c r="G601">
        <v>43.2</v>
      </c>
      <c r="H601">
        <v>1.06E-6</v>
      </c>
      <c r="I601">
        <v>1.57</v>
      </c>
      <c r="J601">
        <v>28.75</v>
      </c>
      <c r="K601">
        <v>4.4400000000000004</v>
      </c>
      <c r="L601">
        <v>3.6399999999999997E-5</v>
      </c>
      <c r="M601">
        <v>25</v>
      </c>
      <c r="N601" t="s">
        <v>2223</v>
      </c>
      <c r="O601" t="s">
        <v>29</v>
      </c>
      <c r="Q601" t="s">
        <v>2223</v>
      </c>
      <c r="R601" t="s">
        <v>2223</v>
      </c>
      <c r="T601" t="s">
        <v>2223</v>
      </c>
      <c r="U601" t="s">
        <v>2223</v>
      </c>
      <c r="W601" t="s">
        <v>2224</v>
      </c>
      <c r="X601" t="s">
        <v>2225</v>
      </c>
      <c r="Y601" t="s">
        <v>2226</v>
      </c>
      <c r="Z601">
        <v>766.61211470000001</v>
      </c>
    </row>
    <row r="602" spans="1:26" hidden="1">
      <c r="A602">
        <v>601</v>
      </c>
      <c r="B602" t="s">
        <v>2227</v>
      </c>
      <c r="C602" t="s">
        <v>28</v>
      </c>
      <c r="D602" s="1" t="b">
        <v>0</v>
      </c>
      <c r="E602">
        <v>6.1999999999999999E-6</v>
      </c>
      <c r="F602">
        <v>5.2076083110000004</v>
      </c>
      <c r="G602">
        <v>38.5</v>
      </c>
      <c r="H602">
        <v>1.5E-6</v>
      </c>
      <c r="I602">
        <v>1.1100000000000001</v>
      </c>
      <c r="J602">
        <v>33.5</v>
      </c>
      <c r="K602">
        <v>5.6017202399999997</v>
      </c>
      <c r="L602">
        <v>3.691508E-3</v>
      </c>
      <c r="M602">
        <v>25</v>
      </c>
      <c r="N602" t="s">
        <v>2205</v>
      </c>
      <c r="O602" t="s">
        <v>29</v>
      </c>
      <c r="Q602" t="s">
        <v>2205</v>
      </c>
      <c r="R602" t="s">
        <v>2205</v>
      </c>
      <c r="T602" t="s">
        <v>2205</v>
      </c>
      <c r="U602" t="s">
        <v>31</v>
      </c>
      <c r="V602" t="s">
        <v>31</v>
      </c>
      <c r="W602" t="s">
        <v>2228</v>
      </c>
      <c r="X602" t="s">
        <v>2229</v>
      </c>
      <c r="Y602" t="s">
        <v>2230</v>
      </c>
      <c r="Z602">
        <v>1148.605374</v>
      </c>
    </row>
    <row r="603" spans="1:26" hidden="1">
      <c r="A603">
        <v>602</v>
      </c>
      <c r="B603" t="s">
        <v>2231</v>
      </c>
      <c r="C603" t="s">
        <v>28</v>
      </c>
      <c r="D603" s="1" t="b">
        <v>0</v>
      </c>
      <c r="E603">
        <v>4.25E-6</v>
      </c>
      <c r="F603">
        <v>5.3716110700000002</v>
      </c>
      <c r="G603">
        <v>44.8</v>
      </c>
      <c r="H603">
        <v>9.4499999999999995E-7</v>
      </c>
      <c r="I603">
        <v>1.42</v>
      </c>
      <c r="J603">
        <v>26.38</v>
      </c>
      <c r="K603">
        <v>5.6</v>
      </c>
      <c r="L603">
        <v>2.52E-6</v>
      </c>
      <c r="M603">
        <v>29.85</v>
      </c>
      <c r="N603" t="s">
        <v>2214</v>
      </c>
      <c r="O603" t="s">
        <v>29</v>
      </c>
      <c r="Q603" t="s">
        <v>2214</v>
      </c>
      <c r="R603" t="s">
        <v>2214</v>
      </c>
      <c r="S603" t="s">
        <v>31</v>
      </c>
      <c r="T603" t="s">
        <v>2214</v>
      </c>
      <c r="U603" t="s">
        <v>2214</v>
      </c>
      <c r="W603" t="s">
        <v>2232</v>
      </c>
      <c r="X603" t="s">
        <v>2233</v>
      </c>
      <c r="Y603" t="s">
        <v>2234</v>
      </c>
      <c r="Z603">
        <v>752.59646459999999</v>
      </c>
    </row>
    <row r="604" spans="1:26" hidden="1">
      <c r="A604">
        <v>603</v>
      </c>
      <c r="B604" t="s">
        <v>2235</v>
      </c>
      <c r="C604" t="s">
        <v>311</v>
      </c>
      <c r="D604" s="1" t="b">
        <v>0</v>
      </c>
      <c r="E604">
        <v>2.0000000000000002E-5</v>
      </c>
      <c r="F604">
        <v>4.6989700040000004</v>
      </c>
      <c r="G604">
        <v>32.299999999999997</v>
      </c>
      <c r="H604">
        <v>4.1300000000000003E-6</v>
      </c>
      <c r="I604">
        <v>0.40206757100000001</v>
      </c>
      <c r="J604">
        <v>39.700000000000003</v>
      </c>
      <c r="M604">
        <v>23</v>
      </c>
      <c r="N604" t="s">
        <v>89</v>
      </c>
      <c r="P604" t="s">
        <v>135</v>
      </c>
      <c r="R604" t="s">
        <v>137</v>
      </c>
      <c r="S604" t="s">
        <v>137</v>
      </c>
      <c r="T604" t="s">
        <v>31</v>
      </c>
      <c r="V604" t="s">
        <v>137</v>
      </c>
      <c r="W604" t="s">
        <v>2236</v>
      </c>
      <c r="X604" t="s">
        <v>2237</v>
      </c>
      <c r="Y604" t="s">
        <v>2238</v>
      </c>
      <c r="Z604">
        <v>327.31372959999999</v>
      </c>
    </row>
    <row r="605" spans="1:26" hidden="1">
      <c r="A605">
        <v>604</v>
      </c>
      <c r="B605" t="s">
        <v>2239</v>
      </c>
      <c r="C605" t="s">
        <v>28</v>
      </c>
      <c r="D605" s="1" t="b">
        <v>0</v>
      </c>
      <c r="E605">
        <v>5.0000000000000002E-5</v>
      </c>
      <c r="F605">
        <v>4.3010299959999996</v>
      </c>
      <c r="M605">
        <v>25</v>
      </c>
      <c r="N605" t="s">
        <v>484</v>
      </c>
      <c r="X605" t="s">
        <v>2240</v>
      </c>
      <c r="Y605" t="s">
        <v>2241</v>
      </c>
      <c r="Z605">
        <v>784.50560419999999</v>
      </c>
    </row>
    <row r="606" spans="1:26" hidden="1">
      <c r="A606">
        <v>605</v>
      </c>
      <c r="B606" t="s">
        <v>2242</v>
      </c>
      <c r="C606" t="s">
        <v>28</v>
      </c>
      <c r="D606" s="1" t="b">
        <v>0</v>
      </c>
      <c r="E606" s="4">
        <v>5.0000000000000002E-5</v>
      </c>
      <c r="F606">
        <v>4.3010000000000002</v>
      </c>
      <c r="M606">
        <v>25</v>
      </c>
      <c r="N606" t="s">
        <v>1849</v>
      </c>
      <c r="X606" t="s">
        <v>2243</v>
      </c>
      <c r="Y606" t="s">
        <v>2244</v>
      </c>
      <c r="Z606">
        <v>784.50560419999999</v>
      </c>
    </row>
    <row r="607" spans="1:26" hidden="1">
      <c r="A607">
        <v>606</v>
      </c>
      <c r="B607" t="s">
        <v>2245</v>
      </c>
      <c r="C607" t="s">
        <v>28</v>
      </c>
      <c r="D607" s="1" t="b">
        <v>0</v>
      </c>
      <c r="E607">
        <v>4.0299999999999998E-4</v>
      </c>
      <c r="F607">
        <v>3.3946949540000002</v>
      </c>
      <c r="G607">
        <v>36.5</v>
      </c>
      <c r="H607">
        <v>1.7889999999999999E-6</v>
      </c>
      <c r="I607">
        <v>0.93</v>
      </c>
      <c r="J607">
        <v>35.5</v>
      </c>
      <c r="K607">
        <v>5.218</v>
      </c>
      <c r="L607">
        <v>6.0499999999999997E-6</v>
      </c>
      <c r="M607">
        <v>25</v>
      </c>
      <c r="N607" t="s">
        <v>1867</v>
      </c>
      <c r="O607" t="s">
        <v>29</v>
      </c>
      <c r="Q607" t="s">
        <v>1867</v>
      </c>
      <c r="R607" t="s">
        <v>1867</v>
      </c>
      <c r="S607" t="s">
        <v>1867</v>
      </c>
      <c r="T607" t="s">
        <v>1867</v>
      </c>
      <c r="U607" t="s">
        <v>1867</v>
      </c>
      <c r="V607" t="s">
        <v>1867</v>
      </c>
      <c r="W607" t="s">
        <v>2246</v>
      </c>
      <c r="X607" t="s">
        <v>2247</v>
      </c>
      <c r="Y607" t="s">
        <v>2248</v>
      </c>
      <c r="Z607">
        <v>808.70668369999999</v>
      </c>
    </row>
    <row r="608" spans="1:26" hidden="1">
      <c r="A608">
        <v>607</v>
      </c>
      <c r="B608" t="s">
        <v>2249</v>
      </c>
      <c r="C608" t="s">
        <v>28</v>
      </c>
      <c r="D608" s="1" t="b">
        <v>0</v>
      </c>
      <c r="E608">
        <v>6.2100000000000002E-4</v>
      </c>
      <c r="F608">
        <v>3.2069084000000001</v>
      </c>
      <c r="G608">
        <v>37</v>
      </c>
      <c r="H608">
        <v>1.31E-6</v>
      </c>
      <c r="I608">
        <v>1.26</v>
      </c>
      <c r="J608">
        <v>35</v>
      </c>
      <c r="K608">
        <v>4.1399999999999997</v>
      </c>
      <c r="L608">
        <v>7.2399999999999998E-5</v>
      </c>
      <c r="M608">
        <v>25</v>
      </c>
      <c r="N608" t="s">
        <v>2250</v>
      </c>
      <c r="O608" t="s">
        <v>29</v>
      </c>
      <c r="Q608" t="s">
        <v>2250</v>
      </c>
      <c r="R608" t="s">
        <v>2250</v>
      </c>
      <c r="T608" t="s">
        <v>2250</v>
      </c>
      <c r="U608" t="s">
        <v>2250</v>
      </c>
      <c r="W608" t="s">
        <v>2251</v>
      </c>
      <c r="X608" t="s">
        <v>2252</v>
      </c>
      <c r="Y608" t="s">
        <v>2253</v>
      </c>
      <c r="Z608">
        <v>872.55803370000001</v>
      </c>
    </row>
    <row r="609" spans="1:26" hidden="1">
      <c r="A609">
        <v>608</v>
      </c>
      <c r="B609" t="s">
        <v>2254</v>
      </c>
      <c r="C609" t="s">
        <v>28</v>
      </c>
      <c r="D609" s="1" t="b">
        <v>0</v>
      </c>
      <c r="E609">
        <v>3.8900000000000002E-4</v>
      </c>
      <c r="F609">
        <v>3.4100503990000002</v>
      </c>
      <c r="G609">
        <v>36.5</v>
      </c>
      <c r="H609">
        <v>7.85E-7</v>
      </c>
      <c r="I609">
        <v>2.12</v>
      </c>
      <c r="J609">
        <v>35.5</v>
      </c>
      <c r="K609">
        <v>4.71</v>
      </c>
      <c r="L609">
        <v>1.95E-5</v>
      </c>
      <c r="M609">
        <v>25</v>
      </c>
      <c r="N609" t="s">
        <v>2250</v>
      </c>
      <c r="O609" t="s">
        <v>29</v>
      </c>
      <c r="Q609" t="s">
        <v>2250</v>
      </c>
      <c r="R609" t="s">
        <v>2250</v>
      </c>
      <c r="T609" t="s">
        <v>2250</v>
      </c>
      <c r="U609" t="s">
        <v>2250</v>
      </c>
      <c r="W609" t="s">
        <v>2255</v>
      </c>
      <c r="X609" t="s">
        <v>2256</v>
      </c>
      <c r="Y609" t="s">
        <v>2257</v>
      </c>
      <c r="Z609">
        <v>916.58424839999998</v>
      </c>
    </row>
    <row r="610" spans="1:26" hidden="1">
      <c r="A610">
        <v>609</v>
      </c>
      <c r="B610" t="s">
        <v>2258</v>
      </c>
      <c r="C610" t="s">
        <v>28</v>
      </c>
      <c r="D610" s="1" t="b">
        <v>0</v>
      </c>
      <c r="E610">
        <v>3.9800000000000002E-4</v>
      </c>
      <c r="F610">
        <v>3.4001169280000001</v>
      </c>
      <c r="G610">
        <v>43.9</v>
      </c>
      <c r="H610">
        <v>1.04E-6</v>
      </c>
      <c r="I610">
        <v>1.8</v>
      </c>
      <c r="J610">
        <v>28.1</v>
      </c>
      <c r="K610">
        <v>5.91</v>
      </c>
      <c r="L610">
        <v>1.2300000000000001E-6</v>
      </c>
      <c r="M610">
        <v>25</v>
      </c>
      <c r="N610" t="s">
        <v>2250</v>
      </c>
      <c r="O610" t="s">
        <v>29</v>
      </c>
      <c r="Q610" t="s">
        <v>2250</v>
      </c>
      <c r="R610" t="s">
        <v>2250</v>
      </c>
      <c r="T610" t="s">
        <v>2250</v>
      </c>
      <c r="U610" t="s">
        <v>2250</v>
      </c>
      <c r="W610" t="s">
        <v>2259</v>
      </c>
      <c r="X610" t="s">
        <v>2260</v>
      </c>
      <c r="Y610" t="s">
        <v>2261</v>
      </c>
      <c r="Z610">
        <v>960.61046320000003</v>
      </c>
    </row>
    <row r="611" spans="1:26" hidden="1">
      <c r="A611">
        <v>610</v>
      </c>
      <c r="B611" t="s">
        <v>2262</v>
      </c>
      <c r="C611" t="s">
        <v>28</v>
      </c>
      <c r="D611" s="1" t="b">
        <v>0</v>
      </c>
      <c r="E611">
        <v>6.0000000000000002E-6</v>
      </c>
      <c r="F611">
        <v>5.2218487500000004</v>
      </c>
      <c r="G611">
        <v>43.3</v>
      </c>
      <c r="H611">
        <v>9.9000000000000005E-7</v>
      </c>
      <c r="I611">
        <v>1.68</v>
      </c>
      <c r="J611">
        <v>28.7</v>
      </c>
      <c r="K611">
        <v>5.75</v>
      </c>
      <c r="L611">
        <v>1.7799999999999999E-6</v>
      </c>
      <c r="M611">
        <v>25</v>
      </c>
      <c r="N611" t="s">
        <v>2263</v>
      </c>
      <c r="O611" t="s">
        <v>29</v>
      </c>
      <c r="Q611" t="s">
        <v>2263</v>
      </c>
      <c r="R611" t="s">
        <v>2263</v>
      </c>
      <c r="S611" t="s">
        <v>2263</v>
      </c>
      <c r="T611" t="s">
        <v>2263</v>
      </c>
      <c r="U611" t="s">
        <v>2263</v>
      </c>
      <c r="V611" t="s">
        <v>2263</v>
      </c>
      <c r="X611" t="s">
        <v>2264</v>
      </c>
      <c r="Y611" t="s">
        <v>2265</v>
      </c>
      <c r="Z611">
        <v>832.65906480000001</v>
      </c>
    </row>
    <row r="612" spans="1:26" hidden="1">
      <c r="A612">
        <v>611</v>
      </c>
      <c r="B612" t="s">
        <v>2266</v>
      </c>
      <c r="C612" t="s">
        <v>28</v>
      </c>
      <c r="D612" s="1" t="b">
        <v>0</v>
      </c>
      <c r="E612">
        <v>1.9000000000000001E-5</v>
      </c>
      <c r="F612">
        <v>4.721246399</v>
      </c>
      <c r="G612">
        <v>42.2</v>
      </c>
      <c r="J612">
        <v>29.8</v>
      </c>
      <c r="K612">
        <v>5.3</v>
      </c>
      <c r="L612">
        <v>5.0100000000000003E-6</v>
      </c>
      <c r="M612">
        <v>25</v>
      </c>
      <c r="N612" t="s">
        <v>2267</v>
      </c>
      <c r="O612" t="s">
        <v>29</v>
      </c>
      <c r="Q612" t="s">
        <v>2267</v>
      </c>
      <c r="U612" t="s">
        <v>2267</v>
      </c>
      <c r="W612" t="s">
        <v>2268</v>
      </c>
      <c r="X612" t="s">
        <v>2269</v>
      </c>
      <c r="Y612" t="s">
        <v>2270</v>
      </c>
      <c r="Z612">
        <v>666.59607070000004</v>
      </c>
    </row>
    <row r="613" spans="1:26" hidden="1">
      <c r="A613">
        <v>612</v>
      </c>
      <c r="B613" t="s">
        <v>2271</v>
      </c>
      <c r="C613" t="s">
        <v>54</v>
      </c>
      <c r="D613" s="1" t="b">
        <v>0</v>
      </c>
      <c r="G613">
        <v>39.6</v>
      </c>
      <c r="O613" t="s">
        <v>29</v>
      </c>
      <c r="Q613" t="s">
        <v>2272</v>
      </c>
      <c r="X613" t="s">
        <v>2273</v>
      </c>
      <c r="Y613" t="s">
        <v>2274</v>
      </c>
      <c r="Z613">
        <v>554.34469109999998</v>
      </c>
    </row>
    <row r="614" spans="1:26" hidden="1">
      <c r="A614">
        <v>613</v>
      </c>
      <c r="B614" t="s">
        <v>2275</v>
      </c>
      <c r="C614" t="s">
        <v>28</v>
      </c>
      <c r="D614" s="1" t="b">
        <v>0</v>
      </c>
      <c r="E614" s="4">
        <v>2.0000000000000002E-5</v>
      </c>
      <c r="F614">
        <v>4.6989999999999998</v>
      </c>
      <c r="M614">
        <v>25</v>
      </c>
      <c r="N614" t="s">
        <v>1849</v>
      </c>
      <c r="X614" t="s">
        <v>2276</v>
      </c>
      <c r="Y614" t="s">
        <v>2277</v>
      </c>
      <c r="Z614">
        <v>864.64097549999997</v>
      </c>
    </row>
    <row r="615" spans="1:26" hidden="1">
      <c r="A615">
        <v>614</v>
      </c>
      <c r="B615" t="s">
        <v>2278</v>
      </c>
      <c r="C615" t="s">
        <v>28</v>
      </c>
      <c r="D615" s="1" t="b">
        <v>0</v>
      </c>
      <c r="E615" s="4">
        <v>2.6999999999999999E-5</v>
      </c>
      <c r="F615">
        <v>4.5686</v>
      </c>
      <c r="M615">
        <v>25</v>
      </c>
      <c r="N615" t="s">
        <v>1849</v>
      </c>
      <c r="X615" t="s">
        <v>2279</v>
      </c>
      <c r="Y615" t="s">
        <v>2280</v>
      </c>
      <c r="Z615">
        <v>836.60967530000005</v>
      </c>
    </row>
    <row r="616" spans="1:26" hidden="1">
      <c r="A616">
        <v>615</v>
      </c>
      <c r="B616" t="s">
        <v>2281</v>
      </c>
      <c r="C616" t="s">
        <v>28</v>
      </c>
      <c r="D616" s="1" t="b">
        <v>0</v>
      </c>
      <c r="E616" s="4">
        <v>3.3000000000000003E-5</v>
      </c>
      <c r="F616">
        <v>4.4814999999999996</v>
      </c>
      <c r="M616">
        <v>25</v>
      </c>
      <c r="N616" t="s">
        <v>1849</v>
      </c>
      <c r="X616" t="s">
        <v>2282</v>
      </c>
      <c r="Y616" t="s">
        <v>2283</v>
      </c>
      <c r="Z616">
        <v>808.57837519999998</v>
      </c>
    </row>
    <row r="617" spans="1:26" hidden="1">
      <c r="A617">
        <v>616</v>
      </c>
      <c r="B617" t="s">
        <v>2284</v>
      </c>
      <c r="C617" t="s">
        <v>28</v>
      </c>
      <c r="D617" s="1" t="b">
        <v>0</v>
      </c>
      <c r="E617">
        <v>2.5999999999999998E-5</v>
      </c>
      <c r="F617">
        <v>4.5850266519999998</v>
      </c>
      <c r="M617">
        <v>25</v>
      </c>
      <c r="N617" t="s">
        <v>484</v>
      </c>
      <c r="X617" t="s">
        <v>2285</v>
      </c>
      <c r="Y617" t="s">
        <v>2286</v>
      </c>
      <c r="Z617">
        <v>794.56272509999997</v>
      </c>
    </row>
    <row r="618" spans="1:26" hidden="1">
      <c r="A618">
        <v>617</v>
      </c>
      <c r="B618" t="s">
        <v>2287</v>
      </c>
      <c r="C618" t="s">
        <v>28</v>
      </c>
      <c r="D618" s="1" t="b">
        <v>0</v>
      </c>
      <c r="E618">
        <v>8.2989999999999995E-4</v>
      </c>
      <c r="F618">
        <v>3.0809742349999998</v>
      </c>
      <c r="M618">
        <v>25</v>
      </c>
      <c r="N618" t="s">
        <v>484</v>
      </c>
      <c r="X618" t="s">
        <v>2288</v>
      </c>
      <c r="Y618" t="s">
        <v>2289</v>
      </c>
      <c r="Z618">
        <v>640.39057439999999</v>
      </c>
    </row>
    <row r="619" spans="1:26" hidden="1">
      <c r="A619">
        <v>618</v>
      </c>
      <c r="B619" t="s">
        <v>2290</v>
      </c>
      <c r="C619" t="s">
        <v>28</v>
      </c>
      <c r="D619" s="1" t="b">
        <v>0</v>
      </c>
      <c r="E619">
        <v>7.5006699999999999E-4</v>
      </c>
      <c r="F619">
        <v>3.1248999999999998</v>
      </c>
      <c r="M619">
        <v>25</v>
      </c>
      <c r="N619" t="s">
        <v>1849</v>
      </c>
      <c r="X619" t="s">
        <v>2291</v>
      </c>
      <c r="Y619" t="s">
        <v>2292</v>
      </c>
      <c r="Z619">
        <v>668.42187460000002</v>
      </c>
    </row>
    <row r="620" spans="1:26" hidden="1">
      <c r="A620">
        <v>619</v>
      </c>
      <c r="B620" t="s">
        <v>2293</v>
      </c>
      <c r="C620" t="s">
        <v>28</v>
      </c>
      <c r="D620" s="1" t="b">
        <v>0</v>
      </c>
      <c r="E620" s="4">
        <v>4.3000000000000002E-5</v>
      </c>
      <c r="F620">
        <v>4.3665000000000003</v>
      </c>
      <c r="G620">
        <v>37</v>
      </c>
      <c r="H620">
        <v>6.8899999999999999E-7</v>
      </c>
      <c r="I620">
        <v>2.41</v>
      </c>
      <c r="J620">
        <v>34.78</v>
      </c>
      <c r="K620">
        <v>5.87</v>
      </c>
      <c r="L620">
        <v>1.4E-3</v>
      </c>
      <c r="M620">
        <v>25</v>
      </c>
      <c r="N620" t="s">
        <v>2294</v>
      </c>
      <c r="O620" t="s">
        <v>29</v>
      </c>
      <c r="Q620" t="s">
        <v>2295</v>
      </c>
      <c r="R620" t="s">
        <v>2295</v>
      </c>
      <c r="S620" t="s">
        <v>2295</v>
      </c>
      <c r="T620" t="s">
        <v>2295</v>
      </c>
      <c r="U620" t="s">
        <v>2295</v>
      </c>
      <c r="V620" t="s">
        <v>2295</v>
      </c>
      <c r="W620" t="s">
        <v>2296</v>
      </c>
      <c r="X620" t="s">
        <v>2297</v>
      </c>
      <c r="Y620" t="s">
        <v>2298</v>
      </c>
      <c r="Z620">
        <v>780.54707510000003</v>
      </c>
    </row>
    <row r="621" spans="1:26" hidden="1">
      <c r="A621">
        <v>620</v>
      </c>
      <c r="B621" t="s">
        <v>2299</v>
      </c>
      <c r="C621" t="s">
        <v>28</v>
      </c>
      <c r="D621" s="1" t="b">
        <v>0</v>
      </c>
      <c r="E621" s="4">
        <v>3.6000000000000001E-5</v>
      </c>
      <c r="F621">
        <v>4.4436999999999998</v>
      </c>
      <c r="M621">
        <v>25</v>
      </c>
      <c r="N621" t="s">
        <v>1849</v>
      </c>
      <c r="X621" t="s">
        <v>2300</v>
      </c>
      <c r="Y621" t="s">
        <v>2301</v>
      </c>
      <c r="Z621">
        <v>766.53142500000001</v>
      </c>
    </row>
    <row r="622" spans="1:26" hidden="1">
      <c r="A622">
        <v>621</v>
      </c>
      <c r="B622" t="s">
        <v>2302</v>
      </c>
      <c r="C622" t="s">
        <v>28</v>
      </c>
      <c r="D622" s="1" t="b">
        <v>0</v>
      </c>
      <c r="E622" s="4">
        <v>1.2E-5</v>
      </c>
      <c r="F622">
        <v>4.9207999999999998</v>
      </c>
      <c r="M622">
        <v>25</v>
      </c>
      <c r="N622" t="s">
        <v>1849</v>
      </c>
      <c r="X622" t="s">
        <v>2303</v>
      </c>
      <c r="Y622" t="s">
        <v>2304</v>
      </c>
      <c r="Z622">
        <v>781.54232400000001</v>
      </c>
    </row>
    <row r="623" spans="1:26" hidden="1">
      <c r="A623">
        <v>622</v>
      </c>
      <c r="B623" t="s">
        <v>2305</v>
      </c>
      <c r="C623" t="s">
        <v>28</v>
      </c>
      <c r="D623" s="1" t="b">
        <v>0</v>
      </c>
      <c r="E623">
        <v>6.4002999999999998E-4</v>
      </c>
      <c r="F623">
        <v>3.1938</v>
      </c>
      <c r="M623">
        <v>25</v>
      </c>
      <c r="N623" t="s">
        <v>1849</v>
      </c>
      <c r="X623" t="s">
        <v>2306</v>
      </c>
      <c r="Y623" t="s">
        <v>2307</v>
      </c>
      <c r="Z623">
        <v>768.51068959999998</v>
      </c>
    </row>
    <row r="624" spans="1:26" hidden="1">
      <c r="A624">
        <v>623</v>
      </c>
      <c r="B624" t="s">
        <v>2308</v>
      </c>
      <c r="C624" t="s">
        <v>28</v>
      </c>
      <c r="D624" s="1" t="b">
        <v>0</v>
      </c>
      <c r="E624" s="4">
        <v>2.6999999999999999E-5</v>
      </c>
      <c r="F624">
        <v>4.5686</v>
      </c>
      <c r="G624">
        <v>43</v>
      </c>
      <c r="H624">
        <v>7.3799999999999996E-7</v>
      </c>
      <c r="I624">
        <v>2.25</v>
      </c>
      <c r="J624">
        <v>28.78</v>
      </c>
      <c r="K624">
        <v>5.28</v>
      </c>
      <c r="L624">
        <v>5.3E-3</v>
      </c>
      <c r="M624">
        <v>25</v>
      </c>
      <c r="N624" t="s">
        <v>2294</v>
      </c>
      <c r="O624" t="s">
        <v>29</v>
      </c>
      <c r="Q624" t="s">
        <v>2295</v>
      </c>
      <c r="R624" t="s">
        <v>2295</v>
      </c>
      <c r="S624" t="s">
        <v>2295</v>
      </c>
      <c r="T624" t="s">
        <v>2295</v>
      </c>
      <c r="U624" t="s">
        <v>2295</v>
      </c>
      <c r="V624" t="s">
        <v>2295</v>
      </c>
      <c r="W624" t="s">
        <v>2309</v>
      </c>
      <c r="X624" t="s">
        <v>2310</v>
      </c>
      <c r="Y624" t="s">
        <v>2311</v>
      </c>
      <c r="Z624">
        <v>752.51577499999996</v>
      </c>
    </row>
    <row r="625" spans="1:26" hidden="1">
      <c r="A625">
        <v>624</v>
      </c>
      <c r="B625" t="s">
        <v>2312</v>
      </c>
      <c r="C625" t="s">
        <v>28</v>
      </c>
      <c r="D625" s="1" t="b">
        <v>0</v>
      </c>
      <c r="G625">
        <v>43</v>
      </c>
      <c r="O625" t="s">
        <v>29</v>
      </c>
      <c r="Q625" t="s">
        <v>2313</v>
      </c>
      <c r="X625" t="s">
        <v>2314</v>
      </c>
      <c r="Y625" t="s">
        <v>2315</v>
      </c>
      <c r="Z625">
        <v>664.61680609999996</v>
      </c>
    </row>
    <row r="626" spans="1:26" hidden="1">
      <c r="A626">
        <v>625</v>
      </c>
      <c r="B626" t="s">
        <v>2316</v>
      </c>
      <c r="C626" t="s">
        <v>54</v>
      </c>
      <c r="D626" s="1" t="b">
        <v>0</v>
      </c>
      <c r="G626">
        <v>40</v>
      </c>
      <c r="O626" t="s">
        <v>29</v>
      </c>
      <c r="Q626" t="s">
        <v>2317</v>
      </c>
      <c r="X626" t="s">
        <v>2318</v>
      </c>
      <c r="Y626" t="s">
        <v>2319</v>
      </c>
      <c r="Z626">
        <v>494.32356170000003</v>
      </c>
    </row>
    <row r="627" spans="1:26" hidden="1">
      <c r="A627">
        <v>626</v>
      </c>
      <c r="B627" t="s">
        <v>2320</v>
      </c>
      <c r="C627" t="s">
        <v>54</v>
      </c>
      <c r="D627" s="1" t="b">
        <v>0</v>
      </c>
      <c r="E627">
        <v>8.6000000000000003E-5</v>
      </c>
      <c r="F627">
        <v>4.0655015490000004</v>
      </c>
      <c r="G627">
        <v>34.6</v>
      </c>
      <c r="H627">
        <v>8.2999999999999999E-7</v>
      </c>
      <c r="I627">
        <v>1.99</v>
      </c>
      <c r="J627">
        <v>37.19</v>
      </c>
      <c r="K627">
        <v>6.42</v>
      </c>
      <c r="L627">
        <v>3.8200000000000001E-7</v>
      </c>
      <c r="M627">
        <v>25</v>
      </c>
      <c r="N627" t="s">
        <v>1386</v>
      </c>
      <c r="O627" t="s">
        <v>29</v>
      </c>
      <c r="Q627" t="s">
        <v>1386</v>
      </c>
      <c r="R627" t="s">
        <v>1386</v>
      </c>
      <c r="S627" t="s">
        <v>1386</v>
      </c>
      <c r="T627" t="s">
        <v>1386</v>
      </c>
      <c r="U627" t="s">
        <v>1386</v>
      </c>
      <c r="W627" t="s">
        <v>2321</v>
      </c>
      <c r="X627" t="s">
        <v>2322</v>
      </c>
      <c r="Y627" t="s">
        <v>2323</v>
      </c>
      <c r="Z627">
        <v>616.49062709999998</v>
      </c>
    </row>
    <row r="628" spans="1:26" hidden="1">
      <c r="A628">
        <v>627</v>
      </c>
      <c r="B628" t="s">
        <v>2324</v>
      </c>
      <c r="C628" t="s">
        <v>28</v>
      </c>
      <c r="D628" s="1" t="b">
        <v>0</v>
      </c>
      <c r="E628">
        <v>6.0999999999999999E-5</v>
      </c>
      <c r="F628">
        <v>4.2146701650000002</v>
      </c>
      <c r="G628">
        <v>43.4</v>
      </c>
      <c r="H628">
        <v>7.7000000000000004E-7</v>
      </c>
      <c r="I628">
        <v>2.16</v>
      </c>
      <c r="J628">
        <v>28.6</v>
      </c>
      <c r="K628">
        <v>4.9000000000000004</v>
      </c>
      <c r="L628">
        <v>1.26E-5</v>
      </c>
      <c r="M628">
        <v>25</v>
      </c>
      <c r="N628" t="s">
        <v>2325</v>
      </c>
      <c r="O628" t="s">
        <v>29</v>
      </c>
      <c r="Q628" t="s">
        <v>2325</v>
      </c>
      <c r="R628" t="s">
        <v>2325</v>
      </c>
      <c r="S628" t="s">
        <v>2325</v>
      </c>
      <c r="T628" t="s">
        <v>2325</v>
      </c>
      <c r="U628" t="s">
        <v>2325</v>
      </c>
      <c r="X628" t="s">
        <v>2326</v>
      </c>
      <c r="Y628" t="s">
        <v>2327</v>
      </c>
      <c r="Z628">
        <v>942.59000249999997</v>
      </c>
    </row>
    <row r="629" spans="1:26" hidden="1">
      <c r="A629">
        <v>628</v>
      </c>
      <c r="B629" t="s">
        <v>2328</v>
      </c>
      <c r="C629" t="s">
        <v>28</v>
      </c>
      <c r="D629" s="1" t="b">
        <v>0</v>
      </c>
      <c r="E629">
        <v>6.6989999999999994E-5</v>
      </c>
      <c r="F629">
        <v>4.1739900219999999</v>
      </c>
      <c r="M629">
        <v>25</v>
      </c>
      <c r="N629" t="s">
        <v>484</v>
      </c>
      <c r="X629" t="s">
        <v>2329</v>
      </c>
      <c r="Y629" t="s">
        <v>2330</v>
      </c>
      <c r="Z629">
        <v>795.55797410000002</v>
      </c>
    </row>
    <row r="630" spans="1:26" hidden="1">
      <c r="A630">
        <v>629</v>
      </c>
      <c r="B630" t="s">
        <v>2331</v>
      </c>
      <c r="C630" t="s">
        <v>28</v>
      </c>
      <c r="D630" s="1" t="b">
        <v>0</v>
      </c>
      <c r="E630" s="4">
        <v>2.5000000000000001E-5</v>
      </c>
      <c r="F630">
        <v>4.6021000000000001</v>
      </c>
      <c r="M630">
        <v>25</v>
      </c>
      <c r="N630" t="s">
        <v>1849</v>
      </c>
      <c r="X630" t="s">
        <v>2332</v>
      </c>
      <c r="Y630" t="s">
        <v>2333</v>
      </c>
      <c r="Z630">
        <v>738.50012489999995</v>
      </c>
    </row>
    <row r="631" spans="1:26" hidden="1">
      <c r="A631">
        <v>630</v>
      </c>
      <c r="B631" t="s">
        <v>2334</v>
      </c>
      <c r="C631" t="s">
        <v>28</v>
      </c>
      <c r="D631" s="1" t="b">
        <v>0</v>
      </c>
      <c r="E631">
        <v>1.5E-5</v>
      </c>
      <c r="F631">
        <v>4.8239087410000003</v>
      </c>
      <c r="G631">
        <v>42</v>
      </c>
      <c r="J631">
        <v>30</v>
      </c>
      <c r="K631">
        <v>5.4</v>
      </c>
      <c r="L631">
        <v>3.98E-6</v>
      </c>
      <c r="M631">
        <v>25</v>
      </c>
      <c r="N631" t="s">
        <v>2267</v>
      </c>
      <c r="O631" t="s">
        <v>29</v>
      </c>
      <c r="Q631" t="s">
        <v>2267</v>
      </c>
      <c r="U631" t="s">
        <v>2267</v>
      </c>
      <c r="W631" t="s">
        <v>2268</v>
      </c>
      <c r="X631" t="s">
        <v>2335</v>
      </c>
      <c r="Y631" t="s">
        <v>2336</v>
      </c>
      <c r="Z631">
        <v>650.60115599999995</v>
      </c>
    </row>
    <row r="632" spans="1:26" hidden="1">
      <c r="A632">
        <v>631</v>
      </c>
      <c r="B632" t="s">
        <v>2337</v>
      </c>
      <c r="C632" t="s">
        <v>28</v>
      </c>
      <c r="D632" s="1" t="b">
        <v>0</v>
      </c>
      <c r="E632">
        <v>1.4E-5</v>
      </c>
      <c r="F632">
        <v>4.8538719639999997</v>
      </c>
      <c r="G632">
        <v>42.9</v>
      </c>
      <c r="H632">
        <v>1.39E-6</v>
      </c>
      <c r="I632">
        <v>1.19</v>
      </c>
      <c r="J632">
        <v>29.1</v>
      </c>
      <c r="K632">
        <v>5.236117481</v>
      </c>
      <c r="L632">
        <v>5.3208750000000001E-3</v>
      </c>
      <c r="M632">
        <v>25</v>
      </c>
      <c r="N632" t="s">
        <v>1912</v>
      </c>
      <c r="O632" t="s">
        <v>29</v>
      </c>
      <c r="Q632" t="s">
        <v>1912</v>
      </c>
      <c r="R632" t="s">
        <v>1912</v>
      </c>
      <c r="U632" t="s">
        <v>31</v>
      </c>
      <c r="V632" t="s">
        <v>31</v>
      </c>
      <c r="W632" t="s">
        <v>2338</v>
      </c>
      <c r="X632" t="s">
        <v>2339</v>
      </c>
      <c r="Y632" t="s">
        <v>2340</v>
      </c>
      <c r="Z632">
        <v>781.54232400000001</v>
      </c>
    </row>
    <row r="633" spans="1:26" hidden="1">
      <c r="A633">
        <v>632</v>
      </c>
      <c r="B633" t="s">
        <v>2341</v>
      </c>
      <c r="C633" t="s">
        <v>54</v>
      </c>
      <c r="D633" s="1" t="b">
        <v>0</v>
      </c>
      <c r="E633">
        <v>2.3000000000000001E-4</v>
      </c>
      <c r="F633">
        <v>3.638272164</v>
      </c>
      <c r="G633">
        <v>36.700000000000003</v>
      </c>
      <c r="H633">
        <v>8.2999999999999999E-7</v>
      </c>
      <c r="I633">
        <v>0.22</v>
      </c>
      <c r="J633">
        <v>35.15</v>
      </c>
      <c r="K633">
        <v>5.08</v>
      </c>
      <c r="L633">
        <v>8.3000000000000002E-6</v>
      </c>
      <c r="M633">
        <v>25</v>
      </c>
      <c r="N633" t="s">
        <v>2342</v>
      </c>
      <c r="O633" t="s">
        <v>29</v>
      </c>
      <c r="Q633" t="s">
        <v>2342</v>
      </c>
      <c r="R633" t="s">
        <v>2342</v>
      </c>
      <c r="S633" t="s">
        <v>2342</v>
      </c>
      <c r="T633" t="s">
        <v>2342</v>
      </c>
      <c r="V633" t="s">
        <v>2342</v>
      </c>
      <c r="W633" t="s">
        <v>2343</v>
      </c>
      <c r="X633" t="s">
        <v>2344</v>
      </c>
      <c r="Y633" t="s">
        <v>2345</v>
      </c>
      <c r="Z633">
        <v>540.32904099999996</v>
      </c>
    </row>
    <row r="634" spans="1:26" hidden="1">
      <c r="A634">
        <v>633</v>
      </c>
      <c r="B634" t="s">
        <v>2346</v>
      </c>
      <c r="C634" t="s">
        <v>28</v>
      </c>
      <c r="D634" s="1" t="b">
        <v>0</v>
      </c>
      <c r="G634">
        <v>36.700000000000003</v>
      </c>
      <c r="O634" t="s">
        <v>29</v>
      </c>
      <c r="Q634" t="s">
        <v>1895</v>
      </c>
      <c r="X634" t="s">
        <v>2347</v>
      </c>
      <c r="Y634" t="s">
        <v>2348</v>
      </c>
      <c r="Z634">
        <v>780.62776469999994</v>
      </c>
    </row>
    <row r="635" spans="1:26" hidden="1">
      <c r="A635">
        <v>634</v>
      </c>
      <c r="B635" t="s">
        <v>2349</v>
      </c>
      <c r="C635" t="s">
        <v>28</v>
      </c>
      <c r="D635" s="1" t="b">
        <v>0</v>
      </c>
      <c r="G635">
        <v>30.6</v>
      </c>
      <c r="O635" t="s">
        <v>29</v>
      </c>
      <c r="Q635" t="s">
        <v>1895</v>
      </c>
      <c r="X635" t="s">
        <v>2350</v>
      </c>
      <c r="Y635" t="s">
        <v>2351</v>
      </c>
      <c r="Z635">
        <v>836.69036500000004</v>
      </c>
    </row>
    <row r="636" spans="1:26" hidden="1">
      <c r="A636">
        <v>635</v>
      </c>
      <c r="B636" t="s">
        <v>2352</v>
      </c>
      <c r="C636" t="s">
        <v>54</v>
      </c>
      <c r="D636" s="1" t="b">
        <v>0</v>
      </c>
      <c r="E636">
        <v>5.1000000000000004E-4</v>
      </c>
      <c r="F636">
        <v>3.2924298240000001</v>
      </c>
      <c r="G636">
        <v>39.1</v>
      </c>
      <c r="H636">
        <v>1.33E-6</v>
      </c>
      <c r="I636">
        <v>1.25</v>
      </c>
      <c r="J636">
        <v>32.9</v>
      </c>
      <c r="K636">
        <v>4.1900000000000004</v>
      </c>
      <c r="L636">
        <v>6.3800000000000006E-5</v>
      </c>
      <c r="M636">
        <v>25</v>
      </c>
      <c r="N636" t="s">
        <v>2353</v>
      </c>
      <c r="O636" t="s">
        <v>29</v>
      </c>
      <c r="Q636" t="s">
        <v>2353</v>
      </c>
      <c r="T636" t="s">
        <v>2353</v>
      </c>
      <c r="U636" t="s">
        <v>2353</v>
      </c>
      <c r="W636" t="s">
        <v>2354</v>
      </c>
      <c r="X636" t="s">
        <v>2355</v>
      </c>
      <c r="Y636" t="s">
        <v>2356</v>
      </c>
      <c r="Z636">
        <v>555.31345050000004</v>
      </c>
    </row>
    <row r="637" spans="1:26" hidden="1">
      <c r="A637">
        <v>636</v>
      </c>
      <c r="B637" t="s">
        <v>2357</v>
      </c>
      <c r="C637" t="s">
        <v>54</v>
      </c>
      <c r="D637" s="1" t="b">
        <v>0</v>
      </c>
      <c r="E637">
        <v>2.1000000000000001E-4</v>
      </c>
      <c r="F637">
        <v>3.677780705</v>
      </c>
      <c r="G637">
        <v>35.1</v>
      </c>
      <c r="H637">
        <v>1.11E-6</v>
      </c>
      <c r="I637">
        <v>1.5</v>
      </c>
      <c r="J637">
        <v>36.9</v>
      </c>
      <c r="K637">
        <v>5.0199999999999996</v>
      </c>
      <c r="L637">
        <v>9.6800000000000005E-6</v>
      </c>
      <c r="M637">
        <v>25</v>
      </c>
      <c r="N637" t="s">
        <v>2353</v>
      </c>
      <c r="O637" t="s">
        <v>29</v>
      </c>
      <c r="Q637" t="s">
        <v>2353</v>
      </c>
      <c r="T637" t="s">
        <v>2353</v>
      </c>
      <c r="U637" t="s">
        <v>2353</v>
      </c>
      <c r="W637" t="s">
        <v>2358</v>
      </c>
      <c r="X637" t="s">
        <v>2359</v>
      </c>
      <c r="Y637" t="s">
        <v>2360</v>
      </c>
      <c r="Z637">
        <v>611.37605080000003</v>
      </c>
    </row>
    <row r="638" spans="1:26" hidden="1">
      <c r="A638">
        <v>637</v>
      </c>
      <c r="B638" t="s">
        <v>2361</v>
      </c>
      <c r="C638" t="s">
        <v>54</v>
      </c>
      <c r="D638" s="1" t="b">
        <v>0</v>
      </c>
      <c r="E638">
        <v>8.2700000000000004E-4</v>
      </c>
      <c r="F638">
        <v>3.0824944900000002</v>
      </c>
      <c r="G638">
        <v>34</v>
      </c>
      <c r="H638">
        <v>8.5000000000000001E-7</v>
      </c>
      <c r="I638">
        <v>1.95</v>
      </c>
      <c r="J638">
        <v>37.79</v>
      </c>
      <c r="K638">
        <v>4.92</v>
      </c>
      <c r="L638">
        <v>1.2099999999999999E-5</v>
      </c>
      <c r="M638">
        <v>25</v>
      </c>
      <c r="N638" t="s">
        <v>2362</v>
      </c>
      <c r="O638" t="s">
        <v>29</v>
      </c>
      <c r="Q638" t="s">
        <v>2362</v>
      </c>
      <c r="R638" t="s">
        <v>2362</v>
      </c>
      <c r="S638" t="s">
        <v>2362</v>
      </c>
      <c r="T638" t="s">
        <v>2362</v>
      </c>
      <c r="V638" t="s">
        <v>2362</v>
      </c>
      <c r="W638" t="s">
        <v>2363</v>
      </c>
      <c r="X638" t="s">
        <v>2364</v>
      </c>
      <c r="Y638" t="s">
        <v>2365</v>
      </c>
      <c r="Z638">
        <v>437.28684190000001</v>
      </c>
    </row>
    <row r="639" spans="1:26" hidden="1">
      <c r="A639">
        <v>638</v>
      </c>
      <c r="B639" t="s">
        <v>2366</v>
      </c>
      <c r="C639" t="s">
        <v>28</v>
      </c>
      <c r="D639" s="1" t="b">
        <v>0</v>
      </c>
      <c r="E639">
        <v>6.6000000000000003E-6</v>
      </c>
      <c r="F639">
        <v>5.1804560640000004</v>
      </c>
      <c r="G639">
        <v>37</v>
      </c>
      <c r="H639">
        <v>1.5999999999999999E-6</v>
      </c>
      <c r="I639">
        <v>3.5</v>
      </c>
      <c r="J639">
        <v>35</v>
      </c>
      <c r="K639">
        <v>5.72</v>
      </c>
      <c r="L639">
        <v>1.9099999999999999E-6</v>
      </c>
      <c r="M639">
        <v>25</v>
      </c>
      <c r="N639" t="s">
        <v>1902</v>
      </c>
      <c r="O639" t="s">
        <v>29</v>
      </c>
      <c r="Q639" t="s">
        <v>1903</v>
      </c>
      <c r="R639" t="s">
        <v>1903</v>
      </c>
      <c r="T639" t="s">
        <v>1903</v>
      </c>
      <c r="U639" t="s">
        <v>1903</v>
      </c>
      <c r="W639" t="s">
        <v>2367</v>
      </c>
      <c r="X639" t="s">
        <v>2368</v>
      </c>
      <c r="Y639" t="s">
        <v>2369</v>
      </c>
      <c r="Z639">
        <v>768.51068959999998</v>
      </c>
    </row>
    <row r="640" spans="1:26" hidden="1">
      <c r="A640">
        <v>639</v>
      </c>
      <c r="B640" t="s">
        <v>2370</v>
      </c>
      <c r="C640" t="s">
        <v>1848</v>
      </c>
      <c r="D640" s="1" t="b">
        <v>0</v>
      </c>
      <c r="E640" s="4">
        <v>5.0000000000000004E-6</v>
      </c>
      <c r="F640">
        <v>5.3010000000000002</v>
      </c>
      <c r="M640">
        <v>25</v>
      </c>
      <c r="N640" t="s">
        <v>1849</v>
      </c>
      <c r="X640" t="s">
        <v>2371</v>
      </c>
      <c r="Y640" t="s">
        <v>2372</v>
      </c>
      <c r="Z640">
        <v>533.45729619999997</v>
      </c>
    </row>
    <row r="641" spans="1:26" hidden="1">
      <c r="A641">
        <v>640</v>
      </c>
      <c r="B641" t="s">
        <v>2373</v>
      </c>
      <c r="C641" t="s">
        <v>28</v>
      </c>
      <c r="D641" s="1" t="b">
        <v>0</v>
      </c>
      <c r="G641">
        <v>30.9</v>
      </c>
      <c r="O641" t="s">
        <v>29</v>
      </c>
      <c r="Q641" t="s">
        <v>2374</v>
      </c>
      <c r="X641" t="s">
        <v>2375</v>
      </c>
      <c r="Y641" t="s">
        <v>2376</v>
      </c>
      <c r="Z641">
        <v>988.70266100000003</v>
      </c>
    </row>
    <row r="642" spans="1:26" hidden="1">
      <c r="A642">
        <v>641</v>
      </c>
      <c r="B642" t="s">
        <v>2377</v>
      </c>
      <c r="C642" t="s">
        <v>28</v>
      </c>
      <c r="D642" s="1" t="b">
        <v>0</v>
      </c>
      <c r="E642" s="4">
        <v>9.7000000000000003E-6</v>
      </c>
      <c r="F642">
        <v>5.0132000000000003</v>
      </c>
      <c r="G642">
        <v>41.9</v>
      </c>
      <c r="H642">
        <v>1.39E-6</v>
      </c>
      <c r="I642">
        <v>1.19</v>
      </c>
      <c r="J642">
        <v>30.1</v>
      </c>
      <c r="K642">
        <v>5.4374505190000004</v>
      </c>
      <c r="L642">
        <v>4.3505610000000002E-3</v>
      </c>
      <c r="M642">
        <v>25</v>
      </c>
      <c r="N642" t="s">
        <v>1911</v>
      </c>
      <c r="O642" t="s">
        <v>29</v>
      </c>
      <c r="Q642" t="s">
        <v>1912</v>
      </c>
      <c r="R642" t="s">
        <v>1912</v>
      </c>
      <c r="U642" t="s">
        <v>31</v>
      </c>
      <c r="V642" t="s">
        <v>31</v>
      </c>
      <c r="W642" t="s">
        <v>2378</v>
      </c>
      <c r="X642" t="s">
        <v>2379</v>
      </c>
      <c r="Y642" t="s">
        <v>2380</v>
      </c>
      <c r="Z642">
        <v>784.48784599999999</v>
      </c>
    </row>
    <row r="643" spans="1:26" hidden="1">
      <c r="A643">
        <v>642</v>
      </c>
      <c r="B643" t="s">
        <v>2381</v>
      </c>
      <c r="C643" t="s">
        <v>28</v>
      </c>
      <c r="D643" s="1" t="b">
        <v>0</v>
      </c>
      <c r="E643" s="4">
        <v>2.0999999999999999E-5</v>
      </c>
      <c r="F643">
        <v>4.6778000000000004</v>
      </c>
      <c r="G643">
        <v>28.5</v>
      </c>
      <c r="H643">
        <v>7.7599999999999996E-7</v>
      </c>
      <c r="I643">
        <v>2.14</v>
      </c>
      <c r="J643">
        <v>43.28</v>
      </c>
      <c r="K643">
        <v>6.58</v>
      </c>
      <c r="L643">
        <v>2.5999999999999998E-4</v>
      </c>
      <c r="M643">
        <v>25</v>
      </c>
      <c r="N643" t="s">
        <v>2382</v>
      </c>
      <c r="O643" t="s">
        <v>29</v>
      </c>
      <c r="Q643" t="s">
        <v>2295</v>
      </c>
      <c r="R643" t="s">
        <v>2295</v>
      </c>
      <c r="S643" t="s">
        <v>2295</v>
      </c>
      <c r="T643" t="s">
        <v>2295</v>
      </c>
      <c r="U643" t="s">
        <v>2295</v>
      </c>
      <c r="V643" t="s">
        <v>2295</v>
      </c>
      <c r="W643" t="s">
        <v>2383</v>
      </c>
      <c r="X643" t="s">
        <v>2384</v>
      </c>
      <c r="Y643" t="s">
        <v>2385</v>
      </c>
      <c r="Z643">
        <v>724.48447480000004</v>
      </c>
    </row>
    <row r="644" spans="1:26" hidden="1">
      <c r="A644">
        <v>643</v>
      </c>
      <c r="B644" t="s">
        <v>2386</v>
      </c>
      <c r="C644" t="s">
        <v>54</v>
      </c>
      <c r="D644" s="1" t="b">
        <v>0</v>
      </c>
      <c r="E644">
        <v>3.1E-4</v>
      </c>
      <c r="F644">
        <v>3.5086383059999999</v>
      </c>
      <c r="G644">
        <v>42.1</v>
      </c>
      <c r="H644">
        <v>1.5E-6</v>
      </c>
      <c r="I644">
        <v>1.1000000000000001</v>
      </c>
      <c r="J644">
        <v>29.9</v>
      </c>
      <c r="K644">
        <v>4.3</v>
      </c>
      <c r="L644">
        <v>5.0099999999999998E-5</v>
      </c>
      <c r="M644">
        <v>25</v>
      </c>
      <c r="N644" t="s">
        <v>1917</v>
      </c>
      <c r="O644" t="s">
        <v>29</v>
      </c>
      <c r="Q644" t="s">
        <v>1917</v>
      </c>
      <c r="R644" t="s">
        <v>1917</v>
      </c>
      <c r="T644" t="s">
        <v>1917</v>
      </c>
      <c r="U644" t="s">
        <v>1917</v>
      </c>
      <c r="W644" t="s">
        <v>2387</v>
      </c>
      <c r="X644" t="s">
        <v>2388</v>
      </c>
      <c r="Y644" t="s">
        <v>2389</v>
      </c>
      <c r="Z644">
        <v>425.34244280000001</v>
      </c>
    </row>
    <row r="645" spans="1:26" hidden="1">
      <c r="A645">
        <v>644</v>
      </c>
      <c r="B645" t="s">
        <v>2390</v>
      </c>
      <c r="C645" t="s">
        <v>54</v>
      </c>
      <c r="D645" s="1" t="b">
        <v>0</v>
      </c>
      <c r="G645">
        <v>40.5</v>
      </c>
      <c r="O645" t="s">
        <v>29</v>
      </c>
      <c r="Q645" t="s">
        <v>2219</v>
      </c>
      <c r="X645" t="s">
        <v>2391</v>
      </c>
      <c r="Y645" t="s">
        <v>2392</v>
      </c>
      <c r="Z645">
        <v>395.33187820000001</v>
      </c>
    </row>
    <row r="646" spans="1:26" hidden="1">
      <c r="A646">
        <v>645</v>
      </c>
      <c r="B646" t="s">
        <v>2393</v>
      </c>
      <c r="C646" t="s">
        <v>54</v>
      </c>
      <c r="D646" s="1" t="b">
        <v>0</v>
      </c>
      <c r="E646">
        <v>2.5000000000000001E-4</v>
      </c>
      <c r="F646">
        <v>3.602059991</v>
      </c>
      <c r="G646">
        <v>42.3</v>
      </c>
      <c r="H646">
        <v>1.8500000000000001E-6</v>
      </c>
      <c r="I646">
        <v>0.89</v>
      </c>
      <c r="J646">
        <v>29.7</v>
      </c>
      <c r="K646">
        <v>4.04</v>
      </c>
      <c r="L646">
        <v>9.0600000000000007E-5</v>
      </c>
      <c r="M646">
        <v>25</v>
      </c>
      <c r="N646" t="s">
        <v>1926</v>
      </c>
      <c r="O646" t="s">
        <v>29</v>
      </c>
      <c r="Q646" t="s">
        <v>1926</v>
      </c>
      <c r="R646" t="s">
        <v>1926</v>
      </c>
      <c r="T646" t="s">
        <v>1926</v>
      </c>
      <c r="U646" t="s">
        <v>1926</v>
      </c>
      <c r="W646" t="s">
        <v>2394</v>
      </c>
      <c r="X646" t="s">
        <v>2395</v>
      </c>
      <c r="Y646" t="s">
        <v>2396</v>
      </c>
      <c r="Z646">
        <v>425.34244280000001</v>
      </c>
    </row>
    <row r="647" spans="1:26" hidden="1">
      <c r="A647">
        <v>646</v>
      </c>
      <c r="B647" t="s">
        <v>2397</v>
      </c>
      <c r="C647" t="s">
        <v>54</v>
      </c>
      <c r="D647" s="1" t="b">
        <v>0</v>
      </c>
      <c r="E647">
        <v>1.9000000000000001E-4</v>
      </c>
      <c r="F647">
        <v>3.721246399</v>
      </c>
      <c r="G647">
        <v>34.6</v>
      </c>
      <c r="H647">
        <v>2.2400000000000002E-6</v>
      </c>
      <c r="I647">
        <v>0.74</v>
      </c>
      <c r="J647">
        <v>37.18</v>
      </c>
      <c r="K647">
        <v>4.29</v>
      </c>
      <c r="L647">
        <v>5.13E-5</v>
      </c>
      <c r="M647">
        <v>25</v>
      </c>
      <c r="N647" t="s">
        <v>2398</v>
      </c>
      <c r="O647" t="s">
        <v>29</v>
      </c>
      <c r="Q647" t="s">
        <v>2398</v>
      </c>
      <c r="R647" t="s">
        <v>2398</v>
      </c>
      <c r="S647" t="s">
        <v>2398</v>
      </c>
      <c r="T647" t="s">
        <v>2398</v>
      </c>
      <c r="U647" t="s">
        <v>2398</v>
      </c>
      <c r="V647" t="s">
        <v>2398</v>
      </c>
      <c r="W647" t="s">
        <v>2399</v>
      </c>
      <c r="X647" t="s">
        <v>2400</v>
      </c>
      <c r="Y647" t="s">
        <v>2401</v>
      </c>
      <c r="Z647">
        <v>579.32607599999994</v>
      </c>
    </row>
    <row r="648" spans="1:26" hidden="1">
      <c r="A648">
        <v>647</v>
      </c>
      <c r="B648" t="s">
        <v>2402</v>
      </c>
      <c r="C648" t="s">
        <v>54</v>
      </c>
      <c r="D648" s="1" t="b">
        <v>0</v>
      </c>
      <c r="E648">
        <v>3.6999999999999999E-4</v>
      </c>
      <c r="F648">
        <v>3.4317982759999999</v>
      </c>
      <c r="G648">
        <v>36.5</v>
      </c>
      <c r="H648">
        <v>2.1600000000000001E-6</v>
      </c>
      <c r="I648">
        <v>0.77</v>
      </c>
      <c r="J648">
        <v>35.28</v>
      </c>
      <c r="K648">
        <v>4.1500000000000004</v>
      </c>
      <c r="L648">
        <v>7.08E-5</v>
      </c>
      <c r="M648">
        <v>25</v>
      </c>
      <c r="N648" t="s">
        <v>2398</v>
      </c>
      <c r="O648" t="s">
        <v>29</v>
      </c>
      <c r="Q648" t="s">
        <v>2398</v>
      </c>
      <c r="R648" t="s">
        <v>2398</v>
      </c>
      <c r="S648" t="s">
        <v>2398</v>
      </c>
      <c r="T648" t="s">
        <v>2398</v>
      </c>
      <c r="U648" t="s">
        <v>2398</v>
      </c>
      <c r="V648" t="s">
        <v>2398</v>
      </c>
      <c r="W648" t="s">
        <v>2403</v>
      </c>
      <c r="X648" t="s">
        <v>2404</v>
      </c>
      <c r="Y648" t="s">
        <v>2405</v>
      </c>
      <c r="Z648">
        <v>581.30534050000006</v>
      </c>
    </row>
    <row r="649" spans="1:26" hidden="1">
      <c r="A649">
        <v>648</v>
      </c>
      <c r="B649" t="s">
        <v>2406</v>
      </c>
      <c r="C649" t="s">
        <v>54</v>
      </c>
      <c r="D649" s="1" t="b">
        <v>0</v>
      </c>
      <c r="E649">
        <v>4.0000000000000002E-4</v>
      </c>
      <c r="F649">
        <v>3.397940009</v>
      </c>
      <c r="G649">
        <v>37</v>
      </c>
      <c r="H649">
        <v>7.9999999999999996E-7</v>
      </c>
      <c r="I649">
        <v>0.20599999999999999</v>
      </c>
      <c r="J649">
        <v>34</v>
      </c>
      <c r="K649">
        <v>3.5</v>
      </c>
      <c r="L649">
        <v>3.1599999999999998E-4</v>
      </c>
      <c r="M649">
        <v>20</v>
      </c>
      <c r="N649" t="s">
        <v>2317</v>
      </c>
      <c r="O649" t="s">
        <v>29</v>
      </c>
      <c r="Q649" t="s">
        <v>2317</v>
      </c>
      <c r="R649" t="s">
        <v>2317</v>
      </c>
      <c r="S649" t="s">
        <v>2317</v>
      </c>
      <c r="T649" t="s">
        <v>2317</v>
      </c>
      <c r="U649" t="s">
        <v>2317</v>
      </c>
      <c r="W649" t="s">
        <v>2407</v>
      </c>
      <c r="X649" t="s">
        <v>2408</v>
      </c>
      <c r="Y649" t="s">
        <v>2409</v>
      </c>
      <c r="Z649">
        <v>638.35592450000001</v>
      </c>
    </row>
    <row r="650" spans="1:26" hidden="1">
      <c r="A650">
        <v>649</v>
      </c>
      <c r="B650" t="s">
        <v>2410</v>
      </c>
      <c r="C650" t="s">
        <v>54</v>
      </c>
      <c r="D650" s="1" t="b">
        <v>0</v>
      </c>
      <c r="G650">
        <v>38.6</v>
      </c>
      <c r="O650" t="s">
        <v>29</v>
      </c>
      <c r="Q650" t="s">
        <v>2411</v>
      </c>
      <c r="X650" t="s">
        <v>2412</v>
      </c>
      <c r="Y650" t="s">
        <v>2413</v>
      </c>
      <c r="Z650">
        <v>421.2919273</v>
      </c>
    </row>
    <row r="651" spans="1:26" hidden="1">
      <c r="A651">
        <v>650</v>
      </c>
      <c r="B651" t="s">
        <v>2414</v>
      </c>
      <c r="C651" t="s">
        <v>54</v>
      </c>
      <c r="D651" s="1" t="b">
        <v>0</v>
      </c>
      <c r="G651">
        <v>43.5</v>
      </c>
      <c r="O651" t="s">
        <v>29</v>
      </c>
      <c r="Q651" t="s">
        <v>2415</v>
      </c>
      <c r="X651" t="s">
        <v>2416</v>
      </c>
      <c r="Y651" t="s">
        <v>2417</v>
      </c>
      <c r="Z651">
        <v>447.34396279999999</v>
      </c>
    </row>
    <row r="652" spans="1:26" hidden="1">
      <c r="A652">
        <v>651</v>
      </c>
      <c r="B652" t="s">
        <v>2418</v>
      </c>
      <c r="C652" t="s">
        <v>28</v>
      </c>
      <c r="D652" s="1" t="b">
        <v>0</v>
      </c>
      <c r="E652">
        <v>3.8999999999999999E-6</v>
      </c>
      <c r="F652">
        <v>5.4089353930000001</v>
      </c>
      <c r="G652">
        <v>48.37</v>
      </c>
      <c r="H652">
        <v>6.7000000000000004E-7</v>
      </c>
      <c r="I652">
        <v>2.4900000000000002</v>
      </c>
      <c r="J652">
        <v>23.6</v>
      </c>
      <c r="K652">
        <v>5.7252706729999998</v>
      </c>
      <c r="L652">
        <v>3.26247E-3</v>
      </c>
      <c r="M652">
        <v>25</v>
      </c>
      <c r="N652" t="s">
        <v>2419</v>
      </c>
      <c r="O652" t="s">
        <v>29</v>
      </c>
      <c r="Q652" t="s">
        <v>2419</v>
      </c>
      <c r="R652" t="s">
        <v>2419</v>
      </c>
      <c r="S652" t="s">
        <v>31</v>
      </c>
      <c r="T652" t="s">
        <v>2419</v>
      </c>
      <c r="U652" t="s">
        <v>31</v>
      </c>
      <c r="V652" t="s">
        <v>31</v>
      </c>
      <c r="X652" t="s">
        <v>2420</v>
      </c>
      <c r="Y652" t="s">
        <v>2421</v>
      </c>
      <c r="Z652">
        <v>864.64097549999997</v>
      </c>
    </row>
    <row r="653" spans="1:26" hidden="1">
      <c r="A653">
        <v>652</v>
      </c>
      <c r="B653" t="s">
        <v>2422</v>
      </c>
      <c r="C653" t="s">
        <v>28</v>
      </c>
      <c r="D653" s="1" t="b">
        <v>0</v>
      </c>
      <c r="E653">
        <v>7.8999999999999996E-5</v>
      </c>
      <c r="F653">
        <v>4.1023729089999996</v>
      </c>
      <c r="G653">
        <v>27.9</v>
      </c>
      <c r="H653">
        <v>3.18E-6</v>
      </c>
      <c r="I653">
        <v>0.78</v>
      </c>
      <c r="J653">
        <v>44.1</v>
      </c>
      <c r="K653">
        <v>5.05</v>
      </c>
      <c r="L653">
        <v>8.9099999999999994E-6</v>
      </c>
      <c r="M653">
        <v>25</v>
      </c>
      <c r="N653" t="s">
        <v>2423</v>
      </c>
      <c r="O653" t="s">
        <v>29</v>
      </c>
      <c r="Q653" t="s">
        <v>2423</v>
      </c>
      <c r="R653" t="s">
        <v>2423</v>
      </c>
      <c r="S653" t="s">
        <v>2423</v>
      </c>
      <c r="T653" t="s">
        <v>2423</v>
      </c>
      <c r="U653" t="s">
        <v>2423</v>
      </c>
      <c r="W653" t="s">
        <v>2424</v>
      </c>
      <c r="X653" t="s">
        <v>2425</v>
      </c>
      <c r="Y653" t="s">
        <v>2426</v>
      </c>
      <c r="Z653">
        <v>942.63628400000005</v>
      </c>
    </row>
    <row r="654" spans="1:26">
      <c r="A654">
        <v>653</v>
      </c>
      <c r="B654" s="2" t="s">
        <v>2427</v>
      </c>
      <c r="C654" t="s">
        <v>28</v>
      </c>
      <c r="D654" s="1" t="b">
        <v>1</v>
      </c>
      <c r="E654">
        <v>9.0000000000000006E-5</v>
      </c>
      <c r="F654">
        <v>4.0457574909999998</v>
      </c>
      <c r="G654">
        <v>30</v>
      </c>
      <c r="H654">
        <v>2.8399999999999999E-6</v>
      </c>
      <c r="I654">
        <v>0.88</v>
      </c>
      <c r="J654">
        <v>42</v>
      </c>
      <c r="K654">
        <v>5.0199999999999996</v>
      </c>
      <c r="L654">
        <v>9.55E-6</v>
      </c>
      <c r="M654">
        <v>25</v>
      </c>
      <c r="N654" t="s">
        <v>2423</v>
      </c>
      <c r="O654" t="s">
        <v>29</v>
      </c>
      <c r="Q654" t="s">
        <v>2423</v>
      </c>
      <c r="R654" t="s">
        <v>2423</v>
      </c>
      <c r="S654" t="s">
        <v>2423</v>
      </c>
      <c r="T654" t="s">
        <v>2423</v>
      </c>
      <c r="U654" t="s">
        <v>2423</v>
      </c>
      <c r="W654" t="s">
        <v>2428</v>
      </c>
      <c r="X654" t="s">
        <v>2429</v>
      </c>
      <c r="Y654" t="s">
        <v>2430</v>
      </c>
      <c r="Z654">
        <v>824.53690429999995</v>
      </c>
    </row>
    <row r="655" spans="1:26" hidden="1">
      <c r="A655">
        <v>654</v>
      </c>
      <c r="B655" t="s">
        <v>2431</v>
      </c>
      <c r="C655" t="s">
        <v>28</v>
      </c>
      <c r="D655" s="1" t="b">
        <v>0</v>
      </c>
      <c r="E655">
        <v>2.3999999999999998E-3</v>
      </c>
      <c r="F655">
        <v>2.6197887579999999</v>
      </c>
      <c r="G655">
        <v>38</v>
      </c>
      <c r="H655">
        <v>7.7599999999999996E-7</v>
      </c>
      <c r="I655">
        <v>2.1</v>
      </c>
      <c r="J655">
        <v>34</v>
      </c>
      <c r="K655">
        <v>4.8899999999999997</v>
      </c>
      <c r="L655">
        <v>1.2999999999999999E-5</v>
      </c>
      <c r="M655">
        <v>25</v>
      </c>
      <c r="N655" t="s">
        <v>2432</v>
      </c>
      <c r="O655" t="s">
        <v>29</v>
      </c>
      <c r="Q655" t="s">
        <v>2432</v>
      </c>
      <c r="R655" t="s">
        <v>2432</v>
      </c>
      <c r="S655" t="s">
        <v>2432</v>
      </c>
      <c r="T655" t="s">
        <v>2432</v>
      </c>
      <c r="U655" t="s">
        <v>2432</v>
      </c>
      <c r="W655" t="s">
        <v>2433</v>
      </c>
      <c r="X655" t="s">
        <v>2434</v>
      </c>
      <c r="Y655" t="s">
        <v>2435</v>
      </c>
      <c r="Z655">
        <v>722.46882479999999</v>
      </c>
    </row>
    <row r="656" spans="1:26" hidden="1">
      <c r="A656">
        <v>655</v>
      </c>
      <c r="B656" t="s">
        <v>2436</v>
      </c>
      <c r="C656" t="s">
        <v>28</v>
      </c>
      <c r="D656" s="1" t="b">
        <v>0</v>
      </c>
      <c r="E656">
        <v>4.3949999999999998E-5</v>
      </c>
      <c r="F656">
        <v>4.357041121</v>
      </c>
      <c r="M656">
        <v>25</v>
      </c>
      <c r="N656" t="s">
        <v>484</v>
      </c>
      <c r="X656" t="s">
        <v>2437</v>
      </c>
      <c r="Y656" t="s">
        <v>2438</v>
      </c>
      <c r="Z656">
        <v>800.51577499999996</v>
      </c>
    </row>
    <row r="657" spans="1:26" hidden="1">
      <c r="A657">
        <v>656</v>
      </c>
      <c r="B657" t="s">
        <v>2439</v>
      </c>
      <c r="C657" t="s">
        <v>28</v>
      </c>
      <c r="D657" s="1" t="b">
        <v>0</v>
      </c>
      <c r="E657">
        <v>5.9700000000000001E-5</v>
      </c>
      <c r="F657">
        <v>4.2240256690000004</v>
      </c>
      <c r="M657">
        <v>25</v>
      </c>
      <c r="N657" t="s">
        <v>484</v>
      </c>
      <c r="X657" t="s">
        <v>2440</v>
      </c>
      <c r="Y657" t="s">
        <v>2441</v>
      </c>
      <c r="Z657">
        <v>828.54707510000003</v>
      </c>
    </row>
    <row r="658" spans="1:26" hidden="1">
      <c r="A658">
        <v>657</v>
      </c>
      <c r="B658" t="s">
        <v>2442</v>
      </c>
      <c r="C658" t="s">
        <v>28</v>
      </c>
      <c r="D658" s="1" t="b">
        <v>0</v>
      </c>
      <c r="E658">
        <v>2.8969999999999999E-5</v>
      </c>
      <c r="F658">
        <v>4.5380515050000003</v>
      </c>
      <c r="G658">
        <v>37.6</v>
      </c>
      <c r="J658">
        <v>34.369999999999997</v>
      </c>
      <c r="M658">
        <v>25</v>
      </c>
      <c r="N658" t="s">
        <v>484</v>
      </c>
      <c r="O658" t="s">
        <v>29</v>
      </c>
      <c r="Q658" t="s">
        <v>2443</v>
      </c>
      <c r="S658" t="s">
        <v>31</v>
      </c>
      <c r="X658" t="s">
        <v>2444</v>
      </c>
      <c r="Y658" t="s">
        <v>2445</v>
      </c>
      <c r="Z658">
        <v>804.54707510000003</v>
      </c>
    </row>
    <row r="659" spans="1:26" hidden="1">
      <c r="A659">
        <v>658</v>
      </c>
      <c r="B659" t="s">
        <v>2446</v>
      </c>
      <c r="C659" t="s">
        <v>28</v>
      </c>
      <c r="D659" s="1" t="b">
        <v>0</v>
      </c>
      <c r="E659">
        <v>4.5599999999999997E-5</v>
      </c>
      <c r="F659">
        <v>4.3410351570000003</v>
      </c>
      <c r="G659">
        <v>36</v>
      </c>
      <c r="H659">
        <v>6.8999999999999996E-7</v>
      </c>
      <c r="I659">
        <v>2.44</v>
      </c>
      <c r="J659">
        <v>36</v>
      </c>
      <c r="K659">
        <v>5.7</v>
      </c>
      <c r="L659">
        <v>1.9999999999999999E-6</v>
      </c>
      <c r="M659">
        <v>25</v>
      </c>
      <c r="N659" t="s">
        <v>2447</v>
      </c>
      <c r="O659" t="s">
        <v>29</v>
      </c>
      <c r="Q659" t="s">
        <v>2447</v>
      </c>
      <c r="R659" t="s">
        <v>2447</v>
      </c>
      <c r="S659" t="s">
        <v>2447</v>
      </c>
      <c r="T659" t="s">
        <v>2447</v>
      </c>
      <c r="U659" t="s">
        <v>2447</v>
      </c>
      <c r="V659" t="s">
        <v>2447</v>
      </c>
      <c r="W659" t="s">
        <v>2448</v>
      </c>
      <c r="X659" t="s">
        <v>2449</v>
      </c>
      <c r="Y659" t="s">
        <v>2450</v>
      </c>
      <c r="Z659">
        <v>872.66923559999998</v>
      </c>
    </row>
    <row r="660" spans="1:26" hidden="1">
      <c r="A660">
        <v>659</v>
      </c>
      <c r="B660" t="s">
        <v>2451</v>
      </c>
      <c r="C660" t="s">
        <v>28</v>
      </c>
      <c r="D660" s="1" t="b">
        <v>0</v>
      </c>
      <c r="E660">
        <v>5.1E-5</v>
      </c>
      <c r="F660">
        <v>4.2924298240000001</v>
      </c>
      <c r="G660">
        <v>49.1</v>
      </c>
      <c r="H660">
        <v>4.8999999999999997E-7</v>
      </c>
      <c r="I660">
        <v>1.77</v>
      </c>
      <c r="J660">
        <v>22.9</v>
      </c>
      <c r="K660">
        <v>4.49</v>
      </c>
      <c r="L660">
        <v>3.2400000000000001E-5</v>
      </c>
      <c r="M660">
        <v>25</v>
      </c>
      <c r="N660" t="s">
        <v>2447</v>
      </c>
      <c r="O660" t="s">
        <v>29</v>
      </c>
      <c r="Q660" t="s">
        <v>2447</v>
      </c>
      <c r="R660" t="s">
        <v>2447</v>
      </c>
      <c r="S660" t="s">
        <v>2447</v>
      </c>
      <c r="T660" t="s">
        <v>2447</v>
      </c>
      <c r="U660" t="s">
        <v>2447</v>
      </c>
      <c r="V660" t="s">
        <v>2447</v>
      </c>
      <c r="W660" t="s">
        <v>2452</v>
      </c>
      <c r="X660" t="s">
        <v>2453</v>
      </c>
      <c r="Y660" t="s">
        <v>2454</v>
      </c>
      <c r="Z660">
        <v>796.63793550000003</v>
      </c>
    </row>
    <row r="661" spans="1:26">
      <c r="A661">
        <v>660</v>
      </c>
      <c r="B661" s="2" t="s">
        <v>2455</v>
      </c>
      <c r="C661" t="s">
        <v>54</v>
      </c>
      <c r="D661" s="1" t="b">
        <v>1</v>
      </c>
      <c r="E661">
        <v>8.9999999999999998E-4</v>
      </c>
      <c r="F661">
        <v>3.0457574909999998</v>
      </c>
      <c r="M661">
        <v>25</v>
      </c>
      <c r="N661" t="s">
        <v>1832</v>
      </c>
      <c r="X661" t="s">
        <v>2456</v>
      </c>
      <c r="Y661" t="s">
        <v>2457</v>
      </c>
      <c r="Z661">
        <v>344.30840310000002</v>
      </c>
    </row>
    <row r="662" spans="1:26" hidden="1">
      <c r="A662">
        <v>661</v>
      </c>
      <c r="B662" t="s">
        <v>2458</v>
      </c>
      <c r="C662" t="s">
        <v>54</v>
      </c>
      <c r="D662" s="1" t="b">
        <v>0</v>
      </c>
      <c r="E662">
        <v>6.4000000000000005E-4</v>
      </c>
      <c r="F662">
        <v>3.193820026</v>
      </c>
      <c r="G662">
        <v>34.799999999999997</v>
      </c>
      <c r="H662">
        <v>4.0500000000000002E-6</v>
      </c>
      <c r="I662">
        <v>0.41</v>
      </c>
      <c r="J662">
        <v>37.200000000000003</v>
      </c>
      <c r="K662">
        <v>3.7</v>
      </c>
      <c r="L662">
        <v>2.0000000000000001E-4</v>
      </c>
      <c r="M662">
        <v>25</v>
      </c>
      <c r="N662" t="s">
        <v>2459</v>
      </c>
      <c r="O662" t="s">
        <v>29</v>
      </c>
      <c r="P662" t="s">
        <v>103</v>
      </c>
      <c r="Q662" t="s">
        <v>1769</v>
      </c>
      <c r="R662" t="s">
        <v>986</v>
      </c>
      <c r="T662" t="s">
        <v>1858</v>
      </c>
      <c r="V662" t="s">
        <v>1858</v>
      </c>
      <c r="W662" t="s">
        <v>2460</v>
      </c>
      <c r="X662" t="s">
        <v>2461</v>
      </c>
      <c r="Y662" t="s">
        <v>2462</v>
      </c>
      <c r="Z662">
        <v>383.21876229999998</v>
      </c>
    </row>
    <row r="663" spans="1:26" hidden="1">
      <c r="A663">
        <v>662</v>
      </c>
      <c r="B663" t="s">
        <v>2463</v>
      </c>
      <c r="C663" t="s">
        <v>54</v>
      </c>
      <c r="D663" s="1" t="b">
        <v>0</v>
      </c>
      <c r="E663">
        <v>8.9999999999999998E-4</v>
      </c>
      <c r="F663">
        <v>3.0457574909999998</v>
      </c>
      <c r="G663">
        <v>42</v>
      </c>
      <c r="H663">
        <v>8.8000000000000004E-7</v>
      </c>
      <c r="I663">
        <v>0.42</v>
      </c>
      <c r="J663">
        <v>30</v>
      </c>
      <c r="K663">
        <v>4.3</v>
      </c>
      <c r="L663">
        <v>5.0000000000000002E-5</v>
      </c>
      <c r="M663">
        <v>25</v>
      </c>
      <c r="N663" t="s">
        <v>2464</v>
      </c>
      <c r="O663" t="s">
        <v>29</v>
      </c>
      <c r="P663" t="s">
        <v>103</v>
      </c>
      <c r="Q663" t="s">
        <v>2465</v>
      </c>
      <c r="T663" t="s">
        <v>1858</v>
      </c>
      <c r="V663" t="s">
        <v>1858</v>
      </c>
      <c r="W663" t="s">
        <v>2466</v>
      </c>
      <c r="X663" t="s">
        <v>2467</v>
      </c>
      <c r="Y663" t="s">
        <v>2468</v>
      </c>
      <c r="Z663">
        <v>339.26927790000002</v>
      </c>
    </row>
    <row r="664" spans="1:26" hidden="1">
      <c r="A664">
        <v>663</v>
      </c>
      <c r="B664" t="s">
        <v>2469</v>
      </c>
      <c r="C664" t="s">
        <v>54</v>
      </c>
      <c r="D664" s="1" t="b">
        <v>0</v>
      </c>
      <c r="G664">
        <v>42</v>
      </c>
      <c r="O664" t="s">
        <v>29</v>
      </c>
      <c r="Q664" t="s">
        <v>1953</v>
      </c>
      <c r="X664" t="s">
        <v>2470</v>
      </c>
      <c r="Y664" t="s">
        <v>2471</v>
      </c>
      <c r="Z664">
        <v>515.3086399</v>
      </c>
    </row>
    <row r="665" spans="1:26">
      <c r="A665">
        <v>664</v>
      </c>
      <c r="B665" s="2" t="s">
        <v>2458</v>
      </c>
      <c r="C665" t="s">
        <v>54</v>
      </c>
      <c r="D665" s="1" t="b">
        <v>1</v>
      </c>
      <c r="E665">
        <v>6.4000000000000005E-4</v>
      </c>
      <c r="F665">
        <v>3.193820026</v>
      </c>
      <c r="G665" s="2"/>
      <c r="H665" s="2"/>
      <c r="I665" s="2"/>
      <c r="J665" s="2"/>
      <c r="K665" s="2"/>
      <c r="L665" s="2"/>
      <c r="M665">
        <v>25</v>
      </c>
      <c r="N665" t="s">
        <v>135</v>
      </c>
      <c r="X665" t="s">
        <v>2472</v>
      </c>
      <c r="Y665" t="s">
        <v>2473</v>
      </c>
      <c r="Z665">
        <v>383.21876229999998</v>
      </c>
    </row>
    <row r="666" spans="1:26">
      <c r="A666">
        <v>665</v>
      </c>
      <c r="B666" s="2" t="s">
        <v>2463</v>
      </c>
      <c r="C666" t="s">
        <v>54</v>
      </c>
      <c r="D666" s="1" t="b">
        <v>1</v>
      </c>
      <c r="E666">
        <v>8.9999999999999998E-4</v>
      </c>
      <c r="F666">
        <v>3.0457574909999998</v>
      </c>
      <c r="G666" s="2"/>
      <c r="H666" s="2"/>
      <c r="I666" s="2"/>
      <c r="J666" s="2"/>
      <c r="K666" s="2"/>
      <c r="L666" s="2"/>
      <c r="M666">
        <v>25</v>
      </c>
      <c r="N666" t="s">
        <v>135</v>
      </c>
      <c r="X666" t="s">
        <v>2474</v>
      </c>
      <c r="Y666" t="s">
        <v>2475</v>
      </c>
      <c r="Z666">
        <v>339.26927790000002</v>
      </c>
    </row>
    <row r="667" spans="1:26" hidden="1">
      <c r="A667">
        <v>666</v>
      </c>
      <c r="B667" t="s">
        <v>2476</v>
      </c>
      <c r="C667" t="s">
        <v>54</v>
      </c>
      <c r="D667" s="1" t="b">
        <v>0</v>
      </c>
      <c r="G667">
        <v>38</v>
      </c>
      <c r="O667" t="s">
        <v>29</v>
      </c>
      <c r="Q667" t="s">
        <v>2477</v>
      </c>
      <c r="X667" t="s">
        <v>2478</v>
      </c>
      <c r="Y667" t="s">
        <v>2479</v>
      </c>
      <c r="Z667">
        <v>386.22966129999998</v>
      </c>
    </row>
    <row r="668" spans="1:26" hidden="1">
      <c r="A668">
        <v>667</v>
      </c>
      <c r="B668" t="s">
        <v>2480</v>
      </c>
      <c r="C668" t="s">
        <v>54</v>
      </c>
      <c r="D668" s="1" t="b">
        <v>0</v>
      </c>
      <c r="G668">
        <v>37</v>
      </c>
      <c r="O668" t="s">
        <v>29</v>
      </c>
      <c r="Q668" t="s">
        <v>2477</v>
      </c>
      <c r="X668" t="s">
        <v>2481</v>
      </c>
      <c r="Y668" t="s">
        <v>2482</v>
      </c>
      <c r="Z668">
        <v>342.28017690000001</v>
      </c>
    </row>
    <row r="669" spans="1:26" hidden="1">
      <c r="A669">
        <v>668</v>
      </c>
      <c r="B669" t="s">
        <v>2483</v>
      </c>
      <c r="C669" t="s">
        <v>28</v>
      </c>
      <c r="D669" s="1" t="b">
        <v>0</v>
      </c>
      <c r="E669">
        <v>2.2387199999999999E-4</v>
      </c>
      <c r="F669">
        <v>3.65</v>
      </c>
      <c r="G669">
        <v>26.4</v>
      </c>
      <c r="H669">
        <v>1.77E-6</v>
      </c>
      <c r="I669">
        <v>1.01</v>
      </c>
      <c r="J669">
        <v>45.6</v>
      </c>
      <c r="K669">
        <v>4.4944666590000004</v>
      </c>
      <c r="L669">
        <v>1.1170637000000001E-2</v>
      </c>
      <c r="M669">
        <v>25</v>
      </c>
      <c r="N669" t="s">
        <v>2484</v>
      </c>
      <c r="O669" t="s">
        <v>2484</v>
      </c>
      <c r="P669" t="s">
        <v>2484</v>
      </c>
      <c r="R669" t="s">
        <v>2484</v>
      </c>
      <c r="S669" t="s">
        <v>2484</v>
      </c>
      <c r="T669" t="s">
        <v>2484</v>
      </c>
      <c r="U669" t="s">
        <v>31</v>
      </c>
      <c r="V669" t="s">
        <v>31</v>
      </c>
      <c r="X669" t="s">
        <v>2485</v>
      </c>
      <c r="Y669" t="s">
        <v>2486</v>
      </c>
      <c r="Z669">
        <v>798.62843339999995</v>
      </c>
    </row>
    <row r="670" spans="1:26" hidden="1">
      <c r="A670">
        <v>669</v>
      </c>
      <c r="B670" t="s">
        <v>2487</v>
      </c>
      <c r="C670" t="s">
        <v>28</v>
      </c>
      <c r="D670" s="1" t="b">
        <v>0</v>
      </c>
      <c r="E670">
        <v>2.4547099999999998E-4</v>
      </c>
      <c r="F670">
        <v>3.61</v>
      </c>
      <c r="G670">
        <v>29.6</v>
      </c>
      <c r="H670">
        <v>2.08E-6</v>
      </c>
      <c r="I670">
        <v>0.88</v>
      </c>
      <c r="J670">
        <v>42.4</v>
      </c>
      <c r="K670">
        <v>4.2387825660000003</v>
      </c>
      <c r="L670">
        <v>1.4425143E-2</v>
      </c>
      <c r="M670">
        <v>25</v>
      </c>
      <c r="N670" t="s">
        <v>2484</v>
      </c>
      <c r="O670" t="s">
        <v>2484</v>
      </c>
      <c r="P670" t="s">
        <v>2484</v>
      </c>
      <c r="R670" t="s">
        <v>2484</v>
      </c>
      <c r="S670" t="s">
        <v>2484</v>
      </c>
      <c r="T670" t="s">
        <v>2484</v>
      </c>
      <c r="U670" t="s">
        <v>31</v>
      </c>
      <c r="V670" t="s">
        <v>31</v>
      </c>
      <c r="X670" t="s">
        <v>2488</v>
      </c>
      <c r="Y670" t="s">
        <v>2489</v>
      </c>
      <c r="Z670">
        <v>784.61278340000001</v>
      </c>
    </row>
    <row r="671" spans="1:26" hidden="1">
      <c r="A671">
        <v>670</v>
      </c>
      <c r="B671" t="s">
        <v>2490</v>
      </c>
      <c r="C671" t="s">
        <v>28</v>
      </c>
      <c r="D671" s="1" t="b">
        <v>0</v>
      </c>
      <c r="E671">
        <v>2.6302699999999999E-4</v>
      </c>
      <c r="F671">
        <v>3.58</v>
      </c>
      <c r="G671">
        <v>31.5</v>
      </c>
      <c r="H671">
        <v>2.1100000000000001E-6</v>
      </c>
      <c r="I671">
        <v>0.86</v>
      </c>
      <c r="J671">
        <v>40.5</v>
      </c>
      <c r="K671">
        <v>4.1472666010000001</v>
      </c>
      <c r="L671">
        <v>1.5807565999999999E-2</v>
      </c>
      <c r="M671">
        <v>25</v>
      </c>
      <c r="N671" t="s">
        <v>2484</v>
      </c>
      <c r="O671" t="s">
        <v>2484</v>
      </c>
      <c r="P671" t="s">
        <v>2484</v>
      </c>
      <c r="R671" t="s">
        <v>2484</v>
      </c>
      <c r="S671" t="s">
        <v>2484</v>
      </c>
      <c r="T671" t="s">
        <v>2484</v>
      </c>
      <c r="U671" t="s">
        <v>31</v>
      </c>
      <c r="V671" t="s">
        <v>31</v>
      </c>
      <c r="X671" t="s">
        <v>2491</v>
      </c>
      <c r="Y671" t="s">
        <v>2492</v>
      </c>
      <c r="Z671">
        <v>770.5971333</v>
      </c>
    </row>
    <row r="672" spans="1:26" hidden="1">
      <c r="A672">
        <v>671</v>
      </c>
      <c r="B672" t="s">
        <v>2493</v>
      </c>
      <c r="C672" t="s">
        <v>28</v>
      </c>
      <c r="D672" s="1" t="b">
        <v>0</v>
      </c>
      <c r="E672">
        <v>2.8183800000000002E-4</v>
      </c>
      <c r="F672">
        <v>3.55</v>
      </c>
      <c r="G672">
        <v>32.799999999999997</v>
      </c>
      <c r="H672">
        <v>2.1399999999999998E-6</v>
      </c>
      <c r="I672">
        <v>0.84</v>
      </c>
      <c r="J672">
        <v>39.200000000000003</v>
      </c>
      <c r="K672">
        <v>4.0738455560000002</v>
      </c>
      <c r="L672">
        <v>1.7011842999999999E-2</v>
      </c>
      <c r="M672">
        <v>25</v>
      </c>
      <c r="N672" t="s">
        <v>2484</v>
      </c>
      <c r="O672" t="s">
        <v>2484</v>
      </c>
      <c r="P672" t="s">
        <v>2484</v>
      </c>
      <c r="R672" t="s">
        <v>2484</v>
      </c>
      <c r="S672" t="s">
        <v>2484</v>
      </c>
      <c r="T672" t="s">
        <v>2484</v>
      </c>
      <c r="U672" t="s">
        <v>31</v>
      </c>
      <c r="V672" t="s">
        <v>31</v>
      </c>
      <c r="X672" t="s">
        <v>2494</v>
      </c>
      <c r="Y672" t="s">
        <v>2495</v>
      </c>
      <c r="Z672">
        <v>756.58148319999998</v>
      </c>
    </row>
    <row r="673" spans="1:29" hidden="1">
      <c r="A673">
        <v>672</v>
      </c>
      <c r="B673" t="s">
        <v>2496</v>
      </c>
      <c r="C673" t="s">
        <v>28</v>
      </c>
      <c r="D673" s="1" t="b">
        <v>0</v>
      </c>
      <c r="E673">
        <v>3.01995E-4</v>
      </c>
      <c r="F673">
        <v>3.52</v>
      </c>
      <c r="G673">
        <v>33.9</v>
      </c>
      <c r="H673">
        <v>2.17E-6</v>
      </c>
      <c r="I673">
        <v>0.82</v>
      </c>
      <c r="J673">
        <v>38.1</v>
      </c>
      <c r="K673">
        <v>4.0070063789999999</v>
      </c>
      <c r="L673">
        <v>1.8187761E-2</v>
      </c>
      <c r="M673">
        <v>25</v>
      </c>
      <c r="N673" t="s">
        <v>2484</v>
      </c>
      <c r="O673" t="s">
        <v>2484</v>
      </c>
      <c r="P673" t="s">
        <v>2484</v>
      </c>
      <c r="R673" t="s">
        <v>2484</v>
      </c>
      <c r="S673" t="s">
        <v>2484</v>
      </c>
      <c r="T673" t="s">
        <v>2484</v>
      </c>
      <c r="U673" t="s">
        <v>31</v>
      </c>
      <c r="V673" t="s">
        <v>31</v>
      </c>
      <c r="X673" t="s">
        <v>2497</v>
      </c>
      <c r="Y673" t="s">
        <v>2498</v>
      </c>
      <c r="Z673">
        <v>742.56583320000004</v>
      </c>
    </row>
    <row r="674" spans="1:29" hidden="1">
      <c r="A674">
        <v>673</v>
      </c>
      <c r="B674" t="s">
        <v>2499</v>
      </c>
      <c r="C674" t="s">
        <v>83</v>
      </c>
      <c r="D674" s="1" t="b">
        <v>0</v>
      </c>
      <c r="E674">
        <v>3.4999999999999999E-6</v>
      </c>
      <c r="F674">
        <v>5.4559319559999997</v>
      </c>
      <c r="G674">
        <v>34.4</v>
      </c>
      <c r="H674">
        <v>3.67E-6</v>
      </c>
      <c r="I674">
        <v>0.45</v>
      </c>
      <c r="J674">
        <v>37.6</v>
      </c>
      <c r="K674">
        <v>6.2959404289999998</v>
      </c>
      <c r="L674">
        <v>1.843775E-3</v>
      </c>
      <c r="M674">
        <v>25</v>
      </c>
      <c r="N674" t="s">
        <v>89</v>
      </c>
      <c r="O674" t="s">
        <v>29</v>
      </c>
      <c r="P674" t="s">
        <v>103</v>
      </c>
      <c r="Q674" t="s">
        <v>578</v>
      </c>
      <c r="R674" t="s">
        <v>2500</v>
      </c>
      <c r="T674" t="s">
        <v>2500</v>
      </c>
      <c r="U674" t="s">
        <v>31</v>
      </c>
      <c r="V674" t="s">
        <v>31</v>
      </c>
      <c r="W674" t="s">
        <v>2501</v>
      </c>
      <c r="X674" t="s">
        <v>2502</v>
      </c>
      <c r="Y674" t="s">
        <v>2503</v>
      </c>
      <c r="Z674">
        <v>580.45503359999998</v>
      </c>
    </row>
    <row r="675" spans="1:29" hidden="1">
      <c r="A675">
        <v>674</v>
      </c>
      <c r="B675" t="s">
        <v>2504</v>
      </c>
      <c r="C675" t="s">
        <v>83</v>
      </c>
      <c r="D675" s="1" t="b">
        <v>0</v>
      </c>
      <c r="E675">
        <v>3.4989999999999999E-6</v>
      </c>
      <c r="F675">
        <v>5.4560560579999997</v>
      </c>
      <c r="G675">
        <v>34.6</v>
      </c>
      <c r="J675">
        <v>37.4</v>
      </c>
      <c r="M675">
        <v>25</v>
      </c>
      <c r="N675" t="s">
        <v>207</v>
      </c>
      <c r="O675" t="s">
        <v>2148</v>
      </c>
      <c r="X675" t="s">
        <v>2505</v>
      </c>
      <c r="Y675" t="s">
        <v>2506</v>
      </c>
      <c r="Z675">
        <v>580.45503359999998</v>
      </c>
    </row>
    <row r="676" spans="1:29" hidden="1">
      <c r="A676">
        <v>675</v>
      </c>
      <c r="B676" t="s">
        <v>2507</v>
      </c>
      <c r="C676" t="s">
        <v>134</v>
      </c>
      <c r="D676" s="13" t="b">
        <v>0</v>
      </c>
      <c r="E676">
        <v>1.199E-3</v>
      </c>
      <c r="F676">
        <v>2.9211808170000002</v>
      </c>
      <c r="M676">
        <v>25</v>
      </c>
      <c r="N676" t="s">
        <v>179</v>
      </c>
      <c r="P676" t="s">
        <v>180</v>
      </c>
      <c r="W676" t="s">
        <v>2508</v>
      </c>
      <c r="X676" t="s">
        <v>2509</v>
      </c>
      <c r="Y676" t="s">
        <v>2510</v>
      </c>
      <c r="Z676">
        <v>330.18407480000002</v>
      </c>
    </row>
    <row r="677" spans="1:29" hidden="1">
      <c r="A677">
        <v>676</v>
      </c>
      <c r="B677" t="s">
        <v>2511</v>
      </c>
      <c r="C677" t="s">
        <v>134</v>
      </c>
      <c r="D677" s="13" t="b">
        <v>0</v>
      </c>
      <c r="E677">
        <v>7.2610000000000003E-4</v>
      </c>
      <c r="F677">
        <v>3.1390035630000002</v>
      </c>
      <c r="M677">
        <v>25</v>
      </c>
      <c r="N677" t="s">
        <v>179</v>
      </c>
      <c r="W677" t="s">
        <v>2512</v>
      </c>
      <c r="X677" t="s">
        <v>2513</v>
      </c>
      <c r="Y677" t="s">
        <v>2514</v>
      </c>
      <c r="Z677">
        <v>314.18916009999998</v>
      </c>
    </row>
    <row r="678" spans="1:29" hidden="1">
      <c r="A678">
        <v>677</v>
      </c>
      <c r="B678" t="s">
        <v>2515</v>
      </c>
      <c r="C678" t="s">
        <v>28</v>
      </c>
      <c r="D678" s="1" t="b">
        <v>0</v>
      </c>
      <c r="E678" s="4">
        <v>4.3000000000000002E-5</v>
      </c>
      <c r="F678">
        <v>4.3665000000000003</v>
      </c>
      <c r="M678">
        <v>25</v>
      </c>
      <c r="N678" t="s">
        <v>1849</v>
      </c>
      <c r="X678" t="s">
        <v>2516</v>
      </c>
      <c r="Y678" t="s">
        <v>2517</v>
      </c>
      <c r="Z678">
        <v>753.51102390000005</v>
      </c>
    </row>
    <row r="679" spans="1:29" hidden="1">
      <c r="A679">
        <v>678</v>
      </c>
      <c r="B679" t="s">
        <v>2518</v>
      </c>
      <c r="C679" t="s">
        <v>28</v>
      </c>
      <c r="D679" s="1" t="b">
        <v>0</v>
      </c>
      <c r="E679">
        <v>4.1999999999999998E-5</v>
      </c>
      <c r="F679">
        <v>4.3767507099999996</v>
      </c>
      <c r="G679">
        <v>40.1</v>
      </c>
      <c r="H679">
        <v>1.4699999999999999E-6</v>
      </c>
      <c r="I679">
        <v>1.1299999999999999</v>
      </c>
      <c r="J679">
        <v>31.9</v>
      </c>
      <c r="K679">
        <v>4.8494069919999996</v>
      </c>
      <c r="L679">
        <v>7.8330210000000008E-3</v>
      </c>
      <c r="M679">
        <v>25</v>
      </c>
      <c r="N679" t="s">
        <v>1912</v>
      </c>
      <c r="O679" t="s">
        <v>29</v>
      </c>
      <c r="Q679" t="s">
        <v>1912</v>
      </c>
      <c r="R679" t="s">
        <v>1912</v>
      </c>
      <c r="U679" t="s">
        <v>31</v>
      </c>
      <c r="V679" t="s">
        <v>31</v>
      </c>
      <c r="W679" t="s">
        <v>2519</v>
      </c>
      <c r="X679" t="s">
        <v>2520</v>
      </c>
      <c r="Y679" t="s">
        <v>2521</v>
      </c>
      <c r="Z679">
        <v>753.51102390000005</v>
      </c>
    </row>
    <row r="680" spans="1:29" hidden="1">
      <c r="A680">
        <v>679</v>
      </c>
      <c r="B680" t="s">
        <v>2522</v>
      </c>
      <c r="C680" t="s">
        <v>28</v>
      </c>
      <c r="D680" s="1" t="b">
        <v>0</v>
      </c>
      <c r="E680">
        <v>1.29987E-4</v>
      </c>
      <c r="F680">
        <v>3.8860999999999999</v>
      </c>
      <c r="M680">
        <v>25</v>
      </c>
      <c r="N680" t="s">
        <v>1849</v>
      </c>
      <c r="X680" t="s">
        <v>2523</v>
      </c>
      <c r="Y680" t="s">
        <v>2524</v>
      </c>
      <c r="Z680">
        <v>800.51577499999996</v>
      </c>
    </row>
    <row r="681" spans="1:29" hidden="1">
      <c r="A681">
        <v>680</v>
      </c>
      <c r="B681" t="s">
        <v>2525</v>
      </c>
      <c r="C681" t="s">
        <v>54</v>
      </c>
      <c r="D681" s="1" t="b">
        <v>0</v>
      </c>
      <c r="E681">
        <v>1.2999999999999999E-3</v>
      </c>
      <c r="F681">
        <v>2.8860566479999998</v>
      </c>
      <c r="M681">
        <v>25</v>
      </c>
      <c r="N681" t="s">
        <v>89</v>
      </c>
      <c r="P681" t="s">
        <v>103</v>
      </c>
      <c r="W681" t="s">
        <v>2526</v>
      </c>
      <c r="X681" t="s">
        <v>2527</v>
      </c>
      <c r="Y681" t="s">
        <v>2528</v>
      </c>
      <c r="Z681">
        <v>369.20311229999999</v>
      </c>
    </row>
    <row r="682" spans="1:29">
      <c r="A682">
        <v>681</v>
      </c>
      <c r="B682" s="2" t="s">
        <v>2525</v>
      </c>
      <c r="C682" t="s">
        <v>54</v>
      </c>
      <c r="D682" s="1" t="b">
        <v>1</v>
      </c>
      <c r="E682">
        <v>1.2999999999999999E-3</v>
      </c>
      <c r="F682">
        <v>2.8860566479999998</v>
      </c>
      <c r="G682" s="2"/>
      <c r="H682" s="2"/>
      <c r="I682" s="2"/>
      <c r="J682" s="2"/>
      <c r="K682" s="2"/>
      <c r="L682" s="2"/>
      <c r="M682">
        <v>25</v>
      </c>
      <c r="N682" t="s">
        <v>135</v>
      </c>
      <c r="W682" t="s">
        <v>2529</v>
      </c>
      <c r="X682" t="s">
        <v>2530</v>
      </c>
      <c r="Y682" t="s">
        <v>2531</v>
      </c>
      <c r="Z682">
        <v>369.20311229999999</v>
      </c>
    </row>
    <row r="683" spans="1:29" hidden="1">
      <c r="A683">
        <v>682</v>
      </c>
      <c r="B683" t="s">
        <v>2532</v>
      </c>
      <c r="C683" t="s">
        <v>83</v>
      </c>
      <c r="D683" s="1" t="b">
        <v>0</v>
      </c>
      <c r="G683">
        <v>34</v>
      </c>
      <c r="O683" t="s">
        <v>29</v>
      </c>
      <c r="Q683" t="s">
        <v>578</v>
      </c>
      <c r="X683" t="s">
        <v>2533</v>
      </c>
      <c r="Y683" t="s">
        <v>2534</v>
      </c>
      <c r="Z683">
        <v>405.30903810000001</v>
      </c>
    </row>
    <row r="684" spans="1:29">
      <c r="A684">
        <v>683</v>
      </c>
      <c r="B684" s="2" t="s">
        <v>2535</v>
      </c>
      <c r="C684" t="s">
        <v>83</v>
      </c>
      <c r="D684" s="1" t="b">
        <v>1</v>
      </c>
      <c r="E684">
        <v>2.3600000000000001E-5</v>
      </c>
      <c r="F684">
        <v>4.6270879970000003</v>
      </c>
      <c r="G684">
        <v>34.200000000000003</v>
      </c>
      <c r="H684">
        <v>3.9700000000000001E-6</v>
      </c>
      <c r="I684">
        <v>0.418271805</v>
      </c>
      <c r="J684">
        <v>37.799999999999997</v>
      </c>
      <c r="K684">
        <v>5.55</v>
      </c>
      <c r="L684">
        <v>2.7800000000000001E-6</v>
      </c>
      <c r="M684">
        <v>20</v>
      </c>
      <c r="N684" t="s">
        <v>135</v>
      </c>
      <c r="O684" t="s">
        <v>137</v>
      </c>
      <c r="Q684" t="s">
        <v>446</v>
      </c>
      <c r="R684" t="s">
        <v>137</v>
      </c>
      <c r="S684" t="s">
        <v>137</v>
      </c>
      <c r="T684" t="s">
        <v>31</v>
      </c>
      <c r="U684" t="s">
        <v>446</v>
      </c>
      <c r="X684" t="s">
        <v>2536</v>
      </c>
      <c r="Y684" t="s">
        <v>2537</v>
      </c>
      <c r="Z684">
        <v>375.29847339999998</v>
      </c>
    </row>
    <row r="685" spans="1:29">
      <c r="A685">
        <v>684</v>
      </c>
      <c r="B685" t="s">
        <v>2538</v>
      </c>
      <c r="C685" t="s">
        <v>161</v>
      </c>
      <c r="D685" s="1" t="b">
        <v>1</v>
      </c>
      <c r="E685" s="3">
        <v>2.3600000000000001E-5</v>
      </c>
      <c r="F685" s="2">
        <f>-LOG10(E685)</f>
        <v>4.6270879970298937</v>
      </c>
      <c r="G685">
        <v>35</v>
      </c>
      <c r="H685">
        <v>3.9700000000000001E-6</v>
      </c>
      <c r="I685">
        <v>0.42</v>
      </c>
      <c r="J685">
        <v>37.799999999999997</v>
      </c>
      <c r="K685" s="2">
        <v>5.55</v>
      </c>
      <c r="L685" s="2">
        <f>10^(-K685)</f>
        <v>2.818382931264453E-6</v>
      </c>
      <c r="M685">
        <v>20</v>
      </c>
      <c r="N685" t="s">
        <v>162</v>
      </c>
      <c r="O685" t="s">
        <v>163</v>
      </c>
      <c r="P685" t="s">
        <v>164</v>
      </c>
      <c r="R685" t="s">
        <v>446</v>
      </c>
      <c r="S685" t="s">
        <v>446</v>
      </c>
      <c r="T685" t="s">
        <v>446</v>
      </c>
      <c r="U685" t="s">
        <v>446</v>
      </c>
      <c r="W685" t="s">
        <v>2539</v>
      </c>
      <c r="X685" t="s">
        <v>2540</v>
      </c>
      <c r="Y685" t="s">
        <v>2541</v>
      </c>
      <c r="Z685">
        <v>405.30903810000001</v>
      </c>
    </row>
    <row r="686" spans="1:29">
      <c r="A686">
        <v>685</v>
      </c>
      <c r="B686" s="2" t="s">
        <v>2542</v>
      </c>
      <c r="C686" t="s">
        <v>161</v>
      </c>
      <c r="D686" s="1" t="b">
        <v>1</v>
      </c>
      <c r="E686" s="2">
        <v>3.6399999999999997E-5</v>
      </c>
      <c r="F686" s="2">
        <f>-LOG10(E686)</f>
        <v>4.4388986163509436</v>
      </c>
      <c r="G686">
        <v>35.700000000000003</v>
      </c>
      <c r="H686">
        <v>3.76E-6</v>
      </c>
      <c r="I686">
        <v>0.44</v>
      </c>
      <c r="J686">
        <v>37.1</v>
      </c>
      <c r="K686">
        <v>5.4</v>
      </c>
      <c r="L686">
        <v>3.98E-6</v>
      </c>
      <c r="M686">
        <v>20</v>
      </c>
      <c r="N686" t="s">
        <v>162</v>
      </c>
      <c r="O686" t="s">
        <v>163</v>
      </c>
      <c r="P686" t="s">
        <v>164</v>
      </c>
      <c r="R686" t="s">
        <v>446</v>
      </c>
      <c r="S686" t="s">
        <v>446</v>
      </c>
      <c r="T686" t="s">
        <v>446</v>
      </c>
      <c r="U686" t="s">
        <v>446</v>
      </c>
      <c r="W686" t="s">
        <v>2543</v>
      </c>
      <c r="X686" t="s">
        <v>2544</v>
      </c>
      <c r="Y686" t="s">
        <v>2545</v>
      </c>
      <c r="Z686">
        <v>551.36694690000002</v>
      </c>
    </row>
    <row r="687" spans="1:29" hidden="1">
      <c r="A687">
        <v>686</v>
      </c>
      <c r="B687" t="s">
        <v>2546</v>
      </c>
      <c r="C687" t="s">
        <v>54</v>
      </c>
      <c r="D687" s="1" t="b">
        <v>0</v>
      </c>
      <c r="E687">
        <v>1.3500000000000001E-3</v>
      </c>
      <c r="F687">
        <v>2.8696662320000002</v>
      </c>
      <c r="G687">
        <v>40.799999999999997</v>
      </c>
      <c r="H687">
        <v>6.4799999999999998E-6</v>
      </c>
      <c r="I687">
        <v>0.26</v>
      </c>
      <c r="J687">
        <v>31</v>
      </c>
      <c r="K687">
        <v>3.0210398120000002</v>
      </c>
      <c r="L687">
        <v>4.8750501000000002E-2</v>
      </c>
      <c r="M687">
        <v>25</v>
      </c>
      <c r="N687" t="s">
        <v>1768</v>
      </c>
      <c r="O687" t="s">
        <v>29</v>
      </c>
      <c r="Q687" t="s">
        <v>1769</v>
      </c>
      <c r="R687" t="s">
        <v>1768</v>
      </c>
      <c r="S687" t="s">
        <v>1768</v>
      </c>
      <c r="T687" t="s">
        <v>1768</v>
      </c>
      <c r="U687" t="s">
        <v>31</v>
      </c>
      <c r="V687" t="s">
        <v>31</v>
      </c>
      <c r="W687" t="s">
        <v>2547</v>
      </c>
      <c r="X687" t="s">
        <v>2548</v>
      </c>
      <c r="Y687" t="s">
        <v>2549</v>
      </c>
      <c r="Z687">
        <v>514.27839749999998</v>
      </c>
    </row>
    <row r="688" spans="1:29" hidden="1">
      <c r="A688">
        <v>687</v>
      </c>
      <c r="B688" s="6" t="s">
        <v>2550</v>
      </c>
      <c r="C688" s="6" t="s">
        <v>161</v>
      </c>
      <c r="D688" s="11" t="b">
        <v>0</v>
      </c>
      <c r="E688" s="6">
        <v>3.6399999999999997E-5</v>
      </c>
      <c r="F688" s="6">
        <v>4.4388986160000004</v>
      </c>
      <c r="G688" s="6">
        <v>34.9</v>
      </c>
      <c r="H688" s="6">
        <v>3.76E-6</v>
      </c>
      <c r="I688" s="6">
        <v>0.44</v>
      </c>
      <c r="J688" s="6">
        <v>37.1</v>
      </c>
      <c r="K688" s="6">
        <v>5.4</v>
      </c>
      <c r="L688" s="6">
        <v>3.9600000000000002E-6</v>
      </c>
      <c r="M688" s="6">
        <v>20</v>
      </c>
      <c r="N688" s="6" t="s">
        <v>162</v>
      </c>
      <c r="O688" s="6"/>
      <c r="P688" s="6" t="s">
        <v>446</v>
      </c>
      <c r="Q688" s="6"/>
      <c r="R688" s="6" t="s">
        <v>446</v>
      </c>
      <c r="S688" s="6" t="s">
        <v>446</v>
      </c>
      <c r="T688" s="6" t="s">
        <v>446</v>
      </c>
      <c r="U688" s="6" t="s">
        <v>446</v>
      </c>
      <c r="V688" s="6"/>
      <c r="X688" s="6" t="s">
        <v>2551</v>
      </c>
      <c r="Y688" s="6" t="s">
        <v>2552</v>
      </c>
      <c r="Z688">
        <v>539.33056139999997</v>
      </c>
      <c r="AA688" s="6"/>
      <c r="AB688" s="6"/>
      <c r="AC688" s="6"/>
    </row>
    <row r="689" spans="1:26">
      <c r="A689">
        <v>688</v>
      </c>
      <c r="B689" s="2" t="s">
        <v>2553</v>
      </c>
      <c r="C689" t="s">
        <v>28</v>
      </c>
      <c r="D689" s="1" t="b">
        <v>1</v>
      </c>
      <c r="E689">
        <v>6.9999999999999999E-4</v>
      </c>
      <c r="F689">
        <v>3.1549019600000001</v>
      </c>
      <c r="G689">
        <v>33</v>
      </c>
      <c r="H689">
        <v>9.7000000000000003E-7</v>
      </c>
      <c r="I689">
        <v>1.1399999999999999</v>
      </c>
      <c r="J689">
        <v>39</v>
      </c>
      <c r="K689">
        <v>4.2985639180000002</v>
      </c>
      <c r="L689">
        <v>1.3588059E-2</v>
      </c>
      <c r="M689">
        <v>25</v>
      </c>
      <c r="N689" t="s">
        <v>627</v>
      </c>
      <c r="O689" t="s">
        <v>29</v>
      </c>
      <c r="Q689" t="s">
        <v>627</v>
      </c>
      <c r="R689" t="s">
        <v>627</v>
      </c>
      <c r="S689" t="s">
        <v>627</v>
      </c>
      <c r="T689" t="s">
        <v>627</v>
      </c>
      <c r="U689" t="s">
        <v>31</v>
      </c>
      <c r="V689" t="s">
        <v>31</v>
      </c>
      <c r="W689" t="s">
        <v>2554</v>
      </c>
      <c r="X689" t="s">
        <v>2555</v>
      </c>
      <c r="Y689" t="s">
        <v>2556</v>
      </c>
      <c r="Z689">
        <v>437.26881630000003</v>
      </c>
    </row>
    <row r="690" spans="1:26" hidden="1">
      <c r="A690">
        <v>689</v>
      </c>
      <c r="B690" t="s">
        <v>2557</v>
      </c>
      <c r="C690" t="s">
        <v>54</v>
      </c>
      <c r="D690" s="1" t="b">
        <v>0</v>
      </c>
      <c r="E690">
        <v>2.0599999999999999E-4</v>
      </c>
      <c r="F690">
        <v>3.6861327799999999</v>
      </c>
      <c r="G690">
        <v>37.799999999999997</v>
      </c>
      <c r="H690">
        <v>1.4500000000000001E-6</v>
      </c>
      <c r="I690">
        <v>1.1399999999999999</v>
      </c>
      <c r="J690">
        <v>34.200000000000003</v>
      </c>
      <c r="K690">
        <v>4.5999999999999996</v>
      </c>
      <c r="L690">
        <v>2.51E-5</v>
      </c>
      <c r="M690">
        <v>25</v>
      </c>
      <c r="N690" t="s">
        <v>1983</v>
      </c>
      <c r="O690" t="s">
        <v>29</v>
      </c>
      <c r="Q690" t="s">
        <v>1983</v>
      </c>
      <c r="R690" t="s">
        <v>1983</v>
      </c>
      <c r="S690" t="s">
        <v>1983</v>
      </c>
      <c r="T690" t="s">
        <v>1983</v>
      </c>
      <c r="V690" t="s">
        <v>1983</v>
      </c>
      <c r="W690" t="s">
        <v>2558</v>
      </c>
      <c r="X690" t="s">
        <v>2559</v>
      </c>
      <c r="Y690" t="s">
        <v>2560</v>
      </c>
      <c r="Z690">
        <v>511.3540701</v>
      </c>
    </row>
    <row r="691" spans="1:26" hidden="1">
      <c r="A691">
        <v>690</v>
      </c>
      <c r="B691" t="s">
        <v>2561</v>
      </c>
      <c r="C691" t="s">
        <v>134</v>
      </c>
      <c r="D691" s="13" t="b">
        <v>0</v>
      </c>
      <c r="E691">
        <v>8.9950000000000002E-4</v>
      </c>
      <c r="F691">
        <v>3.045998832</v>
      </c>
      <c r="M691">
        <v>25</v>
      </c>
      <c r="N691" t="s">
        <v>179</v>
      </c>
      <c r="X691" t="s">
        <v>2562</v>
      </c>
      <c r="Y691" t="s">
        <v>2563</v>
      </c>
      <c r="Z691">
        <v>372.19463940000003</v>
      </c>
    </row>
    <row r="692" spans="1:26" hidden="1">
      <c r="A692">
        <v>691</v>
      </c>
      <c r="B692" t="s">
        <v>2564</v>
      </c>
      <c r="C692" t="s">
        <v>134</v>
      </c>
      <c r="D692" s="13" t="b">
        <v>0</v>
      </c>
      <c r="E692">
        <v>1.0330000000000001E-2</v>
      </c>
      <c r="F692">
        <v>1.985899678</v>
      </c>
      <c r="M692">
        <v>25</v>
      </c>
      <c r="N692" t="s">
        <v>179</v>
      </c>
      <c r="W692" t="s">
        <v>2565</v>
      </c>
      <c r="X692" t="s">
        <v>2566</v>
      </c>
      <c r="Y692" t="s">
        <v>2567</v>
      </c>
      <c r="Z692">
        <v>358.17898939999998</v>
      </c>
    </row>
    <row r="693" spans="1:26" hidden="1">
      <c r="A693">
        <v>692</v>
      </c>
      <c r="B693" t="s">
        <v>2568</v>
      </c>
      <c r="C693" t="s">
        <v>54</v>
      </c>
      <c r="D693" s="1" t="b">
        <v>0</v>
      </c>
      <c r="G693">
        <v>33</v>
      </c>
      <c r="O693" t="s">
        <v>29</v>
      </c>
      <c r="Q693" t="s">
        <v>1988</v>
      </c>
      <c r="X693" t="s">
        <v>2569</v>
      </c>
      <c r="Y693" t="s">
        <v>2570</v>
      </c>
      <c r="Z693">
        <v>496.34317110000001</v>
      </c>
    </row>
    <row r="694" spans="1:26" hidden="1">
      <c r="A694">
        <v>693</v>
      </c>
      <c r="B694" t="s">
        <v>2571</v>
      </c>
      <c r="C694" t="s">
        <v>54</v>
      </c>
      <c r="D694" s="1" t="b">
        <v>0</v>
      </c>
      <c r="E694">
        <v>1.07E-3</v>
      </c>
      <c r="F694">
        <v>2.9706162219999999</v>
      </c>
      <c r="G694">
        <v>32.1</v>
      </c>
      <c r="H694">
        <v>1.55E-6</v>
      </c>
      <c r="I694">
        <v>1.07</v>
      </c>
      <c r="J694">
        <v>39.68</v>
      </c>
      <c r="K694">
        <v>4.08</v>
      </c>
      <c r="L694">
        <v>8.3100000000000001E-5</v>
      </c>
      <c r="M694">
        <v>25</v>
      </c>
      <c r="N694" t="s">
        <v>2001</v>
      </c>
      <c r="O694" t="s">
        <v>29</v>
      </c>
      <c r="Q694" t="s">
        <v>2001</v>
      </c>
      <c r="R694" t="s">
        <v>2001</v>
      </c>
      <c r="S694" t="s">
        <v>2001</v>
      </c>
      <c r="T694" t="s">
        <v>2001</v>
      </c>
      <c r="U694" t="s">
        <v>2001</v>
      </c>
      <c r="V694" t="s">
        <v>2001</v>
      </c>
      <c r="W694" t="s">
        <v>2572</v>
      </c>
      <c r="X694" t="s">
        <v>2573</v>
      </c>
      <c r="Y694" t="s">
        <v>2574</v>
      </c>
      <c r="Z694">
        <v>419.23989169999999</v>
      </c>
    </row>
    <row r="695" spans="1:26" hidden="1">
      <c r="A695">
        <v>694</v>
      </c>
      <c r="B695" t="s">
        <v>2575</v>
      </c>
      <c r="C695" t="s">
        <v>54</v>
      </c>
      <c r="D695" s="1" t="b">
        <v>0</v>
      </c>
      <c r="E695">
        <v>1.4400000000000001E-3</v>
      </c>
      <c r="F695">
        <v>2.8416375079999998</v>
      </c>
      <c r="G695">
        <v>35.5</v>
      </c>
      <c r="H695">
        <v>1.9999999999999999E-6</v>
      </c>
      <c r="I695">
        <v>0.83</v>
      </c>
      <c r="J695">
        <v>36.28</v>
      </c>
      <c r="K695">
        <v>3.55</v>
      </c>
      <c r="L695">
        <v>2.81E-4</v>
      </c>
      <c r="M695">
        <v>25</v>
      </c>
      <c r="N695" t="s">
        <v>2001</v>
      </c>
      <c r="O695" t="s">
        <v>29</v>
      </c>
      <c r="Q695" t="s">
        <v>2001</v>
      </c>
      <c r="R695" t="s">
        <v>2001</v>
      </c>
      <c r="S695" t="s">
        <v>2001</v>
      </c>
      <c r="T695" t="s">
        <v>2001</v>
      </c>
      <c r="U695" t="s">
        <v>2001</v>
      </c>
      <c r="V695" t="s">
        <v>2001</v>
      </c>
      <c r="W695" t="s">
        <v>2576</v>
      </c>
      <c r="X695" t="s">
        <v>2577</v>
      </c>
      <c r="Y695" t="s">
        <v>2578</v>
      </c>
      <c r="Z695">
        <v>375.29040730000003</v>
      </c>
    </row>
    <row r="696" spans="1:26" hidden="1">
      <c r="A696">
        <v>695</v>
      </c>
      <c r="B696" t="s">
        <v>2579</v>
      </c>
      <c r="C696" t="s">
        <v>54</v>
      </c>
      <c r="D696" s="1" t="b">
        <v>0</v>
      </c>
      <c r="E696">
        <v>0.106</v>
      </c>
      <c r="F696">
        <v>0.97469413500000002</v>
      </c>
      <c r="G696">
        <v>42.1</v>
      </c>
      <c r="J696">
        <v>29.9</v>
      </c>
      <c r="M696">
        <v>25</v>
      </c>
      <c r="N696" t="s">
        <v>1777</v>
      </c>
      <c r="O696" t="s">
        <v>29</v>
      </c>
      <c r="Q696" t="s">
        <v>1777</v>
      </c>
      <c r="W696" t="s">
        <v>2580</v>
      </c>
      <c r="X696" t="s">
        <v>2581</v>
      </c>
      <c r="Y696" t="s">
        <v>2582</v>
      </c>
      <c r="Z696">
        <v>602.21777629999997</v>
      </c>
    </row>
    <row r="697" spans="1:26" hidden="1">
      <c r="A697">
        <v>696</v>
      </c>
      <c r="B697" t="s">
        <v>2583</v>
      </c>
      <c r="C697" t="s">
        <v>54</v>
      </c>
      <c r="D697" s="1" t="b">
        <v>0</v>
      </c>
      <c r="E697">
        <v>0.11700000000000001</v>
      </c>
      <c r="F697">
        <v>0.93181413800000001</v>
      </c>
      <c r="G697">
        <v>42.3</v>
      </c>
      <c r="J697">
        <v>29.7</v>
      </c>
      <c r="M697">
        <v>25</v>
      </c>
      <c r="N697" t="s">
        <v>1777</v>
      </c>
      <c r="O697" t="s">
        <v>29</v>
      </c>
      <c r="Q697" t="s">
        <v>1777</v>
      </c>
      <c r="W697" t="s">
        <v>2584</v>
      </c>
      <c r="X697" t="s">
        <v>2585</v>
      </c>
      <c r="Y697" t="s">
        <v>2586</v>
      </c>
      <c r="Z697">
        <v>572.20721170000002</v>
      </c>
    </row>
    <row r="698" spans="1:26" hidden="1">
      <c r="A698">
        <v>697</v>
      </c>
      <c r="B698" t="s">
        <v>2587</v>
      </c>
      <c r="C698" t="s">
        <v>28</v>
      </c>
      <c r="D698" s="1" t="b">
        <v>0</v>
      </c>
      <c r="E698">
        <v>1.211E-4</v>
      </c>
      <c r="F698">
        <v>3.9168558569999998</v>
      </c>
      <c r="M698">
        <v>25</v>
      </c>
      <c r="N698" t="s">
        <v>484</v>
      </c>
      <c r="X698" t="s">
        <v>2588</v>
      </c>
      <c r="Y698" t="s">
        <v>2589</v>
      </c>
      <c r="Z698">
        <v>866.41718309999999</v>
      </c>
    </row>
    <row r="699" spans="1:26" hidden="1">
      <c r="A699">
        <v>698</v>
      </c>
      <c r="B699" t="s">
        <v>2590</v>
      </c>
      <c r="C699" t="s">
        <v>28</v>
      </c>
      <c r="D699" s="1" t="b">
        <v>0</v>
      </c>
      <c r="E699">
        <v>1.439E-4</v>
      </c>
      <c r="F699">
        <v>3.8419392060000002</v>
      </c>
      <c r="M699">
        <v>25</v>
      </c>
      <c r="N699" t="s">
        <v>484</v>
      </c>
      <c r="P699" t="s">
        <v>648</v>
      </c>
      <c r="X699" t="s">
        <v>2591</v>
      </c>
      <c r="Y699" t="s">
        <v>2592</v>
      </c>
      <c r="Z699">
        <v>778.51821429999995</v>
      </c>
    </row>
    <row r="700" spans="1:26" hidden="1">
      <c r="A700">
        <v>699</v>
      </c>
      <c r="B700" t="s">
        <v>2593</v>
      </c>
      <c r="C700" t="s">
        <v>54</v>
      </c>
      <c r="D700" s="1" t="b">
        <v>0</v>
      </c>
      <c r="G700">
        <v>39</v>
      </c>
      <c r="O700" t="s">
        <v>29</v>
      </c>
      <c r="Q700" t="s">
        <v>1795</v>
      </c>
      <c r="X700" t="s">
        <v>2594</v>
      </c>
      <c r="Y700" t="s">
        <v>2595</v>
      </c>
      <c r="Z700">
        <v>520.2300553</v>
      </c>
    </row>
    <row r="701" spans="1:26" hidden="1">
      <c r="A701">
        <v>700</v>
      </c>
      <c r="B701" t="s">
        <v>2596</v>
      </c>
      <c r="C701" t="s">
        <v>28</v>
      </c>
      <c r="D701" s="1" t="b">
        <v>0</v>
      </c>
      <c r="E701">
        <v>6.0000000000000002E-6</v>
      </c>
      <c r="F701">
        <v>5.2218487500000004</v>
      </c>
      <c r="G701">
        <v>33</v>
      </c>
      <c r="H701">
        <v>2.7700000000000002E-6</v>
      </c>
      <c r="I701">
        <v>0.6</v>
      </c>
      <c r="J701">
        <v>39</v>
      </c>
      <c r="K701">
        <v>5.69</v>
      </c>
      <c r="L701">
        <v>2.04E-6</v>
      </c>
      <c r="M701">
        <v>25</v>
      </c>
      <c r="N701" t="s">
        <v>2597</v>
      </c>
      <c r="O701" t="s">
        <v>29</v>
      </c>
      <c r="Q701" t="s">
        <v>2597</v>
      </c>
      <c r="R701" t="s">
        <v>2597</v>
      </c>
      <c r="S701" t="s">
        <v>2597</v>
      </c>
      <c r="T701" t="s">
        <v>2597</v>
      </c>
      <c r="U701" t="s">
        <v>2597</v>
      </c>
      <c r="V701" t="s">
        <v>2597</v>
      </c>
      <c r="W701" t="s">
        <v>2598</v>
      </c>
      <c r="X701" t="s">
        <v>2599</v>
      </c>
      <c r="Y701" t="s">
        <v>2600</v>
      </c>
      <c r="Z701">
        <v>922.52482620000001</v>
      </c>
    </row>
    <row r="702" spans="1:26" hidden="1">
      <c r="A702">
        <v>701</v>
      </c>
      <c r="B702" t="s">
        <v>2601</v>
      </c>
      <c r="C702" t="s">
        <v>28</v>
      </c>
      <c r="D702" s="1" t="b">
        <v>0</v>
      </c>
      <c r="E702">
        <v>3.05E-6</v>
      </c>
      <c r="F702">
        <v>5.5157001609999998</v>
      </c>
      <c r="G702">
        <v>23.5</v>
      </c>
      <c r="H702">
        <v>2.3700000000000002E-6</v>
      </c>
      <c r="I702">
        <v>0.7</v>
      </c>
      <c r="J702">
        <v>48.5</v>
      </c>
      <c r="K702">
        <v>6.19</v>
      </c>
      <c r="L702">
        <v>6.4600000000000004E-7</v>
      </c>
      <c r="M702">
        <v>25</v>
      </c>
      <c r="N702" t="s">
        <v>2597</v>
      </c>
      <c r="O702" t="s">
        <v>29</v>
      </c>
      <c r="Q702" t="s">
        <v>2597</v>
      </c>
      <c r="R702" t="s">
        <v>2597</v>
      </c>
      <c r="S702" t="s">
        <v>2597</v>
      </c>
      <c r="T702" t="s">
        <v>2597</v>
      </c>
      <c r="U702" t="s">
        <v>2597</v>
      </c>
      <c r="V702" t="s">
        <v>2597</v>
      </c>
      <c r="W702" t="s">
        <v>2602</v>
      </c>
      <c r="X702" t="s">
        <v>2603</v>
      </c>
      <c r="Y702" t="s">
        <v>2604</v>
      </c>
      <c r="Z702">
        <v>894.49352610000005</v>
      </c>
    </row>
    <row r="703" spans="1:26" hidden="1">
      <c r="A703">
        <v>702</v>
      </c>
      <c r="B703" t="s">
        <v>2605</v>
      </c>
      <c r="C703" t="s">
        <v>28</v>
      </c>
      <c r="D703" s="1" t="b">
        <v>0</v>
      </c>
      <c r="E703">
        <v>3.1599999999999998E-6</v>
      </c>
      <c r="F703">
        <v>5.5003129169999996</v>
      </c>
      <c r="G703">
        <v>35</v>
      </c>
      <c r="H703">
        <v>2.3700000000000002E-6</v>
      </c>
      <c r="I703">
        <v>0.7</v>
      </c>
      <c r="J703">
        <v>37</v>
      </c>
      <c r="K703">
        <v>5.8</v>
      </c>
      <c r="L703">
        <v>1.5799999999999999E-6</v>
      </c>
      <c r="M703">
        <v>25</v>
      </c>
      <c r="N703" t="s">
        <v>2597</v>
      </c>
      <c r="O703" t="s">
        <v>29</v>
      </c>
      <c r="Q703" t="s">
        <v>2597</v>
      </c>
      <c r="R703" t="s">
        <v>2597</v>
      </c>
      <c r="S703" t="s">
        <v>2597</v>
      </c>
      <c r="T703" t="s">
        <v>2597</v>
      </c>
      <c r="U703" t="s">
        <v>2597</v>
      </c>
      <c r="V703" t="s">
        <v>2597</v>
      </c>
      <c r="W703" t="s">
        <v>2606</v>
      </c>
      <c r="X703" t="s">
        <v>2607</v>
      </c>
      <c r="Y703" t="s">
        <v>2608</v>
      </c>
      <c r="Z703">
        <v>982.54595559999996</v>
      </c>
    </row>
    <row r="704" spans="1:26" hidden="1">
      <c r="A704">
        <v>703</v>
      </c>
      <c r="B704" t="s">
        <v>2609</v>
      </c>
      <c r="C704" t="s">
        <v>28</v>
      </c>
      <c r="D704" s="1" t="b">
        <v>0</v>
      </c>
      <c r="E704">
        <v>2.8600000000000001E-6</v>
      </c>
      <c r="F704">
        <v>5.5436339669999999</v>
      </c>
      <c r="G704">
        <v>32.700000000000003</v>
      </c>
      <c r="H704">
        <v>3.32E-6</v>
      </c>
      <c r="I704">
        <v>0.5</v>
      </c>
      <c r="J704">
        <v>39.299999999999997</v>
      </c>
      <c r="K704">
        <v>5.97</v>
      </c>
      <c r="L704">
        <v>1.0699999999999999E-6</v>
      </c>
      <c r="M704">
        <v>25</v>
      </c>
      <c r="N704" t="s">
        <v>2597</v>
      </c>
      <c r="O704" t="s">
        <v>29</v>
      </c>
      <c r="Q704" t="s">
        <v>2597</v>
      </c>
      <c r="R704" t="s">
        <v>2597</v>
      </c>
      <c r="S704" t="s">
        <v>2597</v>
      </c>
      <c r="T704" t="s">
        <v>2597</v>
      </c>
      <c r="U704" t="s">
        <v>2597</v>
      </c>
      <c r="V704" t="s">
        <v>2597</v>
      </c>
      <c r="W704" t="s">
        <v>2610</v>
      </c>
      <c r="X704" t="s">
        <v>2611</v>
      </c>
      <c r="Y704" t="s">
        <v>2612</v>
      </c>
      <c r="Z704">
        <v>954.51465540000004</v>
      </c>
    </row>
    <row r="705" spans="1:26" hidden="1">
      <c r="A705">
        <v>704</v>
      </c>
      <c r="B705" t="s">
        <v>2613</v>
      </c>
      <c r="C705" t="s">
        <v>28</v>
      </c>
      <c r="D705" s="1" t="b">
        <v>0</v>
      </c>
      <c r="E705">
        <v>7.0999999999999998E-7</v>
      </c>
      <c r="F705">
        <v>6.1487416509999999</v>
      </c>
      <c r="G705">
        <v>39.1</v>
      </c>
      <c r="H705">
        <v>5.5400000000000003E-6</v>
      </c>
      <c r="I705">
        <v>0.3</v>
      </c>
      <c r="J705">
        <v>32.9</v>
      </c>
      <c r="K705">
        <v>6.27</v>
      </c>
      <c r="L705">
        <v>5.37E-7</v>
      </c>
      <c r="M705">
        <v>25</v>
      </c>
      <c r="N705" t="s">
        <v>2597</v>
      </c>
      <c r="O705" t="s">
        <v>29</v>
      </c>
      <c r="Q705" t="s">
        <v>2597</v>
      </c>
      <c r="R705" t="s">
        <v>2597</v>
      </c>
      <c r="S705" t="s">
        <v>2597</v>
      </c>
      <c r="T705" t="s">
        <v>2597</v>
      </c>
      <c r="U705" t="s">
        <v>2597</v>
      </c>
      <c r="V705" t="s">
        <v>2597</v>
      </c>
      <c r="W705" t="s">
        <v>2614</v>
      </c>
      <c r="X705" t="s">
        <v>2615</v>
      </c>
      <c r="Y705" t="s">
        <v>2616</v>
      </c>
      <c r="Z705">
        <v>866.46222590000002</v>
      </c>
    </row>
    <row r="706" spans="1:26" hidden="1">
      <c r="A706">
        <v>705</v>
      </c>
      <c r="B706" t="s">
        <v>2617</v>
      </c>
      <c r="C706" t="s">
        <v>28</v>
      </c>
      <c r="D706" s="1" t="b">
        <v>0</v>
      </c>
      <c r="E706">
        <v>1.0000000000000001E-5</v>
      </c>
      <c r="F706">
        <v>5</v>
      </c>
      <c r="G706">
        <v>37.4</v>
      </c>
      <c r="H706">
        <v>2.1600000000000001E-6</v>
      </c>
      <c r="I706">
        <v>0.77</v>
      </c>
      <c r="J706">
        <v>34.6</v>
      </c>
      <c r="K706">
        <v>5.59</v>
      </c>
      <c r="L706">
        <v>2.5000000000000002E-6</v>
      </c>
      <c r="M706">
        <v>25</v>
      </c>
      <c r="N706" t="s">
        <v>2037</v>
      </c>
      <c r="O706" t="s">
        <v>29</v>
      </c>
      <c r="Q706" t="s">
        <v>2037</v>
      </c>
      <c r="R706" t="s">
        <v>2037</v>
      </c>
      <c r="T706" t="s">
        <v>2037</v>
      </c>
      <c r="U706" t="s">
        <v>2037</v>
      </c>
      <c r="W706" t="s">
        <v>2618</v>
      </c>
      <c r="X706" t="s">
        <v>2619</v>
      </c>
      <c r="Y706" t="s">
        <v>2620</v>
      </c>
      <c r="Z706">
        <v>844.52673359999994</v>
      </c>
    </row>
    <row r="707" spans="1:26" hidden="1">
      <c r="A707">
        <v>706</v>
      </c>
      <c r="B707" t="s">
        <v>2621</v>
      </c>
      <c r="C707" t="s">
        <v>54</v>
      </c>
      <c r="D707" s="1" t="b">
        <v>0</v>
      </c>
      <c r="E707">
        <v>3.5E-4</v>
      </c>
      <c r="F707">
        <v>3.4559319560000001</v>
      </c>
      <c r="G707">
        <v>29.3</v>
      </c>
      <c r="H707">
        <v>1.8899999999999999E-6</v>
      </c>
      <c r="I707">
        <v>0.88</v>
      </c>
      <c r="J707">
        <v>42.48</v>
      </c>
      <c r="K707">
        <v>3.9</v>
      </c>
      <c r="L707">
        <v>1.25E-4</v>
      </c>
      <c r="M707">
        <v>25</v>
      </c>
      <c r="N707" t="s">
        <v>2042</v>
      </c>
      <c r="O707" t="s">
        <v>29</v>
      </c>
      <c r="Q707" t="s">
        <v>2042</v>
      </c>
      <c r="R707" t="s">
        <v>2042</v>
      </c>
      <c r="S707" t="s">
        <v>2042</v>
      </c>
      <c r="T707" t="s">
        <v>2042</v>
      </c>
      <c r="U707" t="s">
        <v>2042</v>
      </c>
      <c r="V707" t="s">
        <v>2042</v>
      </c>
      <c r="W707" t="s">
        <v>2622</v>
      </c>
      <c r="X707" t="s">
        <v>2623</v>
      </c>
      <c r="Y707" t="s">
        <v>2624</v>
      </c>
      <c r="Z707">
        <v>432.23514069999999</v>
      </c>
    </row>
    <row r="708" spans="1:26" hidden="1">
      <c r="A708">
        <v>707</v>
      </c>
      <c r="B708" t="s">
        <v>2625</v>
      </c>
      <c r="C708" t="s">
        <v>54</v>
      </c>
      <c r="D708" s="1" t="b">
        <v>0</v>
      </c>
      <c r="E708">
        <v>3.46E-3</v>
      </c>
      <c r="F708">
        <v>2.4609239010000001</v>
      </c>
      <c r="G708">
        <v>31.1</v>
      </c>
      <c r="H708">
        <v>1.7999999999999999E-6</v>
      </c>
      <c r="I708">
        <v>0.92</v>
      </c>
      <c r="J708">
        <v>40.68</v>
      </c>
      <c r="K708">
        <v>3.92</v>
      </c>
      <c r="L708">
        <v>1.2E-4</v>
      </c>
      <c r="M708">
        <v>25</v>
      </c>
      <c r="N708" t="s">
        <v>2042</v>
      </c>
      <c r="O708" t="s">
        <v>29</v>
      </c>
      <c r="Q708" t="s">
        <v>2042</v>
      </c>
      <c r="R708" t="s">
        <v>2042</v>
      </c>
      <c r="S708" t="s">
        <v>2042</v>
      </c>
      <c r="T708" t="s">
        <v>2042</v>
      </c>
      <c r="U708" t="s">
        <v>2042</v>
      </c>
      <c r="V708" t="s">
        <v>2042</v>
      </c>
      <c r="W708" t="s">
        <v>2626</v>
      </c>
      <c r="X708" t="s">
        <v>2627</v>
      </c>
      <c r="Y708" t="s">
        <v>2628</v>
      </c>
      <c r="Z708">
        <v>388.28565620000001</v>
      </c>
    </row>
    <row r="709" spans="1:26" hidden="1">
      <c r="A709">
        <v>708</v>
      </c>
      <c r="B709" t="s">
        <v>2629</v>
      </c>
      <c r="C709" t="s">
        <v>54</v>
      </c>
      <c r="D709" s="1" t="b">
        <v>0</v>
      </c>
      <c r="E709">
        <v>1.4899999999999999E-4</v>
      </c>
      <c r="F709">
        <v>3.8268137320000002</v>
      </c>
      <c r="G709">
        <v>35.9</v>
      </c>
      <c r="H709">
        <v>1.66E-6</v>
      </c>
      <c r="I709">
        <v>1.1399999999999999</v>
      </c>
      <c r="J709">
        <v>36.32</v>
      </c>
      <c r="K709">
        <v>1.31</v>
      </c>
      <c r="L709">
        <v>4.9000000000000002E-2</v>
      </c>
      <c r="M709">
        <v>25</v>
      </c>
      <c r="N709" t="s">
        <v>2051</v>
      </c>
      <c r="O709" t="s">
        <v>29</v>
      </c>
      <c r="Q709" t="s">
        <v>2051</v>
      </c>
      <c r="R709" t="s">
        <v>2051</v>
      </c>
      <c r="S709" t="s">
        <v>2051</v>
      </c>
      <c r="T709" t="s">
        <v>2051</v>
      </c>
      <c r="V709" t="s">
        <v>2051</v>
      </c>
      <c r="W709" t="s">
        <v>2630</v>
      </c>
      <c r="X709" t="s">
        <v>2631</v>
      </c>
      <c r="Y709" t="s">
        <v>2632</v>
      </c>
      <c r="Z709">
        <v>460.2664408</v>
      </c>
    </row>
    <row r="710" spans="1:26" hidden="1">
      <c r="A710">
        <v>709</v>
      </c>
      <c r="B710" t="s">
        <v>2633</v>
      </c>
      <c r="C710" t="s">
        <v>54</v>
      </c>
      <c r="D710" s="1" t="b">
        <v>0</v>
      </c>
      <c r="E710">
        <v>1.6899999999999999E-4</v>
      </c>
      <c r="F710">
        <v>3.772113295</v>
      </c>
      <c r="G710">
        <v>31.5</v>
      </c>
      <c r="H710">
        <v>1.55E-6</v>
      </c>
      <c r="I710">
        <v>1.1299999999999999</v>
      </c>
      <c r="J710">
        <v>40.69</v>
      </c>
      <c r="K710">
        <v>1.33</v>
      </c>
      <c r="L710">
        <v>4.7E-2</v>
      </c>
      <c r="M710">
        <v>25</v>
      </c>
      <c r="N710" t="s">
        <v>2051</v>
      </c>
      <c r="O710" t="s">
        <v>29</v>
      </c>
      <c r="Q710" t="s">
        <v>2051</v>
      </c>
      <c r="R710" t="s">
        <v>2051</v>
      </c>
      <c r="S710" t="s">
        <v>2051</v>
      </c>
      <c r="T710" t="s">
        <v>2051</v>
      </c>
      <c r="V710" t="s">
        <v>2051</v>
      </c>
      <c r="W710" t="s">
        <v>2634</v>
      </c>
      <c r="X710" t="s">
        <v>2635</v>
      </c>
      <c r="Y710" t="s">
        <v>2636</v>
      </c>
      <c r="Z710">
        <v>416.31695639999998</v>
      </c>
    </row>
    <row r="711" spans="1:26" hidden="1">
      <c r="A711">
        <v>710</v>
      </c>
      <c r="B711" t="s">
        <v>2637</v>
      </c>
      <c r="C711" t="s">
        <v>28</v>
      </c>
      <c r="D711" s="1" t="b">
        <v>0</v>
      </c>
      <c r="E711">
        <v>7.0959999999999998E-5</v>
      </c>
      <c r="F711">
        <v>4.1489863930000004</v>
      </c>
      <c r="G711">
        <v>44.5</v>
      </c>
      <c r="H711">
        <v>2.9900000000000002E-6</v>
      </c>
      <c r="I711">
        <v>0.06</v>
      </c>
      <c r="J711">
        <v>27.81</v>
      </c>
      <c r="K711">
        <v>0.93</v>
      </c>
      <c r="L711">
        <v>0.11700000000000001</v>
      </c>
      <c r="M711">
        <v>25</v>
      </c>
      <c r="N711" t="s">
        <v>2060</v>
      </c>
      <c r="O711" t="s">
        <v>29</v>
      </c>
      <c r="Q711" t="s">
        <v>2060</v>
      </c>
      <c r="R711" t="s">
        <v>2060</v>
      </c>
      <c r="S711" t="s">
        <v>2060</v>
      </c>
      <c r="T711" t="s">
        <v>2060</v>
      </c>
      <c r="V711" t="s">
        <v>2060</v>
      </c>
      <c r="W711" t="s">
        <v>2638</v>
      </c>
      <c r="X711" t="s">
        <v>2639</v>
      </c>
      <c r="Y711" t="s">
        <v>2640</v>
      </c>
      <c r="Z711">
        <v>876.47028130000001</v>
      </c>
    </row>
    <row r="712" spans="1:26" hidden="1">
      <c r="A712">
        <v>711</v>
      </c>
      <c r="B712" t="s">
        <v>2641</v>
      </c>
      <c r="C712" t="s">
        <v>28</v>
      </c>
      <c r="D712" s="1" t="b">
        <v>0</v>
      </c>
      <c r="E712">
        <v>2.34E-4</v>
      </c>
      <c r="F712">
        <v>3.6307841430000001</v>
      </c>
      <c r="G712">
        <v>43.5</v>
      </c>
      <c r="H712">
        <v>3.2200000000000001E-6</v>
      </c>
      <c r="I712">
        <v>0.05</v>
      </c>
      <c r="J712">
        <v>28.89</v>
      </c>
      <c r="K712">
        <v>1.46</v>
      </c>
      <c r="L712">
        <v>3.5000000000000003E-2</v>
      </c>
      <c r="M712">
        <v>25</v>
      </c>
      <c r="N712" t="s">
        <v>2060</v>
      </c>
      <c r="O712" t="s">
        <v>29</v>
      </c>
      <c r="Q712" t="s">
        <v>2060</v>
      </c>
      <c r="R712" t="s">
        <v>2060</v>
      </c>
      <c r="S712" t="s">
        <v>2060</v>
      </c>
      <c r="T712" t="s">
        <v>2060</v>
      </c>
      <c r="V712" t="s">
        <v>2060</v>
      </c>
      <c r="W712" t="s">
        <v>2642</v>
      </c>
      <c r="X712" t="s">
        <v>2643</v>
      </c>
      <c r="Y712" t="s">
        <v>2644</v>
      </c>
      <c r="Z712">
        <v>862.45463119999999</v>
      </c>
    </row>
    <row r="713" spans="1:26" hidden="1">
      <c r="A713">
        <v>712</v>
      </c>
      <c r="B713" t="s">
        <v>2645</v>
      </c>
      <c r="C713" t="s">
        <v>83</v>
      </c>
      <c r="D713" s="1" t="b">
        <v>0</v>
      </c>
      <c r="E713">
        <v>1.0000000000000001E-5</v>
      </c>
      <c r="F713">
        <v>5</v>
      </c>
      <c r="G713">
        <v>32.200000000000003</v>
      </c>
      <c r="J713">
        <v>39.799999999999997</v>
      </c>
      <c r="M713">
        <v>25</v>
      </c>
      <c r="N713" t="s">
        <v>89</v>
      </c>
      <c r="O713" t="s">
        <v>29</v>
      </c>
      <c r="P713" t="s">
        <v>103</v>
      </c>
      <c r="Q713" t="s">
        <v>2646</v>
      </c>
      <c r="W713" t="s">
        <v>2647</v>
      </c>
      <c r="X713" t="s">
        <v>2648</v>
      </c>
      <c r="Y713" t="s">
        <v>2649</v>
      </c>
      <c r="Z713">
        <v>478.38695410000003</v>
      </c>
    </row>
    <row r="714" spans="1:26" hidden="1">
      <c r="A714">
        <v>713</v>
      </c>
      <c r="B714" t="s">
        <v>1477</v>
      </c>
      <c r="C714" t="s">
        <v>83</v>
      </c>
      <c r="D714" s="1" t="b">
        <v>0</v>
      </c>
      <c r="E714">
        <v>9.0000000000000002E-6</v>
      </c>
      <c r="F714">
        <v>5.0457574909999998</v>
      </c>
      <c r="G714">
        <v>33.799999999999997</v>
      </c>
      <c r="H714">
        <v>3.3299999999999999E-6</v>
      </c>
      <c r="I714">
        <v>0.5</v>
      </c>
      <c r="J714">
        <v>38.200000000000003</v>
      </c>
      <c r="K714">
        <v>6.00309311</v>
      </c>
      <c r="L714">
        <v>2.4710969999999998E-3</v>
      </c>
      <c r="M714">
        <v>25</v>
      </c>
      <c r="N714" t="s">
        <v>89</v>
      </c>
      <c r="O714" t="s">
        <v>29</v>
      </c>
      <c r="P714" t="s">
        <v>103</v>
      </c>
      <c r="Q714" t="s">
        <v>578</v>
      </c>
      <c r="R714" t="s">
        <v>2500</v>
      </c>
      <c r="T714" t="s">
        <v>2500</v>
      </c>
      <c r="U714" t="s">
        <v>31</v>
      </c>
      <c r="V714" t="s">
        <v>31</v>
      </c>
      <c r="W714" t="s">
        <v>2650</v>
      </c>
      <c r="X714" t="s">
        <v>2651</v>
      </c>
      <c r="Y714" t="s">
        <v>2652</v>
      </c>
      <c r="Z714">
        <v>566.43938360000004</v>
      </c>
    </row>
    <row r="715" spans="1:26">
      <c r="A715">
        <v>714</v>
      </c>
      <c r="B715" t="s">
        <v>2653</v>
      </c>
      <c r="C715" t="s">
        <v>54</v>
      </c>
      <c r="D715" s="1" t="b">
        <v>1</v>
      </c>
      <c r="E715">
        <v>9.2000000000000003E-4</v>
      </c>
      <c r="F715">
        <v>3.036212173</v>
      </c>
      <c r="G715">
        <v>44.3</v>
      </c>
      <c r="I715">
        <v>0.93</v>
      </c>
      <c r="J715">
        <v>28.3</v>
      </c>
      <c r="M715">
        <v>25</v>
      </c>
      <c r="N715" t="s">
        <v>349</v>
      </c>
      <c r="O715" t="s">
        <v>29</v>
      </c>
      <c r="Q715" t="s">
        <v>2119</v>
      </c>
      <c r="S715" t="s">
        <v>349</v>
      </c>
      <c r="T715" t="s">
        <v>349</v>
      </c>
      <c r="X715" t="s">
        <v>2654</v>
      </c>
      <c r="Y715" t="s">
        <v>2655</v>
      </c>
      <c r="Z715">
        <v>423.2711918</v>
      </c>
    </row>
    <row r="716" spans="1:26">
      <c r="A716">
        <v>715</v>
      </c>
      <c r="B716" t="s">
        <v>2656</v>
      </c>
      <c r="C716" t="s">
        <v>134</v>
      </c>
      <c r="D716" s="1" t="b">
        <v>1</v>
      </c>
      <c r="E716" s="3">
        <v>1.1000000000000001E-3</v>
      </c>
      <c r="F716" s="2">
        <f>-LOG10(E716)</f>
        <v>2.9586073148417751</v>
      </c>
      <c r="G716">
        <v>32</v>
      </c>
      <c r="H716">
        <v>2.0999999999999998E-6</v>
      </c>
      <c r="I716">
        <v>0.79</v>
      </c>
      <c r="J716">
        <v>40</v>
      </c>
      <c r="K716">
        <v>3.8</v>
      </c>
      <c r="L716">
        <v>1.5799999999999999E-4</v>
      </c>
      <c r="M716">
        <v>25</v>
      </c>
      <c r="N716" t="s">
        <v>135</v>
      </c>
      <c r="P716" s="2" t="s">
        <v>136</v>
      </c>
      <c r="R716" t="s">
        <v>137</v>
      </c>
      <c r="S716" t="s">
        <v>137</v>
      </c>
      <c r="W716" t="s">
        <v>2657</v>
      </c>
      <c r="X716" t="s">
        <v>2658</v>
      </c>
      <c r="Y716" t="s">
        <v>2659</v>
      </c>
      <c r="Z716">
        <v>360.19463940000003</v>
      </c>
    </row>
    <row r="717" spans="1:26" hidden="1">
      <c r="A717">
        <v>716</v>
      </c>
      <c r="B717" t="s">
        <v>2660</v>
      </c>
      <c r="C717" t="s">
        <v>83</v>
      </c>
      <c r="D717" s="1" t="b">
        <v>0</v>
      </c>
      <c r="E717">
        <v>1.0000000000000001E-5</v>
      </c>
      <c r="F717">
        <v>5</v>
      </c>
      <c r="M717">
        <v>25</v>
      </c>
      <c r="N717" t="s">
        <v>207</v>
      </c>
      <c r="X717" t="s">
        <v>2661</v>
      </c>
      <c r="Y717" t="s">
        <v>2662</v>
      </c>
      <c r="Z717">
        <v>478.38695410000003</v>
      </c>
    </row>
    <row r="718" spans="1:26" hidden="1">
      <c r="A718">
        <v>717</v>
      </c>
      <c r="B718" t="s">
        <v>2663</v>
      </c>
      <c r="C718" t="s">
        <v>83</v>
      </c>
      <c r="D718" s="1" t="b">
        <v>0</v>
      </c>
      <c r="E718">
        <v>8.9949999999999994E-6</v>
      </c>
      <c r="F718">
        <v>5.0459988320000004</v>
      </c>
      <c r="G718">
        <v>34</v>
      </c>
      <c r="J718">
        <v>38</v>
      </c>
      <c r="M718">
        <v>25</v>
      </c>
      <c r="N718" t="s">
        <v>207</v>
      </c>
      <c r="O718" t="s">
        <v>2148</v>
      </c>
      <c r="X718" t="s">
        <v>2664</v>
      </c>
      <c r="Y718" t="s">
        <v>2665</v>
      </c>
      <c r="Z718">
        <v>566.43938360000004</v>
      </c>
    </row>
    <row r="719" spans="1:26" hidden="1">
      <c r="A719">
        <v>718</v>
      </c>
      <c r="B719" t="s">
        <v>2666</v>
      </c>
      <c r="C719" t="s">
        <v>83</v>
      </c>
      <c r="D719" s="1" t="b">
        <v>0</v>
      </c>
      <c r="E719">
        <v>8.9949999999999994E-6</v>
      </c>
      <c r="F719">
        <v>5.0459988320000004</v>
      </c>
      <c r="M719">
        <v>25</v>
      </c>
      <c r="N719" t="s">
        <v>207</v>
      </c>
      <c r="X719" t="s">
        <v>2667</v>
      </c>
      <c r="Y719" t="s">
        <v>2668</v>
      </c>
      <c r="Z719">
        <v>610.46559830000001</v>
      </c>
    </row>
    <row r="720" spans="1:26" hidden="1">
      <c r="A720">
        <v>719</v>
      </c>
      <c r="B720" t="s">
        <v>2669</v>
      </c>
      <c r="C720" t="s">
        <v>1848</v>
      </c>
      <c r="D720" s="1" t="b">
        <v>0</v>
      </c>
      <c r="E720" s="4">
        <v>7.9999999999999996E-6</v>
      </c>
      <c r="F720">
        <v>5.0968999999999998</v>
      </c>
      <c r="M720">
        <v>25</v>
      </c>
      <c r="N720" t="s">
        <v>1849</v>
      </c>
      <c r="X720" t="s">
        <v>2670</v>
      </c>
      <c r="Y720" t="s">
        <v>2671</v>
      </c>
      <c r="Z720">
        <v>477.39469589999999</v>
      </c>
    </row>
    <row r="721" spans="1:26" hidden="1">
      <c r="A721">
        <v>720</v>
      </c>
      <c r="B721" t="s">
        <v>2672</v>
      </c>
      <c r="C721" t="s">
        <v>1848</v>
      </c>
      <c r="D721" s="1" t="b">
        <v>0</v>
      </c>
      <c r="E721" s="4">
        <v>5.4999999999999999E-6</v>
      </c>
      <c r="F721">
        <v>5.2595999999999998</v>
      </c>
      <c r="M721">
        <v>25</v>
      </c>
      <c r="N721" t="s">
        <v>1849</v>
      </c>
      <c r="X721" t="s">
        <v>2673</v>
      </c>
      <c r="Y721" t="s">
        <v>2674</v>
      </c>
      <c r="Z721">
        <v>505.425996</v>
      </c>
    </row>
    <row r="722" spans="1:26" hidden="1">
      <c r="A722">
        <v>721</v>
      </c>
      <c r="B722" t="s">
        <v>2675</v>
      </c>
      <c r="C722" t="s">
        <v>1848</v>
      </c>
      <c r="D722" s="1" t="b">
        <v>0</v>
      </c>
      <c r="E722" s="4">
        <v>6.9999999999999999E-6</v>
      </c>
      <c r="F722">
        <v>5.1548999999999996</v>
      </c>
      <c r="M722">
        <v>25</v>
      </c>
      <c r="N722" t="s">
        <v>1849</v>
      </c>
      <c r="X722" t="s">
        <v>2676</v>
      </c>
      <c r="Y722" t="s">
        <v>2677</v>
      </c>
      <c r="Z722">
        <v>533.45729619999997</v>
      </c>
    </row>
    <row r="723" spans="1:26" hidden="1">
      <c r="A723">
        <v>722</v>
      </c>
      <c r="B723" t="s">
        <v>2678</v>
      </c>
      <c r="C723" t="s">
        <v>134</v>
      </c>
      <c r="D723" s="1" t="b">
        <v>0</v>
      </c>
      <c r="E723">
        <v>2.0999999999999999E-3</v>
      </c>
      <c r="F723">
        <v>2.677780705</v>
      </c>
      <c r="G723">
        <v>34.799999999999997</v>
      </c>
      <c r="J723">
        <v>37.200000000000003</v>
      </c>
      <c r="K723">
        <v>3.09</v>
      </c>
      <c r="L723">
        <v>8.0800000000000002E-4</v>
      </c>
      <c r="M723">
        <v>25</v>
      </c>
      <c r="N723" t="s">
        <v>103</v>
      </c>
      <c r="P723" t="s">
        <v>103</v>
      </c>
      <c r="R723" t="s">
        <v>137</v>
      </c>
      <c r="W723" t="s">
        <v>2679</v>
      </c>
      <c r="X723" t="s">
        <v>2680</v>
      </c>
      <c r="Y723" t="s">
        <v>2681</v>
      </c>
      <c r="Z723">
        <v>316.1684247</v>
      </c>
    </row>
    <row r="724" spans="1:26" hidden="1">
      <c r="A724">
        <v>723</v>
      </c>
      <c r="B724" t="s">
        <v>2682</v>
      </c>
      <c r="C724" t="s">
        <v>54</v>
      </c>
      <c r="D724" s="1" t="b">
        <v>0</v>
      </c>
      <c r="G724">
        <v>35.799999999999997</v>
      </c>
      <c r="O724" t="s">
        <v>29</v>
      </c>
      <c r="Q724" t="s">
        <v>2172</v>
      </c>
      <c r="X724" t="s">
        <v>2683</v>
      </c>
      <c r="Y724" t="s">
        <v>2684</v>
      </c>
      <c r="Z724">
        <v>464.24022600000001</v>
      </c>
    </row>
    <row r="725" spans="1:26" hidden="1">
      <c r="A725">
        <v>724</v>
      </c>
      <c r="B725" t="s">
        <v>2685</v>
      </c>
      <c r="C725" t="s">
        <v>28</v>
      </c>
      <c r="D725" s="1" t="b">
        <v>0</v>
      </c>
      <c r="G725">
        <v>48.7</v>
      </c>
      <c r="O725" t="s">
        <v>29</v>
      </c>
      <c r="Q725" t="s">
        <v>2172</v>
      </c>
      <c r="X725" t="s">
        <v>2686</v>
      </c>
      <c r="Y725" t="s">
        <v>2687</v>
      </c>
      <c r="Z725">
        <v>982.52740229999995</v>
      </c>
    </row>
    <row r="726" spans="1:26" hidden="1">
      <c r="A726">
        <v>725</v>
      </c>
      <c r="B726" t="s">
        <v>2688</v>
      </c>
      <c r="C726" t="s">
        <v>28</v>
      </c>
      <c r="D726" s="1" t="b">
        <v>0</v>
      </c>
      <c r="G726">
        <v>42.6</v>
      </c>
      <c r="O726" t="s">
        <v>29</v>
      </c>
      <c r="Q726" t="s">
        <v>2172</v>
      </c>
      <c r="X726" t="s">
        <v>2689</v>
      </c>
      <c r="Y726" t="s">
        <v>2690</v>
      </c>
      <c r="Z726">
        <v>940.48045209999998</v>
      </c>
    </row>
    <row r="727" spans="1:26" hidden="1">
      <c r="A727">
        <v>726</v>
      </c>
      <c r="B727" t="s">
        <v>2691</v>
      </c>
      <c r="C727" t="s">
        <v>28</v>
      </c>
      <c r="D727" s="1" t="b">
        <v>0</v>
      </c>
      <c r="E727">
        <v>2.5000000000000001E-5</v>
      </c>
      <c r="F727">
        <v>4.602059991</v>
      </c>
      <c r="G727">
        <v>51.1</v>
      </c>
      <c r="H727">
        <v>1.81E-6</v>
      </c>
      <c r="I727">
        <v>0.92</v>
      </c>
      <c r="J727">
        <v>20.9</v>
      </c>
      <c r="K727">
        <v>4.8600000000000003</v>
      </c>
      <c r="L727">
        <v>1.3799999999999999E-4</v>
      </c>
      <c r="M727">
        <v>25</v>
      </c>
      <c r="N727" t="s">
        <v>2176</v>
      </c>
      <c r="O727" t="s">
        <v>2177</v>
      </c>
      <c r="P727" t="s">
        <v>2182</v>
      </c>
      <c r="Q727" t="s">
        <v>2176</v>
      </c>
      <c r="R727" t="s">
        <v>2176</v>
      </c>
      <c r="T727" t="s">
        <v>2176</v>
      </c>
      <c r="U727" t="s">
        <v>2176</v>
      </c>
      <c r="W727" t="s">
        <v>2692</v>
      </c>
      <c r="X727" t="s">
        <v>2693</v>
      </c>
      <c r="Y727" t="s">
        <v>2694</v>
      </c>
      <c r="Z727">
        <v>1022.579832</v>
      </c>
    </row>
    <row r="728" spans="1:26" hidden="1">
      <c r="A728">
        <v>727</v>
      </c>
      <c r="B728" t="s">
        <v>2695</v>
      </c>
      <c r="C728" t="s">
        <v>28</v>
      </c>
      <c r="D728" s="1" t="b">
        <v>0</v>
      </c>
      <c r="E728">
        <v>1.1800000000000001E-5</v>
      </c>
      <c r="F728">
        <v>4.9281179929999999</v>
      </c>
      <c r="G728">
        <v>46</v>
      </c>
      <c r="H728">
        <v>1.9599999999999999E-6</v>
      </c>
      <c r="I728">
        <v>0.84</v>
      </c>
      <c r="J728">
        <v>26</v>
      </c>
      <c r="K728">
        <v>4.97</v>
      </c>
      <c r="L728">
        <v>1.0699999999999999E-5</v>
      </c>
      <c r="M728">
        <v>25</v>
      </c>
      <c r="N728" t="s">
        <v>2176</v>
      </c>
      <c r="O728" t="s">
        <v>2177</v>
      </c>
      <c r="P728" t="s">
        <v>2182</v>
      </c>
      <c r="Q728" t="s">
        <v>2176</v>
      </c>
      <c r="R728" t="s">
        <v>2176</v>
      </c>
      <c r="T728" t="s">
        <v>2176</v>
      </c>
      <c r="U728" t="s">
        <v>2176</v>
      </c>
      <c r="W728" t="s">
        <v>2696</v>
      </c>
      <c r="X728" t="s">
        <v>2697</v>
      </c>
      <c r="Y728" t="s">
        <v>2698</v>
      </c>
      <c r="Z728">
        <v>994.54853160000005</v>
      </c>
    </row>
    <row r="729" spans="1:26" hidden="1">
      <c r="A729">
        <v>728</v>
      </c>
      <c r="B729" t="s">
        <v>2699</v>
      </c>
      <c r="C729" t="s">
        <v>28</v>
      </c>
      <c r="D729" s="1" t="b">
        <v>0</v>
      </c>
      <c r="E729">
        <v>2.0800000000000001E-5</v>
      </c>
      <c r="F729">
        <v>4.6819366650000003</v>
      </c>
      <c r="G729">
        <v>47</v>
      </c>
      <c r="H729">
        <v>2.3599999999999999E-6</v>
      </c>
      <c r="I729">
        <v>0.7</v>
      </c>
      <c r="J729">
        <v>25</v>
      </c>
      <c r="K729">
        <v>4.8</v>
      </c>
      <c r="L729">
        <v>1.59E-5</v>
      </c>
      <c r="M729">
        <v>25</v>
      </c>
      <c r="N729" t="s">
        <v>2176</v>
      </c>
      <c r="O729" t="s">
        <v>2177</v>
      </c>
      <c r="P729" t="s">
        <v>2182</v>
      </c>
      <c r="Q729" t="s">
        <v>2176</v>
      </c>
      <c r="R729" t="s">
        <v>2176</v>
      </c>
      <c r="T729" t="s">
        <v>2176</v>
      </c>
      <c r="U729" t="s">
        <v>2176</v>
      </c>
      <c r="W729" t="s">
        <v>2700</v>
      </c>
      <c r="X729" t="s">
        <v>2701</v>
      </c>
      <c r="Y729" t="s">
        <v>2702</v>
      </c>
      <c r="Z729">
        <v>966.51723149999998</v>
      </c>
    </row>
    <row r="730" spans="1:26">
      <c r="A730">
        <v>729</v>
      </c>
      <c r="B730" s="2" t="s">
        <v>2703</v>
      </c>
      <c r="C730" t="s">
        <v>28</v>
      </c>
      <c r="D730" s="1" t="b">
        <v>1</v>
      </c>
      <c r="E730">
        <v>2.5999999999999998E-5</v>
      </c>
      <c r="F730">
        <v>4.5850266519999998</v>
      </c>
      <c r="G730">
        <v>47.8</v>
      </c>
      <c r="H730">
        <v>5.5000000000000003E-7</v>
      </c>
      <c r="I730">
        <v>3</v>
      </c>
      <c r="J730">
        <v>24.2</v>
      </c>
      <c r="K730">
        <v>3.7695510790000002</v>
      </c>
      <c r="L730">
        <v>1.7000000000000001E-4</v>
      </c>
      <c r="M730">
        <v>25</v>
      </c>
      <c r="N730" t="s">
        <v>2704</v>
      </c>
      <c r="O730" t="s">
        <v>2704</v>
      </c>
      <c r="R730" t="s">
        <v>2704</v>
      </c>
      <c r="S730" t="s">
        <v>2704</v>
      </c>
      <c r="T730" t="s">
        <v>2704</v>
      </c>
      <c r="V730" t="s">
        <v>2704</v>
      </c>
      <c r="X730" t="s">
        <v>2705</v>
      </c>
      <c r="Y730" t="s">
        <v>2706</v>
      </c>
      <c r="Z730">
        <v>640.55319699999995</v>
      </c>
    </row>
    <row r="731" spans="1:26" hidden="1">
      <c r="A731">
        <v>730</v>
      </c>
      <c r="B731" t="s">
        <v>2707</v>
      </c>
      <c r="C731" t="s">
        <v>28</v>
      </c>
      <c r="D731" s="1" t="b">
        <v>0</v>
      </c>
      <c r="E731">
        <v>2.6979999999999999E-5</v>
      </c>
      <c r="F731">
        <v>4.5689580550000004</v>
      </c>
      <c r="M731">
        <v>25</v>
      </c>
      <c r="N731" t="s">
        <v>484</v>
      </c>
      <c r="X731" t="s">
        <v>2708</v>
      </c>
      <c r="Y731" t="s">
        <v>2709</v>
      </c>
      <c r="Z731">
        <v>798.39096840000002</v>
      </c>
    </row>
    <row r="732" spans="1:26" hidden="1">
      <c r="A732">
        <v>731</v>
      </c>
      <c r="B732" t="s">
        <v>2710</v>
      </c>
      <c r="C732" t="s">
        <v>28</v>
      </c>
      <c r="D732" s="1" t="b">
        <v>0</v>
      </c>
      <c r="E732">
        <v>5.0000000000000002E-5</v>
      </c>
      <c r="F732">
        <v>4.3010299959999996</v>
      </c>
      <c r="G732">
        <v>40.5</v>
      </c>
      <c r="H732">
        <v>2.3199999999999998E-6</v>
      </c>
      <c r="I732">
        <v>0.71</v>
      </c>
      <c r="J732">
        <v>31.46</v>
      </c>
      <c r="K732">
        <v>4.7</v>
      </c>
      <c r="L732">
        <v>2.0000000000000002E-5</v>
      </c>
      <c r="M732">
        <v>25</v>
      </c>
      <c r="N732" t="s">
        <v>2711</v>
      </c>
      <c r="O732" t="s">
        <v>29</v>
      </c>
      <c r="Q732" t="s">
        <v>2711</v>
      </c>
      <c r="R732" t="s">
        <v>2711</v>
      </c>
      <c r="T732" t="s">
        <v>2711</v>
      </c>
      <c r="U732" t="s">
        <v>2711</v>
      </c>
      <c r="V732" t="s">
        <v>2711</v>
      </c>
      <c r="W732" t="s">
        <v>2712</v>
      </c>
      <c r="X732" t="s">
        <v>2713</v>
      </c>
      <c r="Y732" t="s">
        <v>2714</v>
      </c>
      <c r="Z732">
        <v>824.44300390000001</v>
      </c>
    </row>
    <row r="733" spans="1:26" hidden="1">
      <c r="A733">
        <v>732</v>
      </c>
      <c r="B733" t="s">
        <v>2715</v>
      </c>
      <c r="C733" t="s">
        <v>28</v>
      </c>
      <c r="D733" s="1" t="b">
        <v>0</v>
      </c>
      <c r="E733">
        <v>3.6999999999999998E-5</v>
      </c>
      <c r="F733">
        <v>4.4317982760000003</v>
      </c>
      <c r="G733">
        <v>39.6</v>
      </c>
      <c r="H733">
        <v>2.6199999999999999E-6</v>
      </c>
      <c r="I733">
        <v>0.63</v>
      </c>
      <c r="J733">
        <v>32.4</v>
      </c>
      <c r="K733">
        <v>4.82</v>
      </c>
      <c r="L733">
        <v>1.5E-5</v>
      </c>
      <c r="M733">
        <v>25</v>
      </c>
      <c r="N733" t="s">
        <v>2711</v>
      </c>
      <c r="O733" t="s">
        <v>29</v>
      </c>
      <c r="Q733" t="s">
        <v>2711</v>
      </c>
      <c r="R733" t="s">
        <v>2711</v>
      </c>
      <c r="T733" t="s">
        <v>2711</v>
      </c>
      <c r="U733" t="s">
        <v>2711</v>
      </c>
      <c r="V733" t="s">
        <v>2711</v>
      </c>
      <c r="W733" t="s">
        <v>2716</v>
      </c>
      <c r="X733" t="s">
        <v>2717</v>
      </c>
      <c r="Y733" t="s">
        <v>2718</v>
      </c>
      <c r="Z733">
        <v>810.42735389999996</v>
      </c>
    </row>
    <row r="734" spans="1:26" hidden="1">
      <c r="A734">
        <v>733</v>
      </c>
      <c r="B734" t="s">
        <v>2719</v>
      </c>
      <c r="C734" t="s">
        <v>28</v>
      </c>
      <c r="D734" s="1" t="b">
        <v>0</v>
      </c>
      <c r="E734">
        <v>2.6999999999999999E-5</v>
      </c>
      <c r="F734">
        <v>4.5686362359999997</v>
      </c>
      <c r="G734">
        <v>41.6</v>
      </c>
      <c r="H734">
        <v>2.7E-6</v>
      </c>
      <c r="I734">
        <v>0.61</v>
      </c>
      <c r="J734">
        <v>30.36</v>
      </c>
      <c r="K734">
        <v>4.8899999999999997</v>
      </c>
      <c r="L734">
        <v>1.2999999999999999E-5</v>
      </c>
      <c r="M734">
        <v>25</v>
      </c>
      <c r="N734" t="s">
        <v>2711</v>
      </c>
      <c r="O734" t="s">
        <v>29</v>
      </c>
      <c r="Q734" t="s">
        <v>2711</v>
      </c>
      <c r="R734" t="s">
        <v>2711</v>
      </c>
      <c r="T734" t="s">
        <v>2711</v>
      </c>
      <c r="U734" t="s">
        <v>2711</v>
      </c>
      <c r="V734" t="s">
        <v>2711</v>
      </c>
      <c r="W734" t="s">
        <v>2720</v>
      </c>
      <c r="X734" t="s">
        <v>2721</v>
      </c>
      <c r="Y734" t="s">
        <v>2722</v>
      </c>
      <c r="Z734">
        <v>796.41170380000005</v>
      </c>
    </row>
    <row r="735" spans="1:26" hidden="1">
      <c r="A735">
        <v>734</v>
      </c>
      <c r="B735" t="s">
        <v>2723</v>
      </c>
      <c r="C735" t="s">
        <v>28</v>
      </c>
      <c r="D735" s="1" t="b">
        <v>0</v>
      </c>
      <c r="E735">
        <v>5.1999999999999997E-5</v>
      </c>
      <c r="F735">
        <v>4.2839966560000002</v>
      </c>
      <c r="M735">
        <v>25</v>
      </c>
      <c r="N735" t="s">
        <v>484</v>
      </c>
      <c r="X735" t="s">
        <v>2724</v>
      </c>
      <c r="Y735" t="s">
        <v>2725</v>
      </c>
      <c r="Z735">
        <v>782.39605370000004</v>
      </c>
    </row>
    <row r="736" spans="1:26" hidden="1">
      <c r="A736">
        <v>735</v>
      </c>
      <c r="B736" t="s">
        <v>2726</v>
      </c>
      <c r="C736" t="s">
        <v>28</v>
      </c>
      <c r="D736" s="1" t="b">
        <v>0</v>
      </c>
      <c r="E736">
        <v>3.396E-5</v>
      </c>
      <c r="F736">
        <v>4.469032318</v>
      </c>
      <c r="M736">
        <v>25</v>
      </c>
      <c r="N736" t="s">
        <v>484</v>
      </c>
      <c r="X736" t="s">
        <v>2727</v>
      </c>
      <c r="Y736" t="s">
        <v>2728</v>
      </c>
      <c r="Z736">
        <v>768.38040369999999</v>
      </c>
    </row>
    <row r="737" spans="1:26" hidden="1">
      <c r="A737">
        <v>736</v>
      </c>
      <c r="B737" t="s">
        <v>2729</v>
      </c>
      <c r="C737" t="s">
        <v>134</v>
      </c>
      <c r="D737" s="13" t="b">
        <v>0</v>
      </c>
      <c r="E737">
        <v>2.5000000000000001E-3</v>
      </c>
      <c r="F737">
        <v>2.602059991</v>
      </c>
      <c r="G737">
        <v>41</v>
      </c>
      <c r="H737">
        <v>2.9000000000000002E-6</v>
      </c>
      <c r="I737">
        <v>0.572599678</v>
      </c>
      <c r="J737">
        <v>31</v>
      </c>
      <c r="K737">
        <v>3.05</v>
      </c>
      <c r="L737">
        <v>8.9300000000000002E-4</v>
      </c>
      <c r="M737">
        <v>25</v>
      </c>
      <c r="N737" t="s">
        <v>179</v>
      </c>
      <c r="R737" t="s">
        <v>137</v>
      </c>
      <c r="S737" t="s">
        <v>137</v>
      </c>
      <c r="T737" t="s">
        <v>31</v>
      </c>
      <c r="W737" t="s">
        <v>2730</v>
      </c>
      <c r="X737" t="s">
        <v>2731</v>
      </c>
      <c r="Y737" t="s">
        <v>2732</v>
      </c>
      <c r="Z737">
        <v>300.17351009999999</v>
      </c>
    </row>
    <row r="738" spans="1:26" hidden="1">
      <c r="A738">
        <v>737</v>
      </c>
      <c r="B738" t="s">
        <v>2733</v>
      </c>
      <c r="C738" t="s">
        <v>54</v>
      </c>
      <c r="D738" s="1" t="b">
        <v>0</v>
      </c>
      <c r="E738">
        <v>3.5999999999999999E-3</v>
      </c>
      <c r="F738">
        <v>2.4436974990000002</v>
      </c>
      <c r="G738">
        <v>38.1</v>
      </c>
      <c r="H738">
        <v>2.7E-6</v>
      </c>
      <c r="I738">
        <v>0.6</v>
      </c>
      <c r="J738">
        <v>33.869999999999997</v>
      </c>
      <c r="K738">
        <v>2.8945745220000001</v>
      </c>
      <c r="L738">
        <v>5.5322559E-2</v>
      </c>
      <c r="M738">
        <v>25</v>
      </c>
      <c r="N738" t="s">
        <v>2734</v>
      </c>
      <c r="O738" t="s">
        <v>2735</v>
      </c>
      <c r="P738" t="s">
        <v>103</v>
      </c>
      <c r="Q738" t="s">
        <v>578</v>
      </c>
      <c r="R738" t="s">
        <v>2205</v>
      </c>
      <c r="S738" t="s">
        <v>31</v>
      </c>
      <c r="T738" t="s">
        <v>2205</v>
      </c>
      <c r="U738" t="s">
        <v>31</v>
      </c>
      <c r="V738" t="s">
        <v>31</v>
      </c>
      <c r="W738" t="s">
        <v>2736</v>
      </c>
      <c r="X738" t="s">
        <v>2737</v>
      </c>
      <c r="Y738" t="s">
        <v>2738</v>
      </c>
      <c r="Z738">
        <v>335.21876229999998</v>
      </c>
    </row>
    <row r="739" spans="1:26" hidden="1">
      <c r="A739">
        <v>738</v>
      </c>
      <c r="B739" t="s">
        <v>2739</v>
      </c>
      <c r="C739" t="s">
        <v>54</v>
      </c>
      <c r="D739" s="1" t="b">
        <v>0</v>
      </c>
      <c r="E739">
        <v>4.4999999999999997E-3</v>
      </c>
      <c r="F739">
        <v>2.3467874860000002</v>
      </c>
      <c r="M739">
        <v>25</v>
      </c>
      <c r="N739" t="s">
        <v>89</v>
      </c>
      <c r="P739" t="s">
        <v>103</v>
      </c>
      <c r="W739" t="s">
        <v>2740</v>
      </c>
      <c r="X739" t="s">
        <v>2741</v>
      </c>
      <c r="Y739" t="s">
        <v>2742</v>
      </c>
      <c r="Z739">
        <v>291.26927790000002</v>
      </c>
    </row>
    <row r="740" spans="1:26" hidden="1">
      <c r="A740">
        <v>739</v>
      </c>
      <c r="B740" t="s">
        <v>2743</v>
      </c>
      <c r="C740" t="s">
        <v>28</v>
      </c>
      <c r="D740" s="1" t="b">
        <v>0</v>
      </c>
      <c r="E740">
        <v>1.5990000000000001E-4</v>
      </c>
      <c r="F740">
        <v>3.796151536</v>
      </c>
      <c r="G740">
        <v>46.1</v>
      </c>
      <c r="H740">
        <v>8.0299999999999998E-7</v>
      </c>
      <c r="I740">
        <v>3.1</v>
      </c>
      <c r="J740">
        <v>25.08</v>
      </c>
      <c r="K740">
        <v>4.22</v>
      </c>
      <c r="L740">
        <v>6.0600000000000003E-5</v>
      </c>
      <c r="M740">
        <v>29.85</v>
      </c>
      <c r="N740" t="s">
        <v>2214</v>
      </c>
      <c r="O740" t="s">
        <v>29</v>
      </c>
      <c r="Q740" t="s">
        <v>2214</v>
      </c>
      <c r="R740" t="s">
        <v>2214</v>
      </c>
      <c r="S740" t="s">
        <v>31</v>
      </c>
      <c r="T740" t="s">
        <v>2214</v>
      </c>
      <c r="U740" t="s">
        <v>2214</v>
      </c>
      <c r="W740" t="s">
        <v>2744</v>
      </c>
      <c r="X740" t="s">
        <v>2745</v>
      </c>
      <c r="Y740" t="s">
        <v>2746</v>
      </c>
      <c r="Z740">
        <v>694.56583320000004</v>
      </c>
    </row>
    <row r="741" spans="1:26" hidden="1">
      <c r="A741">
        <v>740</v>
      </c>
      <c r="B741" t="s">
        <v>2747</v>
      </c>
      <c r="C741" t="s">
        <v>28</v>
      </c>
      <c r="D741" s="1" t="b">
        <v>0</v>
      </c>
      <c r="E741">
        <v>2.6889999999999998E-4</v>
      </c>
      <c r="F741">
        <v>3.5704091980000001</v>
      </c>
      <c r="G741">
        <v>45.47</v>
      </c>
      <c r="H741">
        <v>1.3400000000000001E-6</v>
      </c>
      <c r="I741">
        <v>1.24</v>
      </c>
      <c r="J741">
        <v>26.52</v>
      </c>
      <c r="K741">
        <v>3.55</v>
      </c>
      <c r="L741">
        <v>2.8299999999999999E-4</v>
      </c>
      <c r="M741">
        <v>25</v>
      </c>
      <c r="N741" t="s">
        <v>2223</v>
      </c>
      <c r="O741" t="s">
        <v>29</v>
      </c>
      <c r="Q741" t="s">
        <v>2223</v>
      </c>
      <c r="R741" t="s">
        <v>2223</v>
      </c>
      <c r="T741" t="s">
        <v>2223</v>
      </c>
      <c r="U741" t="s">
        <v>2223</v>
      </c>
      <c r="W741" t="s">
        <v>2748</v>
      </c>
      <c r="X741" t="s">
        <v>2749</v>
      </c>
      <c r="Y741" t="s">
        <v>2750</v>
      </c>
      <c r="Z741">
        <v>710.54951440000002</v>
      </c>
    </row>
    <row r="742" spans="1:26" hidden="1">
      <c r="A742">
        <v>741</v>
      </c>
      <c r="B742" t="s">
        <v>2751</v>
      </c>
      <c r="C742" t="s">
        <v>28</v>
      </c>
      <c r="D742" s="1" t="b">
        <v>0</v>
      </c>
      <c r="E742">
        <v>5.0800000000000002E-5</v>
      </c>
      <c r="F742">
        <v>4.2941362879999998</v>
      </c>
      <c r="G742">
        <v>38</v>
      </c>
      <c r="H742">
        <v>9.2800000000000005E-7</v>
      </c>
      <c r="I742">
        <v>1.79</v>
      </c>
      <c r="J742">
        <v>34</v>
      </c>
      <c r="K742">
        <v>4.9547645229999997</v>
      </c>
      <c r="L742">
        <v>7.0497399999999997E-3</v>
      </c>
      <c r="M742">
        <v>25</v>
      </c>
      <c r="N742" t="s">
        <v>2205</v>
      </c>
      <c r="O742" t="s">
        <v>29</v>
      </c>
      <c r="Q742" t="s">
        <v>2205</v>
      </c>
      <c r="R742" t="s">
        <v>2205</v>
      </c>
      <c r="T742" t="s">
        <v>2205</v>
      </c>
      <c r="U742" t="s">
        <v>31</v>
      </c>
      <c r="V742" t="s">
        <v>31</v>
      </c>
      <c r="W742" t="s">
        <v>2752</v>
      </c>
      <c r="X742" t="s">
        <v>2753</v>
      </c>
      <c r="Y742" t="s">
        <v>2754</v>
      </c>
      <c r="Z742">
        <v>1120.574073</v>
      </c>
    </row>
    <row r="743" spans="1:26" hidden="1">
      <c r="A743">
        <v>742</v>
      </c>
      <c r="B743" t="s">
        <v>2755</v>
      </c>
      <c r="C743" t="s">
        <v>28</v>
      </c>
      <c r="D743" s="1" t="b">
        <v>0</v>
      </c>
      <c r="E743">
        <v>1.121E-4</v>
      </c>
      <c r="F743">
        <v>3.9503943869999998</v>
      </c>
      <c r="G743">
        <v>44.7</v>
      </c>
      <c r="H743">
        <v>9.95E-7</v>
      </c>
      <c r="I743">
        <v>2.61</v>
      </c>
      <c r="J743">
        <v>26.48</v>
      </c>
      <c r="K743">
        <v>4.37</v>
      </c>
      <c r="L743">
        <v>4.3000000000000002E-5</v>
      </c>
      <c r="M743">
        <v>29.85</v>
      </c>
      <c r="N743" t="s">
        <v>2214</v>
      </c>
      <c r="O743" t="s">
        <v>29</v>
      </c>
      <c r="Q743" t="s">
        <v>2214</v>
      </c>
      <c r="R743" t="s">
        <v>2214</v>
      </c>
      <c r="S743" t="s">
        <v>31</v>
      </c>
      <c r="T743" t="s">
        <v>2214</v>
      </c>
      <c r="U743" t="s">
        <v>2214</v>
      </c>
      <c r="W743" t="s">
        <v>2756</v>
      </c>
      <c r="X743" t="s">
        <v>2757</v>
      </c>
      <c r="Y743" t="s">
        <v>2758</v>
      </c>
      <c r="Z743">
        <v>696.5338643</v>
      </c>
    </row>
    <row r="744" spans="1:26" hidden="1">
      <c r="A744">
        <v>743</v>
      </c>
      <c r="B744" t="s">
        <v>2759</v>
      </c>
      <c r="C744" t="s">
        <v>28</v>
      </c>
      <c r="D744" s="1" t="b">
        <v>0</v>
      </c>
      <c r="E744">
        <v>9.0000000000000006E-5</v>
      </c>
      <c r="F744">
        <v>4.0457574909999998</v>
      </c>
      <c r="G744">
        <v>40.9</v>
      </c>
      <c r="H744">
        <v>1.24E-6</v>
      </c>
      <c r="I744">
        <v>1.34</v>
      </c>
      <c r="J744">
        <v>31.1</v>
      </c>
      <c r="K744">
        <v>3.99</v>
      </c>
      <c r="L744">
        <v>1.02E-4</v>
      </c>
      <c r="M744">
        <v>25</v>
      </c>
      <c r="N744" t="s">
        <v>2760</v>
      </c>
      <c r="O744" t="s">
        <v>29</v>
      </c>
      <c r="Q744" t="s">
        <v>2760</v>
      </c>
      <c r="R744" t="s">
        <v>2760</v>
      </c>
      <c r="T744" t="s">
        <v>2760</v>
      </c>
      <c r="U744" t="s">
        <v>2760</v>
      </c>
      <c r="X744" t="s">
        <v>2761</v>
      </c>
      <c r="Y744" t="s">
        <v>2762</v>
      </c>
      <c r="Z744">
        <v>772.56516450000004</v>
      </c>
    </row>
    <row r="745" spans="1:26" hidden="1">
      <c r="A745">
        <v>744</v>
      </c>
      <c r="B745" t="s">
        <v>2763</v>
      </c>
      <c r="C745" t="s">
        <v>28</v>
      </c>
      <c r="D745" s="1" t="b">
        <v>0</v>
      </c>
      <c r="E745">
        <v>1E-4</v>
      </c>
      <c r="F745">
        <v>4</v>
      </c>
      <c r="G745">
        <v>37.700000000000003</v>
      </c>
      <c r="H745">
        <v>2.17E-6</v>
      </c>
      <c r="I745">
        <v>1.31</v>
      </c>
      <c r="J745">
        <v>34.299999999999997</v>
      </c>
      <c r="K745">
        <v>4.04</v>
      </c>
      <c r="L745">
        <v>9.1199999999999994E-5</v>
      </c>
      <c r="M745">
        <v>25</v>
      </c>
      <c r="N745" t="s">
        <v>2760</v>
      </c>
      <c r="O745" t="s">
        <v>29</v>
      </c>
      <c r="Q745" t="s">
        <v>2760</v>
      </c>
      <c r="R745" t="s">
        <v>2760</v>
      </c>
      <c r="T745" t="s">
        <v>2760</v>
      </c>
      <c r="U745" t="s">
        <v>2760</v>
      </c>
      <c r="X745" t="s">
        <v>2764</v>
      </c>
      <c r="Y745" t="s">
        <v>2765</v>
      </c>
      <c r="Z745">
        <v>744.5338643</v>
      </c>
    </row>
    <row r="746" spans="1:26" hidden="1">
      <c r="A746">
        <v>745</v>
      </c>
      <c r="B746" t="s">
        <v>2766</v>
      </c>
      <c r="C746" t="s">
        <v>311</v>
      </c>
      <c r="D746" s="1" t="b">
        <v>0</v>
      </c>
      <c r="E746">
        <v>2.2000000000000001E-4</v>
      </c>
      <c r="F746">
        <v>3.657577319</v>
      </c>
      <c r="G746">
        <v>34.5</v>
      </c>
      <c r="H746">
        <v>3.5300000000000001E-6</v>
      </c>
      <c r="I746">
        <v>0.470407668</v>
      </c>
      <c r="J746">
        <v>37.5</v>
      </c>
      <c r="M746">
        <v>23</v>
      </c>
      <c r="N746" t="s">
        <v>89</v>
      </c>
      <c r="P746" t="s">
        <v>135</v>
      </c>
      <c r="R746" t="s">
        <v>137</v>
      </c>
      <c r="S746" t="s">
        <v>137</v>
      </c>
      <c r="T746" t="s">
        <v>31</v>
      </c>
      <c r="V746" t="s">
        <v>137</v>
      </c>
      <c r="W746" t="s">
        <v>2767</v>
      </c>
      <c r="X746" t="s">
        <v>2768</v>
      </c>
      <c r="Y746" t="s">
        <v>2769</v>
      </c>
      <c r="Z746">
        <v>299.28242940000001</v>
      </c>
    </row>
    <row r="747" spans="1:26" hidden="1">
      <c r="A747">
        <v>746</v>
      </c>
      <c r="B747" t="s">
        <v>2770</v>
      </c>
      <c r="C747" t="s">
        <v>28</v>
      </c>
      <c r="D747" s="1" t="b">
        <v>0</v>
      </c>
      <c r="E747">
        <v>8.4919999999999993E-5</v>
      </c>
      <c r="F747">
        <v>4.0709900149999996</v>
      </c>
      <c r="M747">
        <v>25</v>
      </c>
      <c r="N747" t="s">
        <v>484</v>
      </c>
      <c r="X747" t="s">
        <v>2771</v>
      </c>
      <c r="Y747" t="s">
        <v>2772</v>
      </c>
      <c r="Z747">
        <v>728.44300390000001</v>
      </c>
    </row>
    <row r="748" spans="1:26" hidden="1">
      <c r="A748">
        <v>747</v>
      </c>
      <c r="B748" t="s">
        <v>2773</v>
      </c>
      <c r="C748" t="s">
        <v>28</v>
      </c>
      <c r="D748" s="1" t="b">
        <v>0</v>
      </c>
      <c r="E748" s="4">
        <v>8.5000000000000006E-5</v>
      </c>
      <c r="F748">
        <v>4.0705999999999998</v>
      </c>
      <c r="M748">
        <v>25</v>
      </c>
      <c r="N748" t="s">
        <v>1849</v>
      </c>
      <c r="X748" t="s">
        <v>2774</v>
      </c>
      <c r="Y748" t="s">
        <v>2775</v>
      </c>
      <c r="Z748">
        <v>728.44300390000001</v>
      </c>
    </row>
    <row r="749" spans="1:26" hidden="1">
      <c r="A749">
        <v>748</v>
      </c>
      <c r="B749" t="s">
        <v>2776</v>
      </c>
      <c r="C749" t="s">
        <v>28</v>
      </c>
      <c r="D749" s="1" t="b">
        <v>0</v>
      </c>
      <c r="E749">
        <v>2.43E-4</v>
      </c>
      <c r="F749">
        <v>3.6143937259999999</v>
      </c>
      <c r="G749">
        <v>34.5</v>
      </c>
      <c r="H749">
        <v>9.47E-7</v>
      </c>
      <c r="I749">
        <v>1.75</v>
      </c>
      <c r="J749">
        <v>37.5</v>
      </c>
      <c r="K749">
        <v>4.7300000000000004</v>
      </c>
      <c r="L749">
        <v>1.8700000000000001E-5</v>
      </c>
      <c r="M749">
        <v>25</v>
      </c>
      <c r="N749" t="s">
        <v>2250</v>
      </c>
      <c r="O749" t="s">
        <v>29</v>
      </c>
      <c r="Q749" t="s">
        <v>2250</v>
      </c>
      <c r="R749" t="s">
        <v>2250</v>
      </c>
      <c r="T749" t="s">
        <v>2250</v>
      </c>
      <c r="U749" t="s">
        <v>2250</v>
      </c>
      <c r="W749" t="s">
        <v>2777</v>
      </c>
      <c r="X749" t="s">
        <v>2778</v>
      </c>
      <c r="Y749" t="s">
        <v>2779</v>
      </c>
      <c r="Z749">
        <v>816.49543340000002</v>
      </c>
    </row>
    <row r="750" spans="1:26" hidden="1">
      <c r="A750">
        <v>749</v>
      </c>
      <c r="B750" t="s">
        <v>2780</v>
      </c>
      <c r="C750" t="s">
        <v>28</v>
      </c>
      <c r="D750" s="1" t="b">
        <v>0</v>
      </c>
      <c r="E750">
        <v>3.3300000000000002E-4</v>
      </c>
      <c r="F750">
        <v>3.477555766</v>
      </c>
      <c r="G750">
        <v>34.799999999999997</v>
      </c>
      <c r="H750">
        <v>8.1299999999999999E-7</v>
      </c>
      <c r="I750">
        <v>2.04</v>
      </c>
      <c r="J750">
        <v>37.200000000000003</v>
      </c>
      <c r="K750">
        <v>4.63</v>
      </c>
      <c r="L750">
        <v>2.34E-5</v>
      </c>
      <c r="M750">
        <v>25</v>
      </c>
      <c r="N750" t="s">
        <v>2250</v>
      </c>
      <c r="O750" t="s">
        <v>29</v>
      </c>
      <c r="Q750" t="s">
        <v>2250</v>
      </c>
      <c r="R750" t="s">
        <v>2250</v>
      </c>
      <c r="T750" t="s">
        <v>2250</v>
      </c>
      <c r="U750" t="s">
        <v>2250</v>
      </c>
      <c r="W750" t="s">
        <v>2781</v>
      </c>
      <c r="X750" t="s">
        <v>2782</v>
      </c>
      <c r="Y750" t="s">
        <v>2783</v>
      </c>
      <c r="Z750">
        <v>860.52164819999996</v>
      </c>
    </row>
    <row r="751" spans="1:26" hidden="1">
      <c r="A751">
        <v>750</v>
      </c>
      <c r="B751" t="s">
        <v>2784</v>
      </c>
      <c r="C751" t="s">
        <v>28</v>
      </c>
      <c r="D751" s="1" t="b">
        <v>0</v>
      </c>
      <c r="E751">
        <v>5.0199999999999995E-4</v>
      </c>
      <c r="F751">
        <v>3.2992962829999999</v>
      </c>
      <c r="G751">
        <v>33.6</v>
      </c>
      <c r="H751">
        <v>1.3999999999999999E-6</v>
      </c>
      <c r="I751">
        <v>1.6</v>
      </c>
      <c r="J751">
        <v>38.4</v>
      </c>
      <c r="K751">
        <v>4.3899999999999997</v>
      </c>
      <c r="L751">
        <v>4.0800000000000002E-5</v>
      </c>
      <c r="M751">
        <v>25</v>
      </c>
      <c r="N751" t="s">
        <v>2250</v>
      </c>
      <c r="O751" t="s">
        <v>29</v>
      </c>
      <c r="Q751" t="s">
        <v>2250</v>
      </c>
      <c r="R751" t="s">
        <v>2250</v>
      </c>
      <c r="T751" t="s">
        <v>2250</v>
      </c>
      <c r="U751" t="s">
        <v>2250</v>
      </c>
      <c r="W751" t="s">
        <v>2785</v>
      </c>
      <c r="X751" t="s">
        <v>2786</v>
      </c>
      <c r="Y751" t="s">
        <v>2787</v>
      </c>
      <c r="Z751">
        <v>904.54786290000004</v>
      </c>
    </row>
    <row r="752" spans="1:26" hidden="1">
      <c r="A752">
        <v>751</v>
      </c>
      <c r="B752" t="s">
        <v>2788</v>
      </c>
      <c r="C752" t="s">
        <v>28</v>
      </c>
      <c r="D752" s="1" t="b">
        <v>0</v>
      </c>
      <c r="E752">
        <v>1E-4</v>
      </c>
      <c r="F752">
        <v>4</v>
      </c>
      <c r="G752">
        <v>41.1</v>
      </c>
      <c r="H752">
        <v>1.0699999999999999E-6</v>
      </c>
      <c r="I752">
        <v>1.55</v>
      </c>
      <c r="J752">
        <v>30.9</v>
      </c>
      <c r="K752">
        <v>4.59</v>
      </c>
      <c r="L752">
        <v>2.5700000000000001E-5</v>
      </c>
      <c r="M752">
        <v>25</v>
      </c>
      <c r="N752" t="s">
        <v>2263</v>
      </c>
      <c r="O752" t="s">
        <v>29</v>
      </c>
      <c r="Q752" t="s">
        <v>2263</v>
      </c>
      <c r="R752" t="s">
        <v>2263</v>
      </c>
      <c r="S752" t="s">
        <v>2263</v>
      </c>
      <c r="T752" t="s">
        <v>2263</v>
      </c>
      <c r="U752" t="s">
        <v>2263</v>
      </c>
      <c r="V752" t="s">
        <v>2263</v>
      </c>
      <c r="X752" t="s">
        <v>2789</v>
      </c>
      <c r="Y752" t="s">
        <v>2790</v>
      </c>
      <c r="Z752">
        <v>776.59646459999999</v>
      </c>
    </row>
    <row r="753" spans="1:26" hidden="1">
      <c r="A753">
        <v>752</v>
      </c>
      <c r="B753" t="s">
        <v>2791</v>
      </c>
      <c r="C753" t="s">
        <v>28</v>
      </c>
      <c r="D753" s="1" t="b">
        <v>0</v>
      </c>
      <c r="E753">
        <v>1.3999999999999999E-4</v>
      </c>
      <c r="F753">
        <v>3.8538719640000001</v>
      </c>
      <c r="G753">
        <v>39</v>
      </c>
      <c r="J753">
        <v>33</v>
      </c>
      <c r="K753">
        <v>4.4000000000000004</v>
      </c>
      <c r="L753">
        <v>3.9799999999999998E-5</v>
      </c>
      <c r="M753">
        <v>25</v>
      </c>
      <c r="N753" t="s">
        <v>2267</v>
      </c>
      <c r="O753" t="s">
        <v>29</v>
      </c>
      <c r="Q753" t="s">
        <v>2267</v>
      </c>
      <c r="U753" t="s">
        <v>2267</v>
      </c>
      <c r="W753" t="s">
        <v>2792</v>
      </c>
      <c r="X753" t="s">
        <v>2793</v>
      </c>
      <c r="Y753" t="s">
        <v>2794</v>
      </c>
      <c r="Z753">
        <v>610.53347040000006</v>
      </c>
    </row>
    <row r="754" spans="1:26" hidden="1">
      <c r="A754">
        <v>753</v>
      </c>
      <c r="B754" t="s">
        <v>2795</v>
      </c>
      <c r="C754" t="s">
        <v>28</v>
      </c>
      <c r="D754" s="1" t="b">
        <v>0</v>
      </c>
      <c r="E754">
        <v>5.1050000000000002E-3</v>
      </c>
      <c r="F754">
        <v>2.2920042540000001</v>
      </c>
      <c r="M754">
        <v>25</v>
      </c>
      <c r="N754" t="s">
        <v>484</v>
      </c>
      <c r="X754" t="s">
        <v>2796</v>
      </c>
      <c r="Y754" t="s">
        <v>2797</v>
      </c>
      <c r="Z754">
        <v>612.35927430000004</v>
      </c>
    </row>
    <row r="755" spans="1:26" hidden="1">
      <c r="A755">
        <v>754</v>
      </c>
      <c r="B755" t="s">
        <v>2798</v>
      </c>
      <c r="C755" t="s">
        <v>28</v>
      </c>
      <c r="D755" s="1" t="b">
        <v>0</v>
      </c>
      <c r="E755">
        <v>8.4004000000000001E-4</v>
      </c>
      <c r="F755">
        <v>3.0756999999999999</v>
      </c>
      <c r="M755">
        <v>25</v>
      </c>
      <c r="N755" t="s">
        <v>1849</v>
      </c>
      <c r="X755" t="s">
        <v>2799</v>
      </c>
      <c r="Y755" t="s">
        <v>2800</v>
      </c>
      <c r="Z755">
        <v>668.42187460000002</v>
      </c>
    </row>
    <row r="756" spans="1:26" hidden="1">
      <c r="A756">
        <v>755</v>
      </c>
      <c r="B756" t="s">
        <v>2801</v>
      </c>
      <c r="C756" t="s">
        <v>28</v>
      </c>
      <c r="D756" s="1" t="b">
        <v>0</v>
      </c>
      <c r="E756">
        <v>1.58016E-4</v>
      </c>
      <c r="F756">
        <v>3.8012999999999999</v>
      </c>
      <c r="M756">
        <v>25</v>
      </c>
      <c r="N756" t="s">
        <v>1849</v>
      </c>
      <c r="W756" t="s">
        <v>2802</v>
      </c>
      <c r="X756" t="s">
        <v>2803</v>
      </c>
      <c r="Y756" t="s">
        <v>2804</v>
      </c>
      <c r="Z756">
        <v>724.48447480000004</v>
      </c>
    </row>
    <row r="757" spans="1:26" hidden="1">
      <c r="A757">
        <v>756</v>
      </c>
      <c r="B757" t="s">
        <v>2805</v>
      </c>
      <c r="C757" t="s">
        <v>28</v>
      </c>
      <c r="D757" s="1" t="b">
        <v>0</v>
      </c>
      <c r="E757">
        <v>1.8001099999999999E-4</v>
      </c>
      <c r="F757">
        <v>3.7446999999999999</v>
      </c>
      <c r="G757">
        <v>39.6</v>
      </c>
      <c r="H757">
        <v>1.3799999999999999E-6</v>
      </c>
      <c r="I757">
        <v>1.2</v>
      </c>
      <c r="J757">
        <v>32.4</v>
      </c>
      <c r="K757">
        <v>4.269336386</v>
      </c>
      <c r="L757">
        <v>1.3991065E-2</v>
      </c>
      <c r="M757">
        <v>25</v>
      </c>
      <c r="N757" t="s">
        <v>1911</v>
      </c>
      <c r="O757" t="s">
        <v>29</v>
      </c>
      <c r="Q757" t="s">
        <v>1912</v>
      </c>
      <c r="R757" t="s">
        <v>1912</v>
      </c>
      <c r="U757" t="s">
        <v>31</v>
      </c>
      <c r="V757" t="s">
        <v>31</v>
      </c>
      <c r="W757" t="s">
        <v>2806</v>
      </c>
      <c r="X757" t="s">
        <v>2807</v>
      </c>
      <c r="Y757" t="s">
        <v>2808</v>
      </c>
      <c r="Z757">
        <v>710.46882479999999</v>
      </c>
    </row>
    <row r="758" spans="1:26" hidden="1">
      <c r="A758">
        <v>757</v>
      </c>
      <c r="B758" t="s">
        <v>2809</v>
      </c>
      <c r="C758" t="s">
        <v>28</v>
      </c>
      <c r="D758" s="1" t="b">
        <v>0</v>
      </c>
      <c r="E758">
        <v>1.20005E-4</v>
      </c>
      <c r="F758">
        <v>3.9207999999999998</v>
      </c>
      <c r="M758">
        <v>25</v>
      </c>
      <c r="N758" t="s">
        <v>1849</v>
      </c>
      <c r="X758" t="s">
        <v>2810</v>
      </c>
      <c r="Y758" t="s">
        <v>2811</v>
      </c>
      <c r="Z758">
        <v>725.47972379999999</v>
      </c>
    </row>
    <row r="759" spans="1:26" hidden="1">
      <c r="A759">
        <v>758</v>
      </c>
      <c r="B759" t="s">
        <v>2812</v>
      </c>
      <c r="C759" t="s">
        <v>28</v>
      </c>
      <c r="D759" s="1" t="b">
        <v>0</v>
      </c>
      <c r="E759">
        <v>1.9002E-4</v>
      </c>
      <c r="F759">
        <v>3.7212000000000001</v>
      </c>
      <c r="M759">
        <v>25</v>
      </c>
      <c r="N759" t="s">
        <v>1849</v>
      </c>
      <c r="X759" t="s">
        <v>2813</v>
      </c>
      <c r="Y759" t="s">
        <v>2814</v>
      </c>
      <c r="Z759">
        <v>712.44808929999999</v>
      </c>
    </row>
    <row r="760" spans="1:26" hidden="1">
      <c r="A760">
        <v>759</v>
      </c>
      <c r="B760" t="s">
        <v>2815</v>
      </c>
      <c r="C760" t="s">
        <v>28</v>
      </c>
      <c r="D760" s="1" t="b">
        <v>0</v>
      </c>
      <c r="E760">
        <v>1.3499000000000001E-4</v>
      </c>
      <c r="F760">
        <v>3.8696999999999999</v>
      </c>
      <c r="M760">
        <v>25</v>
      </c>
      <c r="N760" t="s">
        <v>1849</v>
      </c>
      <c r="X760" t="s">
        <v>2816</v>
      </c>
      <c r="Y760" t="s">
        <v>2817</v>
      </c>
      <c r="Z760">
        <v>696.45317469999998</v>
      </c>
    </row>
    <row r="761" spans="1:26" hidden="1">
      <c r="A761">
        <v>760</v>
      </c>
      <c r="B761" t="s">
        <v>2818</v>
      </c>
      <c r="C761" t="s">
        <v>28</v>
      </c>
      <c r="D761" s="1" t="b">
        <v>0</v>
      </c>
      <c r="G761">
        <v>42</v>
      </c>
      <c r="O761" t="s">
        <v>29</v>
      </c>
      <c r="Q761" t="s">
        <v>2313</v>
      </c>
      <c r="X761" t="s">
        <v>2819</v>
      </c>
      <c r="Y761" t="s">
        <v>2820</v>
      </c>
      <c r="Z761">
        <v>608.55420590000006</v>
      </c>
    </row>
    <row r="762" spans="1:26" hidden="1">
      <c r="A762">
        <v>761</v>
      </c>
      <c r="B762" t="s">
        <v>2821</v>
      </c>
      <c r="C762" t="s">
        <v>28</v>
      </c>
      <c r="D762" s="1" t="b">
        <v>0</v>
      </c>
      <c r="E762">
        <v>2.1800000000000001E-4</v>
      </c>
      <c r="F762">
        <v>3.6615435060000001</v>
      </c>
      <c r="G762">
        <v>40.9</v>
      </c>
      <c r="H762">
        <v>1.24E-6</v>
      </c>
      <c r="I762">
        <v>1.34</v>
      </c>
      <c r="J762">
        <v>31.1</v>
      </c>
      <c r="K762">
        <v>4.13</v>
      </c>
      <c r="L762">
        <v>7.4099999999999999E-5</v>
      </c>
      <c r="M762">
        <v>25</v>
      </c>
      <c r="N762" t="s">
        <v>2325</v>
      </c>
      <c r="O762" t="s">
        <v>29</v>
      </c>
      <c r="Q762" t="s">
        <v>2325</v>
      </c>
      <c r="R762" t="s">
        <v>2325</v>
      </c>
      <c r="S762" t="s">
        <v>2325</v>
      </c>
      <c r="T762" t="s">
        <v>2325</v>
      </c>
      <c r="U762" t="s">
        <v>2325</v>
      </c>
      <c r="X762" t="s">
        <v>2822</v>
      </c>
      <c r="Y762" t="s">
        <v>2823</v>
      </c>
      <c r="Z762">
        <v>886.52740229999995</v>
      </c>
    </row>
    <row r="763" spans="1:26">
      <c r="A763">
        <v>762</v>
      </c>
      <c r="B763" t="s">
        <v>2824</v>
      </c>
      <c r="C763" t="s">
        <v>311</v>
      </c>
      <c r="D763" s="1" t="b">
        <v>1</v>
      </c>
      <c r="E763">
        <v>3.2000000000000003E-4</v>
      </c>
      <c r="F763">
        <v>3.4948500220000001</v>
      </c>
      <c r="G763" s="2"/>
      <c r="H763" s="2"/>
      <c r="I763" s="2"/>
      <c r="J763" s="2"/>
      <c r="K763" s="2"/>
      <c r="L763" s="2"/>
      <c r="M763">
        <v>25</v>
      </c>
      <c r="N763" t="s">
        <v>1574</v>
      </c>
      <c r="P763" t="s">
        <v>103</v>
      </c>
      <c r="W763" t="s">
        <v>2825</v>
      </c>
      <c r="X763" t="s">
        <v>2826</v>
      </c>
      <c r="Y763" t="s">
        <v>2827</v>
      </c>
      <c r="Z763">
        <v>363.28071519999997</v>
      </c>
    </row>
    <row r="764" spans="1:26" hidden="1">
      <c r="A764">
        <v>763</v>
      </c>
      <c r="B764" t="s">
        <v>2828</v>
      </c>
      <c r="C764" t="s">
        <v>28</v>
      </c>
      <c r="D764" s="1" t="b">
        <v>0</v>
      </c>
      <c r="E764">
        <v>1.1E-4</v>
      </c>
      <c r="F764">
        <v>3.9586073150000001</v>
      </c>
      <c r="G764">
        <v>41.8</v>
      </c>
      <c r="J764">
        <v>30.2</v>
      </c>
      <c r="K764">
        <v>4.5</v>
      </c>
      <c r="L764">
        <v>3.1600000000000002E-5</v>
      </c>
      <c r="M764">
        <v>25</v>
      </c>
      <c r="N764" t="s">
        <v>2267</v>
      </c>
      <c r="O764" t="s">
        <v>29</v>
      </c>
      <c r="Q764" t="s">
        <v>2267</v>
      </c>
      <c r="U764" t="s">
        <v>2267</v>
      </c>
      <c r="W764" t="s">
        <v>2792</v>
      </c>
      <c r="X764" t="s">
        <v>2829</v>
      </c>
      <c r="Y764" t="s">
        <v>2830</v>
      </c>
      <c r="Z764">
        <v>594.53855580000004</v>
      </c>
    </row>
    <row r="765" spans="1:26" hidden="1">
      <c r="A765">
        <v>764</v>
      </c>
      <c r="B765" t="s">
        <v>2831</v>
      </c>
      <c r="C765" t="s">
        <v>28</v>
      </c>
      <c r="D765" s="1" t="b">
        <v>0</v>
      </c>
      <c r="E765">
        <v>1.2E-4</v>
      </c>
      <c r="F765">
        <v>3.9208187539999999</v>
      </c>
      <c r="G765">
        <v>38</v>
      </c>
      <c r="H765">
        <v>1.6199999999999999E-6</v>
      </c>
      <c r="I765">
        <v>1.03</v>
      </c>
      <c r="J765">
        <v>34</v>
      </c>
      <c r="K765">
        <v>4.4253973569999996</v>
      </c>
      <c r="L765">
        <v>1.1969453999999999E-2</v>
      </c>
      <c r="M765">
        <v>25</v>
      </c>
      <c r="N765" t="s">
        <v>1912</v>
      </c>
      <c r="O765" t="s">
        <v>29</v>
      </c>
      <c r="Q765" t="s">
        <v>1912</v>
      </c>
      <c r="R765" t="s">
        <v>1912</v>
      </c>
      <c r="U765" t="s">
        <v>31</v>
      </c>
      <c r="V765" t="s">
        <v>31</v>
      </c>
      <c r="W765" t="s">
        <v>2832</v>
      </c>
      <c r="X765" t="s">
        <v>2833</v>
      </c>
      <c r="Y765" t="s">
        <v>2834</v>
      </c>
      <c r="Z765">
        <v>725.47972379999999</v>
      </c>
    </row>
    <row r="766" spans="1:26" hidden="1">
      <c r="A766">
        <v>765</v>
      </c>
      <c r="B766" t="s">
        <v>2835</v>
      </c>
      <c r="C766" t="s">
        <v>54</v>
      </c>
      <c r="D766" s="1" t="b">
        <v>0</v>
      </c>
      <c r="G766">
        <v>32</v>
      </c>
      <c r="O766" t="s">
        <v>29</v>
      </c>
      <c r="Q766" t="s">
        <v>1888</v>
      </c>
      <c r="X766" t="s">
        <v>2836</v>
      </c>
      <c r="Y766" t="s">
        <v>2837</v>
      </c>
      <c r="Z766">
        <v>936.55105500000002</v>
      </c>
    </row>
    <row r="767" spans="1:26" hidden="1">
      <c r="A767">
        <v>766</v>
      </c>
      <c r="B767" t="s">
        <v>2838</v>
      </c>
      <c r="C767" t="s">
        <v>54</v>
      </c>
      <c r="D767" s="1" t="b">
        <v>0</v>
      </c>
      <c r="G767">
        <v>27.8</v>
      </c>
      <c r="O767" t="s">
        <v>29</v>
      </c>
      <c r="Q767" t="s">
        <v>1888</v>
      </c>
      <c r="X767" t="s">
        <v>2839</v>
      </c>
      <c r="Y767" t="s">
        <v>2840</v>
      </c>
      <c r="Z767">
        <v>536.31887029999996</v>
      </c>
    </row>
    <row r="768" spans="1:26" hidden="1">
      <c r="A768">
        <v>767</v>
      </c>
      <c r="B768" t="s">
        <v>2841</v>
      </c>
      <c r="C768" t="s">
        <v>28</v>
      </c>
      <c r="D768" s="1" t="b">
        <v>0</v>
      </c>
      <c r="E768">
        <v>6.4699999999999999E-6</v>
      </c>
      <c r="F768">
        <v>5.189095719</v>
      </c>
      <c r="G768">
        <v>32.1</v>
      </c>
      <c r="H768">
        <v>9.7000000000000003E-7</v>
      </c>
      <c r="I768">
        <v>1.7</v>
      </c>
      <c r="J768">
        <v>39.9</v>
      </c>
      <c r="K768">
        <v>6.0874722840000004</v>
      </c>
      <c r="L768">
        <v>2.2711419999999999E-3</v>
      </c>
      <c r="M768">
        <v>25</v>
      </c>
      <c r="N768" t="s">
        <v>2842</v>
      </c>
      <c r="O768" t="s">
        <v>29</v>
      </c>
      <c r="Q768" t="s">
        <v>2842</v>
      </c>
      <c r="R768" t="s">
        <v>2842</v>
      </c>
      <c r="T768" t="s">
        <v>2842</v>
      </c>
      <c r="U768" t="s">
        <v>31</v>
      </c>
      <c r="V768" t="s">
        <v>31</v>
      </c>
      <c r="W768" t="s">
        <v>2843</v>
      </c>
      <c r="X768" t="s">
        <v>2844</v>
      </c>
      <c r="Y768" t="s">
        <v>2845</v>
      </c>
      <c r="Z768">
        <v>1058.682836</v>
      </c>
    </row>
    <row r="769" spans="1:26" hidden="1">
      <c r="A769">
        <v>768</v>
      </c>
      <c r="B769" t="s">
        <v>2846</v>
      </c>
      <c r="C769" t="s">
        <v>28</v>
      </c>
      <c r="D769" s="1" t="b">
        <v>0</v>
      </c>
      <c r="G769">
        <v>32.799999999999997</v>
      </c>
      <c r="O769" t="s">
        <v>29</v>
      </c>
      <c r="Q769" t="s">
        <v>1895</v>
      </c>
      <c r="X769" t="s">
        <v>2847</v>
      </c>
      <c r="Y769" t="s">
        <v>2848</v>
      </c>
      <c r="Z769">
        <v>724.56516450000004</v>
      </c>
    </row>
    <row r="770" spans="1:26" hidden="1">
      <c r="A770">
        <v>769</v>
      </c>
      <c r="B770" t="s">
        <v>2849</v>
      </c>
      <c r="C770" t="s">
        <v>28</v>
      </c>
      <c r="D770" s="1" t="b">
        <v>0</v>
      </c>
      <c r="G770">
        <v>32.6</v>
      </c>
      <c r="O770" t="s">
        <v>29</v>
      </c>
      <c r="Q770" t="s">
        <v>1895</v>
      </c>
      <c r="X770" t="s">
        <v>2850</v>
      </c>
      <c r="Y770" t="s">
        <v>2851</v>
      </c>
      <c r="Z770">
        <v>780.62776469999994</v>
      </c>
    </row>
    <row r="771" spans="1:26" hidden="1">
      <c r="A771">
        <v>770</v>
      </c>
      <c r="B771" t="s">
        <v>2852</v>
      </c>
      <c r="C771" t="s">
        <v>28</v>
      </c>
      <c r="D771" s="1" t="b">
        <v>0</v>
      </c>
      <c r="E771">
        <v>5.8E-5</v>
      </c>
      <c r="F771">
        <v>4.2365720060000003</v>
      </c>
      <c r="G771">
        <v>39</v>
      </c>
      <c r="H771">
        <v>1.1000000000000001E-6</v>
      </c>
      <c r="I771">
        <v>1.56</v>
      </c>
      <c r="J771">
        <v>33</v>
      </c>
      <c r="K771">
        <v>4.88</v>
      </c>
      <c r="L771">
        <v>1.3200000000000001E-5</v>
      </c>
      <c r="M771">
        <v>25</v>
      </c>
      <c r="N771" t="s">
        <v>1902</v>
      </c>
      <c r="O771" t="s">
        <v>29</v>
      </c>
      <c r="Q771" t="s">
        <v>1903</v>
      </c>
      <c r="R771" t="s">
        <v>1903</v>
      </c>
      <c r="T771" t="s">
        <v>1903</v>
      </c>
      <c r="U771" t="s">
        <v>1903</v>
      </c>
      <c r="W771" t="s">
        <v>2853</v>
      </c>
      <c r="X771" t="s">
        <v>2854</v>
      </c>
      <c r="Y771" t="s">
        <v>2855</v>
      </c>
      <c r="Z771">
        <v>712.44808929999999</v>
      </c>
    </row>
    <row r="772" spans="1:26" hidden="1">
      <c r="A772">
        <v>771</v>
      </c>
      <c r="B772" t="s">
        <v>2856</v>
      </c>
      <c r="C772" t="s">
        <v>1848</v>
      </c>
      <c r="D772" s="1" t="b">
        <v>0</v>
      </c>
      <c r="E772" s="4">
        <v>6.1E-6</v>
      </c>
      <c r="F772">
        <v>5.2146999999999997</v>
      </c>
      <c r="M772">
        <v>25</v>
      </c>
      <c r="N772" t="s">
        <v>1849</v>
      </c>
      <c r="X772" t="s">
        <v>2857</v>
      </c>
      <c r="Y772" t="s">
        <v>2858</v>
      </c>
      <c r="Z772">
        <v>477.39469589999999</v>
      </c>
    </row>
    <row r="773" spans="1:26" hidden="1">
      <c r="A773">
        <v>772</v>
      </c>
      <c r="B773" t="s">
        <v>2859</v>
      </c>
      <c r="C773" t="s">
        <v>1848</v>
      </c>
      <c r="D773" s="1" t="b">
        <v>0</v>
      </c>
      <c r="E773" s="4">
        <v>5.3000000000000001E-6</v>
      </c>
      <c r="F773">
        <v>5.2756999999999996</v>
      </c>
      <c r="M773">
        <v>25</v>
      </c>
      <c r="N773" t="s">
        <v>1849</v>
      </c>
      <c r="X773" t="s">
        <v>2860</v>
      </c>
      <c r="Y773" t="s">
        <v>2861</v>
      </c>
      <c r="Z773">
        <v>505.425996</v>
      </c>
    </row>
    <row r="774" spans="1:26" hidden="1">
      <c r="A774">
        <v>773</v>
      </c>
      <c r="B774" t="s">
        <v>2862</v>
      </c>
      <c r="C774" t="s">
        <v>1848</v>
      </c>
      <c r="D774" s="1" t="b">
        <v>0</v>
      </c>
      <c r="E774" s="4">
        <v>4.3000000000000003E-6</v>
      </c>
      <c r="F774">
        <v>5.3665000000000003</v>
      </c>
      <c r="M774">
        <v>25</v>
      </c>
      <c r="N774" t="s">
        <v>1849</v>
      </c>
      <c r="X774" t="s">
        <v>2863</v>
      </c>
      <c r="Y774" t="s">
        <v>2864</v>
      </c>
      <c r="Z774">
        <v>533.45729619999997</v>
      </c>
    </row>
    <row r="775" spans="1:26" hidden="1">
      <c r="A775">
        <v>774</v>
      </c>
      <c r="B775" t="s">
        <v>2865</v>
      </c>
      <c r="C775" t="s">
        <v>28</v>
      </c>
      <c r="D775" s="1" t="b">
        <v>0</v>
      </c>
      <c r="G775">
        <v>32.5</v>
      </c>
      <c r="O775" t="s">
        <v>29</v>
      </c>
      <c r="Q775" t="s">
        <v>2374</v>
      </c>
      <c r="X775" t="s">
        <v>2866</v>
      </c>
      <c r="Y775" t="s">
        <v>2867</v>
      </c>
      <c r="Z775">
        <v>932.64006070000005</v>
      </c>
    </row>
    <row r="776" spans="1:26" hidden="1">
      <c r="A776">
        <v>775</v>
      </c>
      <c r="B776" t="s">
        <v>2868</v>
      </c>
      <c r="C776" t="s">
        <v>28</v>
      </c>
      <c r="D776" s="1" t="b">
        <v>0</v>
      </c>
      <c r="E776">
        <v>1E-4</v>
      </c>
      <c r="F776">
        <v>4</v>
      </c>
      <c r="G776">
        <v>33.9</v>
      </c>
      <c r="H776">
        <v>1.46E-6</v>
      </c>
      <c r="I776">
        <v>1.1399999999999999</v>
      </c>
      <c r="J776">
        <v>38.1</v>
      </c>
      <c r="K776">
        <v>4.7238382479999999</v>
      </c>
      <c r="L776">
        <v>8.8810250000000007E-3</v>
      </c>
      <c r="M776">
        <v>25</v>
      </c>
      <c r="N776" t="s">
        <v>1911</v>
      </c>
      <c r="O776" t="s">
        <v>29</v>
      </c>
      <c r="Q776" t="s">
        <v>1912</v>
      </c>
      <c r="R776" t="s">
        <v>1912</v>
      </c>
      <c r="U776" t="s">
        <v>31</v>
      </c>
      <c r="V776" t="s">
        <v>31</v>
      </c>
      <c r="W776" t="s">
        <v>2869</v>
      </c>
      <c r="X776" t="s">
        <v>2870</v>
      </c>
      <c r="Y776" t="s">
        <v>2871</v>
      </c>
      <c r="Z776">
        <v>728.4252457</v>
      </c>
    </row>
    <row r="777" spans="1:26" hidden="1">
      <c r="A777">
        <v>776</v>
      </c>
      <c r="B777" t="s">
        <v>2872</v>
      </c>
      <c r="C777" t="s">
        <v>28</v>
      </c>
      <c r="D777" s="1" t="b">
        <v>0</v>
      </c>
      <c r="E777">
        <v>1.505E-4</v>
      </c>
      <c r="F777">
        <v>3.8224635</v>
      </c>
      <c r="G777">
        <v>41</v>
      </c>
      <c r="H777">
        <v>1.6899999999999999E-6</v>
      </c>
      <c r="I777">
        <v>1.47</v>
      </c>
      <c r="J777">
        <v>30.18</v>
      </c>
      <c r="K777">
        <v>4.2699999999999996</v>
      </c>
      <c r="L777">
        <v>1.6799999999999999E-4</v>
      </c>
      <c r="M777">
        <v>29.85</v>
      </c>
      <c r="N777" t="s">
        <v>2214</v>
      </c>
      <c r="O777" t="s">
        <v>29</v>
      </c>
      <c r="Q777" t="s">
        <v>2214</v>
      </c>
      <c r="R777" t="s">
        <v>2214</v>
      </c>
      <c r="S777" t="s">
        <v>31</v>
      </c>
      <c r="T777" t="s">
        <v>2214</v>
      </c>
      <c r="U777" t="s">
        <v>2214</v>
      </c>
      <c r="W777" t="s">
        <v>2873</v>
      </c>
      <c r="X777" t="s">
        <v>2874</v>
      </c>
      <c r="Y777" t="s">
        <v>2875</v>
      </c>
      <c r="Z777">
        <v>668.42187460000002</v>
      </c>
    </row>
    <row r="778" spans="1:26" hidden="1">
      <c r="A778">
        <v>777</v>
      </c>
      <c r="B778" t="s">
        <v>2876</v>
      </c>
      <c r="C778" t="s">
        <v>54</v>
      </c>
      <c r="D778" s="1" t="b">
        <v>0</v>
      </c>
      <c r="E778">
        <v>1.1999999999999999E-3</v>
      </c>
      <c r="F778">
        <v>2.9208187539999999</v>
      </c>
      <c r="G778">
        <v>41.8</v>
      </c>
      <c r="H778">
        <v>1.77E-6</v>
      </c>
      <c r="I778">
        <v>0.94</v>
      </c>
      <c r="J778">
        <v>30.2</v>
      </c>
      <c r="K778">
        <v>3.44</v>
      </c>
      <c r="L778">
        <v>3.6299999999999999E-4</v>
      </c>
      <c r="M778">
        <v>25</v>
      </c>
      <c r="N778" t="s">
        <v>1917</v>
      </c>
      <c r="O778" t="s">
        <v>29</v>
      </c>
      <c r="Q778" t="s">
        <v>1917</v>
      </c>
      <c r="R778" t="s">
        <v>1917</v>
      </c>
      <c r="T778" t="s">
        <v>1917</v>
      </c>
      <c r="U778" t="s">
        <v>1917</v>
      </c>
      <c r="W778" t="s">
        <v>2877</v>
      </c>
      <c r="X778" t="s">
        <v>2878</v>
      </c>
      <c r="Y778" t="s">
        <v>2879</v>
      </c>
      <c r="Z778">
        <v>397.3111427</v>
      </c>
    </row>
    <row r="779" spans="1:26" hidden="1">
      <c r="A779">
        <v>778</v>
      </c>
      <c r="B779" t="s">
        <v>2880</v>
      </c>
      <c r="C779" t="s">
        <v>54</v>
      </c>
      <c r="D779" s="1" t="b">
        <v>0</v>
      </c>
      <c r="E779">
        <v>1.8799999999999999E-3</v>
      </c>
      <c r="F779">
        <v>2.7258421510000002</v>
      </c>
      <c r="G779">
        <v>39.200000000000003</v>
      </c>
      <c r="H779">
        <v>1.59E-6</v>
      </c>
      <c r="I779">
        <v>1.05</v>
      </c>
      <c r="J779">
        <v>32.799999999999997</v>
      </c>
      <c r="K779">
        <v>3.37</v>
      </c>
      <c r="L779">
        <v>4.2700000000000002E-4</v>
      </c>
      <c r="M779">
        <v>25</v>
      </c>
      <c r="N779" t="s">
        <v>1917</v>
      </c>
      <c r="O779" t="s">
        <v>29</v>
      </c>
      <c r="Q779" t="s">
        <v>1917</v>
      </c>
      <c r="R779" t="s">
        <v>1917</v>
      </c>
      <c r="T779" t="s">
        <v>1917</v>
      </c>
      <c r="U779" t="s">
        <v>1917</v>
      </c>
      <c r="W779" t="s">
        <v>2881</v>
      </c>
      <c r="X779" t="s">
        <v>2882</v>
      </c>
      <c r="Y779" t="s">
        <v>2883</v>
      </c>
      <c r="Z779">
        <v>367.30057799999997</v>
      </c>
    </row>
    <row r="780" spans="1:26" hidden="1">
      <c r="A780">
        <v>779</v>
      </c>
      <c r="B780" t="s">
        <v>2884</v>
      </c>
      <c r="C780" t="s">
        <v>54</v>
      </c>
      <c r="D780" s="1" t="b">
        <v>0</v>
      </c>
      <c r="E780">
        <v>1.4300000000000001E-3</v>
      </c>
      <c r="F780">
        <v>2.8446639629999999</v>
      </c>
      <c r="G780">
        <v>42</v>
      </c>
      <c r="H780">
        <v>1.9599999999999999E-6</v>
      </c>
      <c r="I780">
        <v>0.85</v>
      </c>
      <c r="J780">
        <v>30</v>
      </c>
      <c r="K780">
        <v>3.29</v>
      </c>
      <c r="L780">
        <v>5.1400000000000003E-4</v>
      </c>
      <c r="M780">
        <v>25</v>
      </c>
      <c r="N780" t="s">
        <v>1926</v>
      </c>
      <c r="O780" t="s">
        <v>29</v>
      </c>
      <c r="Q780" t="s">
        <v>1926</v>
      </c>
      <c r="R780" t="s">
        <v>1926</v>
      </c>
      <c r="T780" t="s">
        <v>1926</v>
      </c>
      <c r="U780" t="s">
        <v>1926</v>
      </c>
      <c r="W780" t="s">
        <v>2885</v>
      </c>
      <c r="X780" t="s">
        <v>2886</v>
      </c>
      <c r="Y780" t="s">
        <v>2887</v>
      </c>
      <c r="Z780">
        <v>397.3111427</v>
      </c>
    </row>
    <row r="781" spans="1:26" hidden="1">
      <c r="A781">
        <v>780</v>
      </c>
      <c r="B781" t="s">
        <v>2888</v>
      </c>
      <c r="C781" t="s">
        <v>54</v>
      </c>
      <c r="D781" s="1" t="b">
        <v>0</v>
      </c>
      <c r="E781">
        <v>2.7999999999999998E-4</v>
      </c>
      <c r="F781">
        <v>3.5528419690000002</v>
      </c>
      <c r="G781">
        <v>36.5</v>
      </c>
      <c r="H781">
        <v>2.0499999999999999E-6</v>
      </c>
      <c r="I781">
        <v>0.81</v>
      </c>
      <c r="J781">
        <v>35.28</v>
      </c>
      <c r="K781">
        <v>3.93</v>
      </c>
      <c r="L781">
        <v>1.17E-4</v>
      </c>
      <c r="M781">
        <v>25</v>
      </c>
      <c r="N781" t="s">
        <v>2398</v>
      </c>
      <c r="O781" t="s">
        <v>29</v>
      </c>
      <c r="Q781" t="s">
        <v>2398</v>
      </c>
      <c r="R781" t="s">
        <v>2398</v>
      </c>
      <c r="S781" t="s">
        <v>2398</v>
      </c>
      <c r="T781" t="s">
        <v>2398</v>
      </c>
      <c r="U781" t="s">
        <v>2398</v>
      </c>
      <c r="V781" t="s">
        <v>2398</v>
      </c>
      <c r="W781" t="s">
        <v>2889</v>
      </c>
      <c r="X781" t="s">
        <v>2890</v>
      </c>
      <c r="Y781" t="s">
        <v>2891</v>
      </c>
      <c r="Z781">
        <v>551.29477580000002</v>
      </c>
    </row>
    <row r="782" spans="1:26" hidden="1">
      <c r="A782">
        <v>781</v>
      </c>
      <c r="B782" t="s">
        <v>2892</v>
      </c>
      <c r="C782" t="s">
        <v>54</v>
      </c>
      <c r="D782" s="1" t="b">
        <v>0</v>
      </c>
      <c r="E782">
        <v>6.0999999999999997E-4</v>
      </c>
      <c r="F782">
        <v>3.2146701649999998</v>
      </c>
      <c r="G782">
        <v>38.1</v>
      </c>
      <c r="H782">
        <v>1.9300000000000002E-6</v>
      </c>
      <c r="I782">
        <v>0.86</v>
      </c>
      <c r="J782">
        <v>33.68</v>
      </c>
      <c r="K782">
        <v>3.83</v>
      </c>
      <c r="L782">
        <v>1.4799999999999999E-4</v>
      </c>
      <c r="M782">
        <v>25</v>
      </c>
      <c r="N782" t="s">
        <v>2398</v>
      </c>
      <c r="O782" t="s">
        <v>29</v>
      </c>
      <c r="Q782" t="s">
        <v>2398</v>
      </c>
      <c r="R782" t="s">
        <v>2398</v>
      </c>
      <c r="S782" t="s">
        <v>2398</v>
      </c>
      <c r="T782" t="s">
        <v>2398</v>
      </c>
      <c r="U782" t="s">
        <v>2398</v>
      </c>
      <c r="V782" t="s">
        <v>2398</v>
      </c>
      <c r="W782" t="s">
        <v>2893</v>
      </c>
      <c r="X782" t="s">
        <v>2894</v>
      </c>
      <c r="Y782" t="s">
        <v>2895</v>
      </c>
      <c r="Z782">
        <v>553.27404039999999</v>
      </c>
    </row>
    <row r="783" spans="1:26" hidden="1">
      <c r="A783">
        <v>782</v>
      </c>
      <c r="B783" t="s">
        <v>2896</v>
      </c>
      <c r="C783" t="s">
        <v>54</v>
      </c>
      <c r="D783" s="1" t="b">
        <v>0</v>
      </c>
      <c r="E783">
        <v>4.7499999999999999E-3</v>
      </c>
      <c r="F783">
        <v>2.3233063899999999</v>
      </c>
      <c r="G783">
        <v>28.2</v>
      </c>
      <c r="H783">
        <v>1.4500000000000001E-6</v>
      </c>
      <c r="I783">
        <v>1.1399999999999999</v>
      </c>
      <c r="J783">
        <v>43.7</v>
      </c>
      <c r="K783">
        <v>3.69</v>
      </c>
      <c r="L783">
        <v>2.03E-4</v>
      </c>
      <c r="M783">
        <v>25</v>
      </c>
      <c r="N783" t="s">
        <v>2897</v>
      </c>
      <c r="O783" t="s">
        <v>29</v>
      </c>
      <c r="Q783" t="s">
        <v>2897</v>
      </c>
      <c r="R783" t="s">
        <v>2897</v>
      </c>
      <c r="T783" t="s">
        <v>2897</v>
      </c>
      <c r="U783" t="s">
        <v>2897</v>
      </c>
      <c r="W783" t="s">
        <v>2898</v>
      </c>
      <c r="X783" t="s">
        <v>2899</v>
      </c>
      <c r="Y783" t="s">
        <v>2900</v>
      </c>
      <c r="Z783">
        <v>586.31926420000002</v>
      </c>
    </row>
    <row r="784" spans="1:26" hidden="1">
      <c r="A784">
        <v>783</v>
      </c>
      <c r="B784" t="s">
        <v>2901</v>
      </c>
      <c r="C784" t="s">
        <v>54</v>
      </c>
      <c r="D784" s="1" t="b">
        <v>0</v>
      </c>
      <c r="E784">
        <v>1.2600000000000001E-3</v>
      </c>
      <c r="F784">
        <v>2.8996294549999999</v>
      </c>
      <c r="G784">
        <v>33.299999999999997</v>
      </c>
      <c r="H784">
        <v>1.88E-6</v>
      </c>
      <c r="I784">
        <v>0.89</v>
      </c>
      <c r="J784">
        <v>38.700000000000003</v>
      </c>
      <c r="K784">
        <v>3.75</v>
      </c>
      <c r="L784">
        <v>1.7699999999999999E-4</v>
      </c>
      <c r="M784">
        <v>25</v>
      </c>
      <c r="N784" t="s">
        <v>2902</v>
      </c>
      <c r="O784" t="s">
        <v>29</v>
      </c>
      <c r="Q784" t="s">
        <v>2902</v>
      </c>
      <c r="R784" t="s">
        <v>2902</v>
      </c>
      <c r="S784" t="s">
        <v>2902</v>
      </c>
      <c r="T784" t="s">
        <v>2902</v>
      </c>
      <c r="U784" t="s">
        <v>2902</v>
      </c>
      <c r="W784" t="s">
        <v>2903</v>
      </c>
      <c r="X784" t="s">
        <v>2904</v>
      </c>
      <c r="Y784" t="s">
        <v>2905</v>
      </c>
      <c r="Z784">
        <v>395.23989169999999</v>
      </c>
    </row>
    <row r="785" spans="1:26">
      <c r="A785">
        <v>784</v>
      </c>
      <c r="B785" s="2" t="s">
        <v>2906</v>
      </c>
      <c r="C785" t="s">
        <v>54</v>
      </c>
      <c r="D785" s="1" t="b">
        <v>1</v>
      </c>
      <c r="E785">
        <v>2.8400000000000002E-4</v>
      </c>
      <c r="F785">
        <v>3.54668166</v>
      </c>
      <c r="G785">
        <v>30.8</v>
      </c>
      <c r="H785">
        <v>1.9700000000000002E-6</v>
      </c>
      <c r="I785">
        <v>0.84</v>
      </c>
      <c r="J785">
        <v>41.2</v>
      </c>
      <c r="K785">
        <v>4.49</v>
      </c>
      <c r="L785">
        <v>3.2100000000000001E-5</v>
      </c>
      <c r="M785">
        <v>25</v>
      </c>
      <c r="N785" t="s">
        <v>2902</v>
      </c>
      <c r="O785" t="s">
        <v>29</v>
      </c>
      <c r="Q785" t="s">
        <v>2902</v>
      </c>
      <c r="R785" t="s">
        <v>2902</v>
      </c>
      <c r="S785" t="s">
        <v>2902</v>
      </c>
      <c r="T785" t="s">
        <v>2902</v>
      </c>
      <c r="U785" t="s">
        <v>2902</v>
      </c>
      <c r="W785" t="s">
        <v>2907</v>
      </c>
      <c r="X785" t="s">
        <v>2908</v>
      </c>
      <c r="Y785" t="s">
        <v>2909</v>
      </c>
      <c r="Z785">
        <v>350.20585190000003</v>
      </c>
    </row>
    <row r="786" spans="1:26" hidden="1">
      <c r="A786">
        <v>785</v>
      </c>
      <c r="B786" t="s">
        <v>2910</v>
      </c>
      <c r="C786" t="s">
        <v>54</v>
      </c>
      <c r="D786" s="1" t="b">
        <v>0</v>
      </c>
      <c r="E786">
        <v>2.13E-4</v>
      </c>
      <c r="F786">
        <v>3.6716203969999999</v>
      </c>
      <c r="G786">
        <v>37.700000000000003</v>
      </c>
      <c r="H786">
        <v>1.88E-6</v>
      </c>
      <c r="I786">
        <v>0.89</v>
      </c>
      <c r="J786">
        <v>34.299999999999997</v>
      </c>
      <c r="K786">
        <v>4.4400000000000004</v>
      </c>
      <c r="L786">
        <v>3.65E-5</v>
      </c>
      <c r="M786">
        <v>25</v>
      </c>
      <c r="N786" t="s">
        <v>2902</v>
      </c>
      <c r="O786" t="s">
        <v>29</v>
      </c>
      <c r="Q786" t="s">
        <v>2902</v>
      </c>
      <c r="R786" t="s">
        <v>2902</v>
      </c>
      <c r="S786" t="s">
        <v>2902</v>
      </c>
      <c r="T786" t="s">
        <v>2902</v>
      </c>
      <c r="U786" t="s">
        <v>2902</v>
      </c>
      <c r="W786" t="s">
        <v>2911</v>
      </c>
      <c r="X786" t="s">
        <v>2912</v>
      </c>
      <c r="Y786" t="s">
        <v>2913</v>
      </c>
      <c r="Z786">
        <v>467.29740659999999</v>
      </c>
    </row>
    <row r="787" spans="1:26" hidden="1">
      <c r="A787">
        <v>786</v>
      </c>
      <c r="B787" t="s">
        <v>2914</v>
      </c>
      <c r="C787" t="s">
        <v>28</v>
      </c>
      <c r="D787" s="1" t="b">
        <v>0</v>
      </c>
      <c r="E787">
        <v>1.9000000000000001E-4</v>
      </c>
      <c r="F787">
        <v>3.721246399</v>
      </c>
      <c r="G787">
        <v>47.2</v>
      </c>
      <c r="H787">
        <v>6.3E-7</v>
      </c>
      <c r="I787">
        <v>2.62</v>
      </c>
      <c r="J787">
        <v>24.8</v>
      </c>
      <c r="K787">
        <v>4.17</v>
      </c>
      <c r="L787">
        <v>6.7299999999999996E-5</v>
      </c>
      <c r="M787">
        <v>25</v>
      </c>
      <c r="N787" t="s">
        <v>2915</v>
      </c>
      <c r="O787" t="s">
        <v>29</v>
      </c>
      <c r="Q787" t="s">
        <v>2915</v>
      </c>
      <c r="R787" t="s">
        <v>2915</v>
      </c>
      <c r="T787" t="s">
        <v>2915</v>
      </c>
      <c r="V787" t="s">
        <v>2915</v>
      </c>
      <c r="W787" t="s">
        <v>2916</v>
      </c>
      <c r="X787" t="s">
        <v>2917</v>
      </c>
      <c r="Y787" t="s">
        <v>2918</v>
      </c>
      <c r="Z787">
        <v>750.62843339999995</v>
      </c>
    </row>
    <row r="788" spans="1:26" hidden="1">
      <c r="A788">
        <v>787</v>
      </c>
      <c r="B788" t="s">
        <v>2919</v>
      </c>
      <c r="C788" t="s">
        <v>54</v>
      </c>
      <c r="D788" s="1" t="b">
        <v>0</v>
      </c>
      <c r="E788">
        <v>3.0999999999999999E-3</v>
      </c>
      <c r="F788">
        <v>2.5086383059999999</v>
      </c>
      <c r="M788">
        <v>25</v>
      </c>
      <c r="N788" t="s">
        <v>89</v>
      </c>
      <c r="P788" t="s">
        <v>103</v>
      </c>
      <c r="W788" t="s">
        <v>2920</v>
      </c>
      <c r="X788" t="s">
        <v>2921</v>
      </c>
      <c r="Y788" t="s">
        <v>2922</v>
      </c>
      <c r="Z788">
        <v>377.26571250000001</v>
      </c>
    </row>
    <row r="789" spans="1:26" hidden="1">
      <c r="A789">
        <v>788</v>
      </c>
      <c r="B789" t="s">
        <v>2923</v>
      </c>
      <c r="C789" t="s">
        <v>54</v>
      </c>
      <c r="D789" s="1" t="b">
        <v>0</v>
      </c>
      <c r="G789">
        <v>43</v>
      </c>
      <c r="O789" t="s">
        <v>29</v>
      </c>
      <c r="Q789" t="s">
        <v>2924</v>
      </c>
      <c r="X789" t="s">
        <v>2925</v>
      </c>
      <c r="Y789" t="s">
        <v>2926</v>
      </c>
      <c r="Z789">
        <v>393.26062710000002</v>
      </c>
    </row>
    <row r="790" spans="1:26" hidden="1">
      <c r="A790">
        <v>789</v>
      </c>
      <c r="B790" t="s">
        <v>2927</v>
      </c>
      <c r="C790" t="s">
        <v>54</v>
      </c>
      <c r="D790" s="1" t="b">
        <v>0</v>
      </c>
      <c r="E790">
        <v>2.0999999999999999E-3</v>
      </c>
      <c r="F790">
        <v>2.677780705</v>
      </c>
      <c r="G790">
        <v>42.8</v>
      </c>
      <c r="J790">
        <v>29.2</v>
      </c>
      <c r="M790">
        <v>25</v>
      </c>
      <c r="N790" t="s">
        <v>89</v>
      </c>
      <c r="O790" t="s">
        <v>29</v>
      </c>
      <c r="P790" t="s">
        <v>103</v>
      </c>
      <c r="Q790" t="s">
        <v>578</v>
      </c>
      <c r="W790" t="s">
        <v>2928</v>
      </c>
      <c r="X790" t="s">
        <v>2929</v>
      </c>
      <c r="Y790" t="s">
        <v>2930</v>
      </c>
      <c r="Z790">
        <v>419.31266269999998</v>
      </c>
    </row>
    <row r="791" spans="1:26" hidden="1">
      <c r="A791">
        <v>790</v>
      </c>
      <c r="B791" t="s">
        <v>2931</v>
      </c>
      <c r="C791" t="s">
        <v>28</v>
      </c>
      <c r="D791" s="1" t="b">
        <v>0</v>
      </c>
      <c r="E791">
        <v>1.16E-4</v>
      </c>
      <c r="F791">
        <v>3.9355420109999999</v>
      </c>
      <c r="G791">
        <v>41</v>
      </c>
      <c r="H791">
        <v>8.8000000000000004E-7</v>
      </c>
      <c r="I791">
        <v>1.89</v>
      </c>
      <c r="J791">
        <v>30.97</v>
      </c>
      <c r="K791">
        <v>4.665378918</v>
      </c>
      <c r="L791">
        <v>9.4156799999999992E-3</v>
      </c>
      <c r="M791">
        <v>25</v>
      </c>
      <c r="N791" t="s">
        <v>2419</v>
      </c>
      <c r="O791" t="s">
        <v>29</v>
      </c>
      <c r="Q791" t="s">
        <v>2419</v>
      </c>
      <c r="R791" t="s">
        <v>2419</v>
      </c>
      <c r="S791" t="s">
        <v>31</v>
      </c>
      <c r="T791" t="s">
        <v>2419</v>
      </c>
      <c r="U791" t="s">
        <v>31</v>
      </c>
      <c r="V791" t="s">
        <v>31</v>
      </c>
      <c r="X791" t="s">
        <v>2932</v>
      </c>
      <c r="Y791" t="s">
        <v>2933</v>
      </c>
      <c r="Z791">
        <v>808.57837519999998</v>
      </c>
    </row>
    <row r="792" spans="1:26">
      <c r="A792">
        <v>791</v>
      </c>
      <c r="B792" t="s">
        <v>2934</v>
      </c>
      <c r="C792" t="s">
        <v>54</v>
      </c>
      <c r="D792" s="1" t="b">
        <v>1</v>
      </c>
      <c r="E792">
        <v>1.1999999999999999E-3</v>
      </c>
      <c r="F792">
        <v>2.9208187539999999</v>
      </c>
      <c r="G792" s="2"/>
      <c r="H792" s="2"/>
      <c r="I792" s="2"/>
      <c r="J792" s="2"/>
      <c r="K792" s="2"/>
      <c r="L792" s="2"/>
      <c r="M792">
        <v>25</v>
      </c>
      <c r="N792" t="s">
        <v>1574</v>
      </c>
      <c r="P792" t="s">
        <v>103</v>
      </c>
      <c r="W792" t="s">
        <v>2935</v>
      </c>
      <c r="X792" t="s">
        <v>2936</v>
      </c>
      <c r="Y792" t="s">
        <v>2937</v>
      </c>
      <c r="Z792">
        <v>461.3596129</v>
      </c>
    </row>
    <row r="793" spans="1:26" hidden="1">
      <c r="A793">
        <v>792</v>
      </c>
      <c r="B793" t="s">
        <v>2938</v>
      </c>
      <c r="C793" t="s">
        <v>28</v>
      </c>
      <c r="D793" s="1" t="b">
        <v>0</v>
      </c>
      <c r="E793">
        <v>2.6499999999999999E-4</v>
      </c>
      <c r="F793">
        <v>3.576754126</v>
      </c>
      <c r="G793">
        <v>30</v>
      </c>
      <c r="H793">
        <v>1.73E-6</v>
      </c>
      <c r="I793">
        <v>0.96</v>
      </c>
      <c r="J793">
        <v>42</v>
      </c>
      <c r="K793">
        <v>4.3099999999999996</v>
      </c>
      <c r="L793">
        <v>4.8999999999999998E-5</v>
      </c>
      <c r="M793">
        <v>25</v>
      </c>
      <c r="N793" t="s">
        <v>2939</v>
      </c>
      <c r="O793" t="s">
        <v>29</v>
      </c>
      <c r="Q793" t="s">
        <v>2939</v>
      </c>
      <c r="R793" t="s">
        <v>2939</v>
      </c>
      <c r="S793" t="s">
        <v>2939</v>
      </c>
      <c r="T793" t="s">
        <v>2939</v>
      </c>
      <c r="U793" t="s">
        <v>2939</v>
      </c>
      <c r="W793" t="s">
        <v>2940</v>
      </c>
      <c r="X793" t="s">
        <v>2941</v>
      </c>
      <c r="Y793" t="s">
        <v>2942</v>
      </c>
      <c r="Z793">
        <v>900.58933379999996</v>
      </c>
    </row>
    <row r="794" spans="1:26">
      <c r="A794">
        <v>793</v>
      </c>
      <c r="B794" s="2" t="s">
        <v>2943</v>
      </c>
      <c r="C794" t="s">
        <v>28</v>
      </c>
      <c r="D794" s="1" t="b">
        <v>1</v>
      </c>
      <c r="E794">
        <v>3.2699999999999998E-4</v>
      </c>
      <c r="F794">
        <v>3.485452247</v>
      </c>
      <c r="G794">
        <v>35.5</v>
      </c>
      <c r="H794">
        <v>2.2900000000000001E-6</v>
      </c>
      <c r="I794">
        <v>0.73</v>
      </c>
      <c r="J794">
        <v>36.6</v>
      </c>
      <c r="K794">
        <v>4.0199999999999996</v>
      </c>
      <c r="L794">
        <v>9.5500000000000004E-5</v>
      </c>
      <c r="M794">
        <v>25</v>
      </c>
      <c r="N794" t="s">
        <v>2939</v>
      </c>
      <c r="O794" t="s">
        <v>29</v>
      </c>
      <c r="Q794" t="s">
        <v>2939</v>
      </c>
      <c r="R794" t="s">
        <v>2939</v>
      </c>
      <c r="S794" t="s">
        <v>2939</v>
      </c>
      <c r="T794" t="s">
        <v>2939</v>
      </c>
      <c r="U794" t="s">
        <v>2939</v>
      </c>
      <c r="W794" t="s">
        <v>2944</v>
      </c>
      <c r="X794" t="s">
        <v>2945</v>
      </c>
      <c r="Y794" t="s">
        <v>2946</v>
      </c>
      <c r="Z794">
        <v>782.48995409999998</v>
      </c>
    </row>
    <row r="795" spans="1:26" hidden="1">
      <c r="A795">
        <v>794</v>
      </c>
      <c r="B795" t="s">
        <v>2947</v>
      </c>
      <c r="C795" t="s">
        <v>54</v>
      </c>
      <c r="D795" s="1" t="b">
        <v>0</v>
      </c>
      <c r="E795">
        <v>2.2000000000000001E-4</v>
      </c>
      <c r="F795">
        <v>3.657577319</v>
      </c>
      <c r="G795">
        <v>37.700000000000003</v>
      </c>
      <c r="H795">
        <v>1.57E-6</v>
      </c>
      <c r="I795">
        <v>1.06</v>
      </c>
      <c r="J795">
        <v>34.299999999999997</v>
      </c>
      <c r="K795">
        <v>4.47</v>
      </c>
      <c r="L795">
        <v>3.4E-5</v>
      </c>
      <c r="M795">
        <v>25</v>
      </c>
      <c r="N795" t="s">
        <v>2902</v>
      </c>
      <c r="O795" t="s">
        <v>29</v>
      </c>
      <c r="Q795" t="s">
        <v>2902</v>
      </c>
      <c r="R795" t="s">
        <v>2902</v>
      </c>
      <c r="S795" t="s">
        <v>2902</v>
      </c>
      <c r="T795" t="s">
        <v>2902</v>
      </c>
      <c r="U795" t="s">
        <v>2902</v>
      </c>
      <c r="W795" t="s">
        <v>2911</v>
      </c>
      <c r="X795" t="s">
        <v>2948</v>
      </c>
      <c r="Y795" t="s">
        <v>2949</v>
      </c>
      <c r="Z795">
        <v>453.28175649999997</v>
      </c>
    </row>
    <row r="796" spans="1:26" hidden="1">
      <c r="A796">
        <v>795</v>
      </c>
      <c r="B796" t="s">
        <v>2950</v>
      </c>
      <c r="C796" t="s">
        <v>54</v>
      </c>
      <c r="D796" s="1" t="b">
        <v>0</v>
      </c>
      <c r="E796">
        <v>2.2699999999999999E-4</v>
      </c>
      <c r="F796">
        <v>3.6439741429999999</v>
      </c>
      <c r="G796">
        <v>36.1</v>
      </c>
      <c r="H796">
        <v>1.9700000000000002E-6</v>
      </c>
      <c r="I796">
        <v>0.84</v>
      </c>
      <c r="J796">
        <v>35.9</v>
      </c>
      <c r="K796">
        <v>4.4400000000000004</v>
      </c>
      <c r="L796">
        <v>3.6600000000000002E-5</v>
      </c>
      <c r="M796">
        <v>25</v>
      </c>
      <c r="N796" t="s">
        <v>2902</v>
      </c>
      <c r="O796" t="s">
        <v>29</v>
      </c>
      <c r="Q796" t="s">
        <v>2902</v>
      </c>
      <c r="R796" t="s">
        <v>2902</v>
      </c>
      <c r="S796" t="s">
        <v>2902</v>
      </c>
      <c r="T796" t="s">
        <v>2902</v>
      </c>
      <c r="U796" t="s">
        <v>2902</v>
      </c>
      <c r="W796" t="s">
        <v>2951</v>
      </c>
      <c r="X796" t="s">
        <v>2952</v>
      </c>
      <c r="Y796" t="s">
        <v>2953</v>
      </c>
      <c r="Z796">
        <v>439.26610640000001</v>
      </c>
    </row>
    <row r="797" spans="1:26" hidden="1">
      <c r="A797">
        <v>796</v>
      </c>
      <c r="B797" t="s">
        <v>2954</v>
      </c>
      <c r="C797" t="s">
        <v>54</v>
      </c>
      <c r="D797" s="1" t="b">
        <v>0</v>
      </c>
      <c r="E797">
        <v>5.8600000000000004E-4</v>
      </c>
      <c r="F797">
        <v>3.2321023840000001</v>
      </c>
      <c r="G797">
        <v>29.6</v>
      </c>
      <c r="H797">
        <v>1.73E-6</v>
      </c>
      <c r="I797">
        <v>0.96</v>
      </c>
      <c r="J797">
        <v>42.4</v>
      </c>
      <c r="K797">
        <v>4.32</v>
      </c>
      <c r="L797">
        <v>4.7899999999999999E-5</v>
      </c>
      <c r="M797">
        <v>25</v>
      </c>
      <c r="N797" t="s">
        <v>2902</v>
      </c>
      <c r="O797" t="s">
        <v>29</v>
      </c>
      <c r="Q797" t="s">
        <v>2902</v>
      </c>
      <c r="R797" t="s">
        <v>2902</v>
      </c>
      <c r="S797" t="s">
        <v>2902</v>
      </c>
      <c r="T797" t="s">
        <v>2902</v>
      </c>
      <c r="U797" t="s">
        <v>2902</v>
      </c>
      <c r="W797" t="s">
        <v>2955</v>
      </c>
      <c r="X797" t="s">
        <v>2956</v>
      </c>
      <c r="Y797" t="s">
        <v>2957</v>
      </c>
      <c r="Z797">
        <v>425.25045640000002</v>
      </c>
    </row>
    <row r="798" spans="1:26">
      <c r="A798">
        <v>797</v>
      </c>
      <c r="B798" s="2" t="s">
        <v>2958</v>
      </c>
      <c r="C798" t="s">
        <v>54</v>
      </c>
      <c r="D798" s="1" t="b">
        <v>1</v>
      </c>
      <c r="E798">
        <v>6.5399999999999996E-4</v>
      </c>
      <c r="F798">
        <v>3.1844222520000001</v>
      </c>
      <c r="G798">
        <v>27.8</v>
      </c>
      <c r="H798">
        <v>1.6700000000000001E-6</v>
      </c>
      <c r="I798">
        <v>0.99</v>
      </c>
      <c r="J798">
        <v>44.2</v>
      </c>
      <c r="K798">
        <v>4.46</v>
      </c>
      <c r="L798">
        <v>3.4799999999999999E-5</v>
      </c>
      <c r="M798">
        <v>25</v>
      </c>
      <c r="N798" t="s">
        <v>2902</v>
      </c>
      <c r="O798" t="s">
        <v>29</v>
      </c>
      <c r="Q798" t="s">
        <v>2902</v>
      </c>
      <c r="R798" t="s">
        <v>2902</v>
      </c>
      <c r="S798" t="s">
        <v>2902</v>
      </c>
      <c r="T798" t="s">
        <v>2902</v>
      </c>
      <c r="U798" t="s">
        <v>2902</v>
      </c>
      <c r="W798" t="s">
        <v>2959</v>
      </c>
      <c r="X798" t="s">
        <v>2960</v>
      </c>
      <c r="Y798" t="s">
        <v>2961</v>
      </c>
      <c r="Z798">
        <v>380.2164166</v>
      </c>
    </row>
    <row r="799" spans="1:26" hidden="1">
      <c r="A799">
        <v>798</v>
      </c>
      <c r="B799" t="s">
        <v>2962</v>
      </c>
      <c r="C799" t="s">
        <v>28</v>
      </c>
      <c r="D799" s="1" t="b">
        <v>0</v>
      </c>
      <c r="E799">
        <v>1.6000000000000001E-4</v>
      </c>
      <c r="F799">
        <v>3.795880017</v>
      </c>
      <c r="G799">
        <v>35</v>
      </c>
      <c r="H799">
        <v>4.8999999999999997E-7</v>
      </c>
      <c r="I799">
        <v>3.4</v>
      </c>
      <c r="J799">
        <v>37</v>
      </c>
      <c r="K799">
        <v>6.55</v>
      </c>
      <c r="L799">
        <v>2.8000000000000002E-7</v>
      </c>
      <c r="M799">
        <v>25</v>
      </c>
      <c r="N799" t="s">
        <v>2432</v>
      </c>
      <c r="O799" t="s">
        <v>29</v>
      </c>
      <c r="Q799" t="s">
        <v>2432</v>
      </c>
      <c r="R799" t="s">
        <v>2432</v>
      </c>
      <c r="S799" t="s">
        <v>2432</v>
      </c>
      <c r="T799" t="s">
        <v>2432</v>
      </c>
      <c r="U799" t="s">
        <v>2432</v>
      </c>
      <c r="W799" t="s">
        <v>2963</v>
      </c>
      <c r="X799" t="s">
        <v>2964</v>
      </c>
      <c r="Y799" t="s">
        <v>2965</v>
      </c>
      <c r="Z799">
        <v>666.40622450000001</v>
      </c>
    </row>
    <row r="800" spans="1:26" hidden="1">
      <c r="A800">
        <v>799</v>
      </c>
      <c r="B800" t="s">
        <v>2966</v>
      </c>
      <c r="C800" t="s">
        <v>28</v>
      </c>
      <c r="D800" s="1" t="b">
        <v>0</v>
      </c>
      <c r="E800">
        <v>1.2999999999999999E-4</v>
      </c>
      <c r="F800">
        <v>3.8860566479999998</v>
      </c>
      <c r="M800">
        <v>25</v>
      </c>
      <c r="N800" t="s">
        <v>484</v>
      </c>
      <c r="X800" t="s">
        <v>2967</v>
      </c>
      <c r="Y800" t="s">
        <v>2968</v>
      </c>
      <c r="Z800">
        <v>744.45317469999998</v>
      </c>
    </row>
    <row r="801" spans="1:26" hidden="1">
      <c r="A801">
        <v>800</v>
      </c>
      <c r="B801" t="s">
        <v>2969</v>
      </c>
      <c r="C801" t="s">
        <v>28</v>
      </c>
      <c r="D801" s="1" t="b">
        <v>0</v>
      </c>
      <c r="E801">
        <v>2.0699999999999999E-4</v>
      </c>
      <c r="F801">
        <v>3.6840296549999998</v>
      </c>
      <c r="M801">
        <v>25</v>
      </c>
      <c r="N801" t="s">
        <v>484</v>
      </c>
      <c r="X801" t="s">
        <v>2970</v>
      </c>
      <c r="Y801" t="s">
        <v>2971</v>
      </c>
      <c r="Z801">
        <v>772.48447480000004</v>
      </c>
    </row>
    <row r="802" spans="1:26" hidden="1">
      <c r="A802">
        <v>801</v>
      </c>
      <c r="B802" t="s">
        <v>2972</v>
      </c>
      <c r="C802" t="s">
        <v>28</v>
      </c>
      <c r="D802" s="1" t="b">
        <v>0</v>
      </c>
      <c r="E802">
        <v>1.2999999999999999E-4</v>
      </c>
      <c r="F802">
        <v>3.8860566479999998</v>
      </c>
      <c r="G802">
        <v>38</v>
      </c>
      <c r="J802">
        <v>33.97</v>
      </c>
      <c r="M802">
        <v>25</v>
      </c>
      <c r="N802" t="s">
        <v>484</v>
      </c>
      <c r="O802" t="s">
        <v>29</v>
      </c>
      <c r="Q802" t="s">
        <v>2443</v>
      </c>
      <c r="S802" t="s">
        <v>31</v>
      </c>
      <c r="X802" t="s">
        <v>2973</v>
      </c>
      <c r="Y802" t="s">
        <v>2974</v>
      </c>
      <c r="Z802">
        <v>748.48447480000004</v>
      </c>
    </row>
    <row r="803" spans="1:26" hidden="1">
      <c r="A803">
        <v>802</v>
      </c>
      <c r="B803" t="s">
        <v>2975</v>
      </c>
      <c r="C803" t="s">
        <v>28</v>
      </c>
      <c r="D803" s="1" t="b">
        <v>0</v>
      </c>
      <c r="E803">
        <v>1.7100000000000001E-4</v>
      </c>
      <c r="F803">
        <v>3.7670038899999998</v>
      </c>
      <c r="G803">
        <v>42.5</v>
      </c>
      <c r="H803">
        <v>1.2899999999999999E-6</v>
      </c>
      <c r="I803">
        <v>1.29</v>
      </c>
      <c r="J803">
        <v>29.5</v>
      </c>
      <c r="K803">
        <v>4.18</v>
      </c>
      <c r="L803">
        <v>6.6099999999999994E-5</v>
      </c>
      <c r="M803">
        <v>25</v>
      </c>
      <c r="N803" t="s">
        <v>2447</v>
      </c>
      <c r="O803" t="s">
        <v>29</v>
      </c>
      <c r="Q803" t="s">
        <v>2447</v>
      </c>
      <c r="R803" t="s">
        <v>2447</v>
      </c>
      <c r="S803" t="s">
        <v>2447</v>
      </c>
      <c r="T803" t="s">
        <v>2447</v>
      </c>
      <c r="U803" t="s">
        <v>2447</v>
      </c>
      <c r="V803" t="s">
        <v>2447</v>
      </c>
      <c r="W803" t="s">
        <v>2976</v>
      </c>
      <c r="X803" t="s">
        <v>2977</v>
      </c>
      <c r="Y803" t="s">
        <v>2978</v>
      </c>
      <c r="Z803">
        <v>740.57533520000004</v>
      </c>
    </row>
    <row r="804" spans="1:26">
      <c r="A804">
        <v>803</v>
      </c>
      <c r="B804" s="2" t="s">
        <v>2979</v>
      </c>
      <c r="C804" t="s">
        <v>28</v>
      </c>
      <c r="D804" s="1" t="b">
        <v>1</v>
      </c>
      <c r="E804">
        <v>2.23E-4</v>
      </c>
      <c r="F804">
        <v>3.6516951369999999</v>
      </c>
      <c r="G804">
        <v>34</v>
      </c>
      <c r="H804">
        <v>2.88E-6</v>
      </c>
      <c r="I804">
        <v>0.57999999999999996</v>
      </c>
      <c r="J804">
        <v>38</v>
      </c>
      <c r="K804">
        <v>4.7</v>
      </c>
      <c r="L804">
        <v>2.0000000000000002E-5</v>
      </c>
      <c r="M804">
        <v>25</v>
      </c>
      <c r="N804" t="s">
        <v>1872</v>
      </c>
      <c r="O804" t="s">
        <v>29</v>
      </c>
      <c r="Q804" t="s">
        <v>1872</v>
      </c>
      <c r="R804" t="s">
        <v>1872</v>
      </c>
      <c r="S804" t="s">
        <v>1872</v>
      </c>
      <c r="U804" t="s">
        <v>1872</v>
      </c>
      <c r="W804" t="s">
        <v>2980</v>
      </c>
      <c r="X804" t="s">
        <v>2981</v>
      </c>
      <c r="Y804" t="s">
        <v>2982</v>
      </c>
      <c r="Z804">
        <v>1029.777321</v>
      </c>
    </row>
    <row r="805" spans="1:26">
      <c r="A805">
        <v>804</v>
      </c>
      <c r="B805" s="2" t="s">
        <v>2983</v>
      </c>
      <c r="C805" t="s">
        <v>54</v>
      </c>
      <c r="D805" s="1" t="b">
        <v>1</v>
      </c>
      <c r="E805">
        <v>7.2900000000000005E-4</v>
      </c>
      <c r="F805">
        <v>3.1372724719999998</v>
      </c>
      <c r="G805">
        <v>32</v>
      </c>
      <c r="H805">
        <v>1.6300000000000001E-6</v>
      </c>
      <c r="I805">
        <v>1.02</v>
      </c>
      <c r="J805">
        <v>40</v>
      </c>
      <c r="K805">
        <v>4.2300000000000004</v>
      </c>
      <c r="L805">
        <v>5.9599999999999999E-5</v>
      </c>
      <c r="M805">
        <v>25</v>
      </c>
      <c r="N805" t="s">
        <v>2902</v>
      </c>
      <c r="O805" t="s">
        <v>29</v>
      </c>
      <c r="Q805" t="s">
        <v>2902</v>
      </c>
      <c r="R805" t="s">
        <v>2902</v>
      </c>
      <c r="S805" t="s">
        <v>2902</v>
      </c>
      <c r="T805" t="s">
        <v>2902</v>
      </c>
      <c r="U805" t="s">
        <v>2902</v>
      </c>
      <c r="W805" t="s">
        <v>2984</v>
      </c>
      <c r="X805" t="s">
        <v>2985</v>
      </c>
      <c r="Y805" t="s">
        <v>2986</v>
      </c>
      <c r="Z805">
        <v>335.18237679999999</v>
      </c>
    </row>
    <row r="806" spans="1:26">
      <c r="A806">
        <v>805</v>
      </c>
      <c r="B806" s="2" t="s">
        <v>2987</v>
      </c>
      <c r="C806" t="s">
        <v>54</v>
      </c>
      <c r="D806" s="1" t="b">
        <v>1</v>
      </c>
      <c r="E806">
        <v>5.9999999999999995E-4</v>
      </c>
      <c r="F806">
        <v>3.2218487499999999</v>
      </c>
      <c r="G806">
        <v>41.3</v>
      </c>
      <c r="H806">
        <v>2.03E-6</v>
      </c>
      <c r="I806">
        <v>0.82</v>
      </c>
      <c r="J806">
        <v>30.7</v>
      </c>
      <c r="K806">
        <v>3.7</v>
      </c>
      <c r="L806">
        <v>2.0000000000000001E-4</v>
      </c>
      <c r="M806">
        <v>25</v>
      </c>
      <c r="N806" t="s">
        <v>1858</v>
      </c>
      <c r="T806" t="s">
        <v>1858</v>
      </c>
      <c r="V806" t="s">
        <v>1858</v>
      </c>
      <c r="W806" t="s">
        <v>2988</v>
      </c>
      <c r="X806" t="s">
        <v>2989</v>
      </c>
      <c r="Y806" t="s">
        <v>2990</v>
      </c>
      <c r="Z806">
        <v>459.31751450000002</v>
      </c>
    </row>
    <row r="807" spans="1:26" hidden="1">
      <c r="A807">
        <v>806</v>
      </c>
      <c r="B807" t="s">
        <v>2991</v>
      </c>
      <c r="C807" t="s">
        <v>28</v>
      </c>
      <c r="D807" s="1" t="b">
        <v>0</v>
      </c>
      <c r="E807">
        <v>8.3499999999999997E-6</v>
      </c>
      <c r="F807">
        <v>5.0783135250000004</v>
      </c>
      <c r="G807">
        <v>43</v>
      </c>
      <c r="H807">
        <v>2.2900000000000001E-6</v>
      </c>
      <c r="I807">
        <v>0.87</v>
      </c>
      <c r="J807">
        <v>29</v>
      </c>
      <c r="K807">
        <v>5.28</v>
      </c>
      <c r="L807">
        <v>5.2499999999999997E-6</v>
      </c>
      <c r="M807">
        <v>25</v>
      </c>
      <c r="N807" t="s">
        <v>2992</v>
      </c>
      <c r="O807" t="s">
        <v>29</v>
      </c>
      <c r="Q807" t="s">
        <v>2992</v>
      </c>
      <c r="R807" t="s">
        <v>2992</v>
      </c>
      <c r="T807" t="s">
        <v>2992</v>
      </c>
      <c r="U807" t="s">
        <v>2992</v>
      </c>
      <c r="W807" t="s">
        <v>2993</v>
      </c>
      <c r="X807" t="s">
        <v>2994</v>
      </c>
      <c r="Y807" t="s">
        <v>2995</v>
      </c>
      <c r="Z807">
        <v>878.46480199999996</v>
      </c>
    </row>
    <row r="808" spans="1:26" hidden="1">
      <c r="A808">
        <v>807</v>
      </c>
      <c r="B808" t="s">
        <v>2996</v>
      </c>
      <c r="C808" t="s">
        <v>28</v>
      </c>
      <c r="D808" s="1" t="b">
        <v>0</v>
      </c>
      <c r="E808">
        <v>1.5500000000000001E-5</v>
      </c>
      <c r="F808">
        <v>4.8096683020000004</v>
      </c>
      <c r="G808">
        <v>36.200000000000003</v>
      </c>
      <c r="J808">
        <v>35.770000000000003</v>
      </c>
      <c r="M808">
        <v>25</v>
      </c>
      <c r="N808" t="s">
        <v>2997</v>
      </c>
      <c r="O808" t="s">
        <v>2997</v>
      </c>
      <c r="S808" t="s">
        <v>31</v>
      </c>
      <c r="U808" t="s">
        <v>2997</v>
      </c>
      <c r="X808" t="s">
        <v>2998</v>
      </c>
      <c r="Y808" t="s">
        <v>2999</v>
      </c>
      <c r="Z808">
        <v>766.37598700000001</v>
      </c>
    </row>
    <row r="809" spans="1:26" hidden="1">
      <c r="A809">
        <v>808</v>
      </c>
      <c r="B809" t="s">
        <v>3000</v>
      </c>
      <c r="C809" t="s">
        <v>54</v>
      </c>
      <c r="D809" s="1" t="b">
        <v>0</v>
      </c>
      <c r="E809">
        <v>2.8E-3</v>
      </c>
      <c r="F809">
        <v>2.5528419690000002</v>
      </c>
      <c r="G809">
        <v>40.799999999999997</v>
      </c>
      <c r="J809">
        <v>31.17</v>
      </c>
      <c r="M809">
        <v>25</v>
      </c>
      <c r="N809" t="s">
        <v>89</v>
      </c>
      <c r="O809" t="s">
        <v>29</v>
      </c>
      <c r="P809" t="s">
        <v>103</v>
      </c>
      <c r="Q809" t="s">
        <v>578</v>
      </c>
      <c r="S809" t="s">
        <v>31</v>
      </c>
      <c r="W809" t="s">
        <v>3001</v>
      </c>
      <c r="X809" t="s">
        <v>3002</v>
      </c>
      <c r="Y809" t="s">
        <v>3003</v>
      </c>
      <c r="Z809">
        <v>355.18746220000003</v>
      </c>
    </row>
    <row r="810" spans="1:26" hidden="1">
      <c r="A810">
        <v>809</v>
      </c>
      <c r="B810" t="s">
        <v>3004</v>
      </c>
      <c r="C810" t="s">
        <v>54</v>
      </c>
      <c r="D810" s="1" t="b">
        <v>0</v>
      </c>
      <c r="E810">
        <v>3.5000000000000001E-3</v>
      </c>
      <c r="F810">
        <v>2.4559319560000001</v>
      </c>
      <c r="M810">
        <v>25</v>
      </c>
      <c r="N810" t="s">
        <v>89</v>
      </c>
      <c r="P810" t="s">
        <v>103</v>
      </c>
      <c r="W810" t="s">
        <v>3005</v>
      </c>
      <c r="X810" t="s">
        <v>3006</v>
      </c>
      <c r="Y810" t="s">
        <v>3007</v>
      </c>
      <c r="Z810">
        <v>311.23797780000001</v>
      </c>
    </row>
    <row r="811" spans="1:26" hidden="1">
      <c r="A811">
        <v>810</v>
      </c>
      <c r="B811" t="s">
        <v>3008</v>
      </c>
      <c r="C811" t="s">
        <v>54</v>
      </c>
      <c r="D811" s="1" t="b">
        <v>0</v>
      </c>
      <c r="G811">
        <v>44</v>
      </c>
      <c r="O811" t="s">
        <v>29</v>
      </c>
      <c r="Q811" t="s">
        <v>1953</v>
      </c>
      <c r="X811" t="s">
        <v>3009</v>
      </c>
      <c r="Y811" t="s">
        <v>3010</v>
      </c>
      <c r="Z811">
        <v>487.27733979999999</v>
      </c>
    </row>
    <row r="812" spans="1:26">
      <c r="A812">
        <v>811</v>
      </c>
      <c r="B812" s="2" t="s">
        <v>3000</v>
      </c>
      <c r="C812" t="s">
        <v>54</v>
      </c>
      <c r="D812" s="1" t="b">
        <v>1</v>
      </c>
      <c r="E812">
        <v>2.7000000000000001E-3</v>
      </c>
      <c r="F812">
        <v>2.5686362360000001</v>
      </c>
      <c r="G812" s="2"/>
      <c r="H812" s="2"/>
      <c r="I812" s="2"/>
      <c r="J812" s="2"/>
      <c r="K812" s="2"/>
      <c r="L812" s="2"/>
      <c r="M812">
        <v>25</v>
      </c>
      <c r="N812" t="s">
        <v>135</v>
      </c>
      <c r="W812" t="s">
        <v>3011</v>
      </c>
      <c r="X812" t="s">
        <v>3012</v>
      </c>
      <c r="Y812" t="s">
        <v>3013</v>
      </c>
      <c r="Z812">
        <v>355.18746220000003</v>
      </c>
    </row>
    <row r="813" spans="1:26">
      <c r="A813">
        <v>812</v>
      </c>
      <c r="B813" s="2" t="s">
        <v>3004</v>
      </c>
      <c r="C813" t="s">
        <v>54</v>
      </c>
      <c r="D813" s="1" t="b">
        <v>1</v>
      </c>
      <c r="E813">
        <v>3.5000000000000001E-3</v>
      </c>
      <c r="F813">
        <v>2.4559319560000001</v>
      </c>
      <c r="G813" s="2"/>
      <c r="H813" s="2"/>
      <c r="I813" s="2"/>
      <c r="J813" s="2"/>
      <c r="K813" s="2"/>
      <c r="L813" s="2"/>
      <c r="M813">
        <v>25</v>
      </c>
      <c r="N813" t="s">
        <v>135</v>
      </c>
      <c r="X813" t="s">
        <v>3014</v>
      </c>
      <c r="Y813" t="s">
        <v>3015</v>
      </c>
      <c r="Z813">
        <v>311.23797780000001</v>
      </c>
    </row>
    <row r="814" spans="1:26" hidden="1">
      <c r="A814">
        <v>813</v>
      </c>
      <c r="B814" t="s">
        <v>3016</v>
      </c>
      <c r="C814" t="s">
        <v>134</v>
      </c>
      <c r="D814" s="13" t="b">
        <v>0</v>
      </c>
      <c r="E814">
        <v>1.5999999999999999E-5</v>
      </c>
      <c r="F814">
        <v>4.795880017</v>
      </c>
      <c r="M814">
        <v>25</v>
      </c>
      <c r="N814" t="s">
        <v>179</v>
      </c>
      <c r="X814" t="s">
        <v>3017</v>
      </c>
      <c r="Y814" t="s">
        <v>3018</v>
      </c>
      <c r="Z814">
        <v>539.26813870000001</v>
      </c>
    </row>
    <row r="815" spans="1:26" hidden="1">
      <c r="A815">
        <v>814</v>
      </c>
      <c r="B815" t="s">
        <v>3019</v>
      </c>
      <c r="C815" t="s">
        <v>54</v>
      </c>
      <c r="D815" s="1" t="b">
        <v>0</v>
      </c>
      <c r="G815">
        <v>39.200000000000003</v>
      </c>
      <c r="O815" t="s">
        <v>29</v>
      </c>
      <c r="Q815" t="s">
        <v>2477</v>
      </c>
      <c r="X815" t="s">
        <v>3020</v>
      </c>
      <c r="Y815" t="s">
        <v>3021</v>
      </c>
      <c r="Z815">
        <v>358.19836120000002</v>
      </c>
    </row>
    <row r="816" spans="1:26" hidden="1">
      <c r="A816">
        <v>815</v>
      </c>
      <c r="B816" t="s">
        <v>3022</v>
      </c>
      <c r="C816" t="s">
        <v>54</v>
      </c>
      <c r="D816" s="1" t="b">
        <v>0</v>
      </c>
      <c r="G816">
        <v>37.5</v>
      </c>
      <c r="O816" t="s">
        <v>29</v>
      </c>
      <c r="Q816" t="s">
        <v>2477</v>
      </c>
      <c r="X816" t="s">
        <v>3023</v>
      </c>
      <c r="Y816" t="s">
        <v>3024</v>
      </c>
      <c r="Z816">
        <v>314.24887680000001</v>
      </c>
    </row>
    <row r="817" spans="1:26" hidden="1">
      <c r="A817">
        <v>816</v>
      </c>
      <c r="B817" t="s">
        <v>3025</v>
      </c>
      <c r="C817" t="s">
        <v>28</v>
      </c>
      <c r="D817" s="1" t="b">
        <v>0</v>
      </c>
      <c r="E817">
        <v>1.062E-3</v>
      </c>
      <c r="F817">
        <v>2.973875483</v>
      </c>
      <c r="M817">
        <v>25</v>
      </c>
      <c r="N817" t="s">
        <v>484</v>
      </c>
      <c r="P817" t="s">
        <v>648</v>
      </c>
      <c r="X817" t="s">
        <v>3026</v>
      </c>
      <c r="Y817" t="s">
        <v>3027</v>
      </c>
      <c r="Z817">
        <v>656.49266820000003</v>
      </c>
    </row>
    <row r="818" spans="1:26" hidden="1">
      <c r="A818">
        <v>817</v>
      </c>
      <c r="B818" t="s">
        <v>3028</v>
      </c>
      <c r="C818" t="s">
        <v>28</v>
      </c>
      <c r="D818" s="1" t="b">
        <v>0</v>
      </c>
      <c r="E818">
        <v>1.199E-4</v>
      </c>
      <c r="F818">
        <v>3.9211808170000002</v>
      </c>
      <c r="M818">
        <v>25</v>
      </c>
      <c r="N818" t="s">
        <v>484</v>
      </c>
      <c r="W818" t="s">
        <v>3029</v>
      </c>
      <c r="X818" t="s">
        <v>3030</v>
      </c>
      <c r="Y818" t="s">
        <v>3031</v>
      </c>
      <c r="Z818">
        <v>742.41237249999995</v>
      </c>
    </row>
    <row r="819" spans="1:26" hidden="1">
      <c r="A819">
        <v>818</v>
      </c>
      <c r="B819" t="s">
        <v>3032</v>
      </c>
      <c r="C819" t="s">
        <v>28</v>
      </c>
      <c r="D819" s="1" t="b">
        <v>0</v>
      </c>
      <c r="E819">
        <v>3.3884399999999998E-4</v>
      </c>
      <c r="F819">
        <v>3.47</v>
      </c>
      <c r="G819">
        <v>28.3</v>
      </c>
      <c r="H819">
        <v>1.9E-6</v>
      </c>
      <c r="I819">
        <v>0.95</v>
      </c>
      <c r="J819">
        <v>43.7</v>
      </c>
      <c r="K819">
        <v>4.1983004089999998</v>
      </c>
      <c r="L819">
        <v>1.5021085E-2</v>
      </c>
      <c r="M819">
        <v>25</v>
      </c>
      <c r="N819" t="s">
        <v>2484</v>
      </c>
      <c r="O819" t="s">
        <v>2484</v>
      </c>
      <c r="P819" t="s">
        <v>2484</v>
      </c>
      <c r="R819" t="s">
        <v>2484</v>
      </c>
      <c r="S819" t="s">
        <v>2484</v>
      </c>
      <c r="T819" t="s">
        <v>2484</v>
      </c>
      <c r="U819" t="s">
        <v>31</v>
      </c>
      <c r="V819" t="s">
        <v>31</v>
      </c>
      <c r="X819" t="s">
        <v>3033</v>
      </c>
      <c r="Y819" t="s">
        <v>3034</v>
      </c>
      <c r="Z819">
        <v>742.56583320000004</v>
      </c>
    </row>
    <row r="820" spans="1:26" hidden="1">
      <c r="A820">
        <v>819</v>
      </c>
      <c r="B820" t="s">
        <v>3035</v>
      </c>
      <c r="C820" t="s">
        <v>28</v>
      </c>
      <c r="D820" s="1" t="b">
        <v>0</v>
      </c>
      <c r="E820">
        <v>3.7153499999999999E-4</v>
      </c>
      <c r="F820">
        <v>3.43</v>
      </c>
      <c r="G820">
        <v>33.9</v>
      </c>
      <c r="H820">
        <v>2.1600000000000001E-6</v>
      </c>
      <c r="I820">
        <v>0.84</v>
      </c>
      <c r="J820">
        <v>38.1</v>
      </c>
      <c r="K820">
        <v>3.9192610380000001</v>
      </c>
      <c r="L820">
        <v>1.9855761999999999E-2</v>
      </c>
      <c r="M820">
        <v>25</v>
      </c>
      <c r="N820" t="s">
        <v>2484</v>
      </c>
      <c r="O820" t="s">
        <v>2484</v>
      </c>
      <c r="P820" t="s">
        <v>2484</v>
      </c>
      <c r="R820" t="s">
        <v>2484</v>
      </c>
      <c r="S820" t="s">
        <v>2484</v>
      </c>
      <c r="T820" t="s">
        <v>2484</v>
      </c>
      <c r="U820" t="s">
        <v>31</v>
      </c>
      <c r="V820" t="s">
        <v>31</v>
      </c>
      <c r="X820" t="s">
        <v>3036</v>
      </c>
      <c r="Y820" t="s">
        <v>3037</v>
      </c>
      <c r="Z820">
        <v>728.55018310000003</v>
      </c>
    </row>
    <row r="821" spans="1:26" hidden="1">
      <c r="A821">
        <v>820</v>
      </c>
      <c r="B821" t="s">
        <v>3038</v>
      </c>
      <c r="C821" t="s">
        <v>28</v>
      </c>
      <c r="D821" s="1" t="b">
        <v>0</v>
      </c>
      <c r="E821">
        <v>3.9810699999999997E-4</v>
      </c>
      <c r="F821">
        <v>3.4</v>
      </c>
      <c r="G821">
        <v>35.200000000000003</v>
      </c>
      <c r="H821">
        <v>2.1900000000000002E-6</v>
      </c>
      <c r="I821">
        <v>0.82</v>
      </c>
      <c r="J821">
        <v>36.770000000000003</v>
      </c>
      <c r="K821">
        <v>3.8478999100000002</v>
      </c>
      <c r="L821">
        <v>2.1324473E-2</v>
      </c>
      <c r="M821">
        <v>25</v>
      </c>
      <c r="N821" t="s">
        <v>2484</v>
      </c>
      <c r="O821" t="s">
        <v>2484</v>
      </c>
      <c r="P821" t="s">
        <v>648</v>
      </c>
      <c r="R821" t="s">
        <v>2484</v>
      </c>
      <c r="S821" t="s">
        <v>31</v>
      </c>
      <c r="T821" t="s">
        <v>2484</v>
      </c>
      <c r="U821" t="s">
        <v>31</v>
      </c>
      <c r="V821" t="s">
        <v>31</v>
      </c>
      <c r="X821" t="s">
        <v>3039</v>
      </c>
      <c r="Y821" t="s">
        <v>3040</v>
      </c>
      <c r="Z821">
        <v>714.53453300000001</v>
      </c>
    </row>
    <row r="822" spans="1:26" hidden="1">
      <c r="A822">
        <v>821</v>
      </c>
      <c r="B822" t="s">
        <v>3041</v>
      </c>
      <c r="C822" t="s">
        <v>28</v>
      </c>
      <c r="D822" s="1" t="b">
        <v>0</v>
      </c>
      <c r="E822">
        <v>4.2658000000000003E-4</v>
      </c>
      <c r="F822">
        <v>3.37</v>
      </c>
      <c r="G822">
        <v>36.4</v>
      </c>
      <c r="H822">
        <v>2.2199999999999999E-6</v>
      </c>
      <c r="I822">
        <v>0.8</v>
      </c>
      <c r="J822">
        <v>35.6</v>
      </c>
      <c r="K822">
        <v>3.7802866939999999</v>
      </c>
      <c r="L822">
        <v>2.2816149000000001E-2</v>
      </c>
      <c r="M822">
        <v>25</v>
      </c>
      <c r="N822" t="s">
        <v>2484</v>
      </c>
      <c r="O822" t="s">
        <v>2484</v>
      </c>
      <c r="P822" t="s">
        <v>2484</v>
      </c>
      <c r="R822" t="s">
        <v>2484</v>
      </c>
      <c r="S822" t="s">
        <v>2484</v>
      </c>
      <c r="T822" t="s">
        <v>2484</v>
      </c>
      <c r="U822" t="s">
        <v>31</v>
      </c>
      <c r="V822" t="s">
        <v>31</v>
      </c>
      <c r="X822" t="s">
        <v>3042</v>
      </c>
      <c r="Y822" t="s">
        <v>3043</v>
      </c>
      <c r="Z822">
        <v>700.51888299999996</v>
      </c>
    </row>
    <row r="823" spans="1:26" hidden="1">
      <c r="A823">
        <v>822</v>
      </c>
      <c r="B823" t="s">
        <v>3044</v>
      </c>
      <c r="C823" t="s">
        <v>28</v>
      </c>
      <c r="D823" s="1" t="b">
        <v>0</v>
      </c>
      <c r="E823">
        <v>4.5708800000000003E-4</v>
      </c>
      <c r="F823">
        <v>3.34</v>
      </c>
      <c r="G823">
        <v>37.5</v>
      </c>
      <c r="H823">
        <v>2.2500000000000001E-6</v>
      </c>
      <c r="I823">
        <v>0.78</v>
      </c>
      <c r="J823">
        <v>34.5</v>
      </c>
      <c r="K823">
        <v>3.7162714719999999</v>
      </c>
      <c r="L823">
        <v>2.4324493999999999E-2</v>
      </c>
      <c r="M823">
        <v>25</v>
      </c>
      <c r="N823" t="s">
        <v>2484</v>
      </c>
      <c r="O823" t="s">
        <v>2484</v>
      </c>
      <c r="P823" t="s">
        <v>2484</v>
      </c>
      <c r="R823" t="s">
        <v>2484</v>
      </c>
      <c r="S823" t="s">
        <v>2484</v>
      </c>
      <c r="T823" t="s">
        <v>2484</v>
      </c>
      <c r="U823" t="s">
        <v>31</v>
      </c>
      <c r="V823" t="s">
        <v>31</v>
      </c>
      <c r="X823" t="s">
        <v>3045</v>
      </c>
      <c r="Y823" t="s">
        <v>3046</v>
      </c>
      <c r="Z823">
        <v>686.50323289999994</v>
      </c>
    </row>
    <row r="824" spans="1:26" hidden="1">
      <c r="A824">
        <v>823</v>
      </c>
      <c r="B824" t="s">
        <v>3047</v>
      </c>
      <c r="C824" t="s">
        <v>83</v>
      </c>
      <c r="D824" s="1" t="b">
        <v>0</v>
      </c>
      <c r="E824">
        <v>2.9310000000000002E-4</v>
      </c>
      <c r="F824">
        <v>3.5329841819999999</v>
      </c>
      <c r="M824">
        <v>25</v>
      </c>
      <c r="N824" t="s">
        <v>207</v>
      </c>
      <c r="X824" t="s">
        <v>3048</v>
      </c>
      <c r="Y824" t="s">
        <v>3049</v>
      </c>
      <c r="Z824">
        <v>433.34033820000002</v>
      </c>
    </row>
    <row r="825" spans="1:26" hidden="1">
      <c r="A825">
        <v>824</v>
      </c>
      <c r="B825" t="s">
        <v>1348</v>
      </c>
      <c r="C825" t="s">
        <v>83</v>
      </c>
      <c r="D825" s="1" t="b">
        <v>0</v>
      </c>
      <c r="E825">
        <v>4.8999999999999998E-5</v>
      </c>
      <c r="F825">
        <v>4.3098039200000002</v>
      </c>
      <c r="M825">
        <v>25</v>
      </c>
      <c r="N825" t="s">
        <v>89</v>
      </c>
      <c r="P825" t="s">
        <v>103</v>
      </c>
      <c r="W825" t="s">
        <v>3050</v>
      </c>
      <c r="X825" t="s">
        <v>3051</v>
      </c>
      <c r="Y825" t="s">
        <v>3052</v>
      </c>
      <c r="Z825">
        <v>420.34508929999998</v>
      </c>
    </row>
    <row r="826" spans="1:26" hidden="1">
      <c r="A826">
        <v>825</v>
      </c>
      <c r="B826" t="s">
        <v>1351</v>
      </c>
      <c r="C826" t="s">
        <v>83</v>
      </c>
      <c r="D826" s="1" t="b">
        <v>0</v>
      </c>
      <c r="E826">
        <v>2.6999999999999999E-5</v>
      </c>
      <c r="F826">
        <v>4.5686362359999997</v>
      </c>
      <c r="G826">
        <v>35.1</v>
      </c>
      <c r="H826">
        <v>2.8700000000000001E-6</v>
      </c>
      <c r="I826">
        <v>0.57999999999999996</v>
      </c>
      <c r="J826">
        <v>36.9</v>
      </c>
      <c r="K826">
        <v>5.6000712520000002</v>
      </c>
      <c r="L826">
        <v>3.6976000000000001E-3</v>
      </c>
      <c r="M826">
        <v>25</v>
      </c>
      <c r="N826" t="s">
        <v>89</v>
      </c>
      <c r="O826" t="s">
        <v>29</v>
      </c>
      <c r="P826" t="s">
        <v>103</v>
      </c>
      <c r="Q826" t="s">
        <v>578</v>
      </c>
      <c r="R826" t="s">
        <v>2500</v>
      </c>
      <c r="T826" t="s">
        <v>2500</v>
      </c>
      <c r="U826" t="s">
        <v>31</v>
      </c>
      <c r="V826" t="s">
        <v>31</v>
      </c>
      <c r="W826" t="s">
        <v>3053</v>
      </c>
      <c r="X826" t="s">
        <v>3054</v>
      </c>
      <c r="Y826" t="s">
        <v>3055</v>
      </c>
      <c r="Z826">
        <v>552.42373350000003</v>
      </c>
    </row>
    <row r="827" spans="1:26" hidden="1">
      <c r="A827">
        <v>826</v>
      </c>
      <c r="B827" t="s">
        <v>3056</v>
      </c>
      <c r="C827" t="s">
        <v>83</v>
      </c>
      <c r="D827" s="1" t="b">
        <v>0</v>
      </c>
      <c r="E827">
        <v>5.1049999999999999E-4</v>
      </c>
      <c r="F827">
        <v>3.2920042540000001</v>
      </c>
      <c r="M827">
        <v>25</v>
      </c>
      <c r="N827" t="s">
        <v>207</v>
      </c>
      <c r="X827" t="s">
        <v>3057</v>
      </c>
      <c r="Y827" t="s">
        <v>3058</v>
      </c>
      <c r="Z827">
        <v>405.3454236</v>
      </c>
    </row>
    <row r="828" spans="1:26" hidden="1">
      <c r="A828">
        <v>827</v>
      </c>
      <c r="B828" t="s">
        <v>3059</v>
      </c>
      <c r="C828" t="s">
        <v>83</v>
      </c>
      <c r="D828" s="1" t="b">
        <v>0</v>
      </c>
      <c r="E828">
        <v>6.5010000000000003E-4</v>
      </c>
      <c r="F828">
        <v>3.187019834</v>
      </c>
      <c r="M828">
        <v>25</v>
      </c>
      <c r="N828" t="s">
        <v>207</v>
      </c>
      <c r="X828" t="s">
        <v>3060</v>
      </c>
      <c r="Y828" t="s">
        <v>3061</v>
      </c>
      <c r="Z828">
        <v>537.42406779999999</v>
      </c>
    </row>
    <row r="829" spans="1:26" hidden="1">
      <c r="A829">
        <v>828</v>
      </c>
      <c r="B829" t="s">
        <v>3062</v>
      </c>
      <c r="C829" t="s">
        <v>83</v>
      </c>
      <c r="D829" s="1" t="b">
        <v>0</v>
      </c>
      <c r="E829">
        <v>7.4989999999999996E-4</v>
      </c>
      <c r="F829">
        <v>3.124996646</v>
      </c>
      <c r="M829">
        <v>25</v>
      </c>
      <c r="N829" t="s">
        <v>207</v>
      </c>
      <c r="X829" t="s">
        <v>3063</v>
      </c>
      <c r="Y829" t="s">
        <v>3064</v>
      </c>
      <c r="Z829">
        <v>669.50271210000005</v>
      </c>
    </row>
    <row r="830" spans="1:26" hidden="1">
      <c r="A830">
        <v>829</v>
      </c>
      <c r="B830" t="s">
        <v>3065</v>
      </c>
      <c r="C830" t="s">
        <v>83</v>
      </c>
      <c r="D830" s="1" t="b">
        <v>0</v>
      </c>
      <c r="E830">
        <v>5.0000000000000001E-4</v>
      </c>
      <c r="F830">
        <v>3.301029996</v>
      </c>
      <c r="M830">
        <v>25</v>
      </c>
      <c r="N830" t="s">
        <v>207</v>
      </c>
      <c r="X830" t="s">
        <v>3066</v>
      </c>
      <c r="Y830" t="s">
        <v>3067</v>
      </c>
      <c r="Z830">
        <v>391.32977349999999</v>
      </c>
    </row>
    <row r="831" spans="1:26" hidden="1">
      <c r="A831">
        <v>830</v>
      </c>
      <c r="B831" t="s">
        <v>3068</v>
      </c>
      <c r="C831" t="s">
        <v>83</v>
      </c>
      <c r="D831" s="1" t="b">
        <v>0</v>
      </c>
      <c r="E831">
        <v>2.6979999999999999E-5</v>
      </c>
      <c r="F831">
        <v>4.5689580550000004</v>
      </c>
      <c r="M831">
        <v>25</v>
      </c>
      <c r="N831" t="s">
        <v>207</v>
      </c>
      <c r="X831" t="s">
        <v>3069</v>
      </c>
      <c r="Y831" t="s">
        <v>3070</v>
      </c>
      <c r="Z831">
        <v>552.42373350000003</v>
      </c>
    </row>
    <row r="832" spans="1:26" hidden="1">
      <c r="A832">
        <v>831</v>
      </c>
      <c r="B832" t="s">
        <v>3071</v>
      </c>
      <c r="C832" t="s">
        <v>134</v>
      </c>
      <c r="D832" s="13" t="b">
        <v>0</v>
      </c>
      <c r="E832">
        <v>4.2950000000000002E-3</v>
      </c>
      <c r="F832">
        <v>2.3670368320000001</v>
      </c>
      <c r="M832">
        <v>25</v>
      </c>
      <c r="N832" t="s">
        <v>179</v>
      </c>
      <c r="P832" t="s">
        <v>180</v>
      </c>
      <c r="W832" t="s">
        <v>3072</v>
      </c>
      <c r="X832" t="s">
        <v>3073</v>
      </c>
      <c r="Y832" t="s">
        <v>3074</v>
      </c>
      <c r="Z832">
        <v>302.15277459999999</v>
      </c>
    </row>
    <row r="833" spans="1:26" hidden="1">
      <c r="A833">
        <v>832</v>
      </c>
      <c r="B833" t="s">
        <v>3075</v>
      </c>
      <c r="C833" t="s">
        <v>134</v>
      </c>
      <c r="D833" s="13" t="b">
        <v>0</v>
      </c>
      <c r="E833">
        <v>3.7929999999999999E-3</v>
      </c>
      <c r="F833">
        <v>2.4210171570000001</v>
      </c>
      <c r="M833">
        <v>25</v>
      </c>
      <c r="N833" t="s">
        <v>179</v>
      </c>
      <c r="W833" t="s">
        <v>3076</v>
      </c>
      <c r="X833" t="s">
        <v>3077</v>
      </c>
      <c r="Y833" t="s">
        <v>3078</v>
      </c>
      <c r="Z833">
        <v>286.15786000000003</v>
      </c>
    </row>
    <row r="834" spans="1:26" hidden="1">
      <c r="A834">
        <v>833</v>
      </c>
      <c r="B834" t="s">
        <v>3079</v>
      </c>
      <c r="C834" t="s">
        <v>83</v>
      </c>
      <c r="D834" s="1" t="b">
        <v>0</v>
      </c>
      <c r="E834">
        <v>3.8640000000000001E-4</v>
      </c>
      <c r="F834">
        <v>3.412962882</v>
      </c>
      <c r="M834">
        <v>25</v>
      </c>
      <c r="N834" t="s">
        <v>207</v>
      </c>
      <c r="X834" t="s">
        <v>3080</v>
      </c>
      <c r="Y834" t="s">
        <v>3081</v>
      </c>
      <c r="Z834">
        <v>433.34033820000002</v>
      </c>
    </row>
    <row r="835" spans="1:26" hidden="1">
      <c r="A835">
        <v>834</v>
      </c>
      <c r="B835" t="s">
        <v>3082</v>
      </c>
      <c r="C835" t="s">
        <v>134</v>
      </c>
      <c r="D835" s="13" t="b">
        <v>0</v>
      </c>
      <c r="E835">
        <v>4.102E-4</v>
      </c>
      <c r="F835">
        <v>3.3870043440000002</v>
      </c>
      <c r="M835">
        <v>25</v>
      </c>
      <c r="N835" t="s">
        <v>179</v>
      </c>
      <c r="X835" t="s">
        <v>3083</v>
      </c>
      <c r="Y835" t="s">
        <v>3084</v>
      </c>
      <c r="Z835">
        <v>435.20553849999999</v>
      </c>
    </row>
    <row r="836" spans="1:26" hidden="1">
      <c r="A836">
        <v>835</v>
      </c>
      <c r="B836" t="s">
        <v>3085</v>
      </c>
      <c r="C836" t="s">
        <v>28</v>
      </c>
      <c r="D836" s="1" t="b">
        <v>0</v>
      </c>
      <c r="E836">
        <v>8.8003500000000004E-4</v>
      </c>
      <c r="F836">
        <v>3.0554999999999999</v>
      </c>
      <c r="M836">
        <v>25</v>
      </c>
      <c r="N836" t="s">
        <v>1849</v>
      </c>
      <c r="X836" t="s">
        <v>3086</v>
      </c>
      <c r="Y836" t="s">
        <v>3087</v>
      </c>
      <c r="Z836">
        <v>668.42187460000002</v>
      </c>
    </row>
    <row r="837" spans="1:26" hidden="1">
      <c r="A837">
        <v>836</v>
      </c>
      <c r="B837" t="s">
        <v>3088</v>
      </c>
      <c r="C837" t="s">
        <v>28</v>
      </c>
      <c r="D837" s="1" t="b">
        <v>0</v>
      </c>
      <c r="E837">
        <v>4.1001500000000001E-4</v>
      </c>
      <c r="F837">
        <v>3.3872</v>
      </c>
      <c r="G837">
        <v>39.700000000000003</v>
      </c>
      <c r="H837">
        <v>1.35E-6</v>
      </c>
      <c r="I837">
        <v>1.23</v>
      </c>
      <c r="J837">
        <v>32.299999999999997</v>
      </c>
      <c r="K837">
        <v>3.9191700119999999</v>
      </c>
      <c r="L837">
        <v>1.9857568999999999E-2</v>
      </c>
      <c r="M837">
        <v>25</v>
      </c>
      <c r="N837" t="s">
        <v>1911</v>
      </c>
      <c r="O837" t="s">
        <v>29</v>
      </c>
      <c r="Q837" t="s">
        <v>1912</v>
      </c>
      <c r="R837" t="s">
        <v>1912</v>
      </c>
      <c r="U837" t="s">
        <v>31</v>
      </c>
      <c r="V837" t="s">
        <v>31</v>
      </c>
      <c r="W837" t="s">
        <v>3089</v>
      </c>
      <c r="X837" t="s">
        <v>3090</v>
      </c>
      <c r="Y837" t="s">
        <v>3091</v>
      </c>
      <c r="Z837">
        <v>682.43752459999996</v>
      </c>
    </row>
    <row r="838" spans="1:26" hidden="1">
      <c r="A838">
        <v>837</v>
      </c>
      <c r="B838" t="s">
        <v>3092</v>
      </c>
      <c r="C838" t="s">
        <v>28</v>
      </c>
      <c r="D838" s="1" t="b">
        <v>0</v>
      </c>
      <c r="E838">
        <v>3.2998899999999999E-4</v>
      </c>
      <c r="F838">
        <v>3.4815</v>
      </c>
      <c r="M838">
        <v>25</v>
      </c>
      <c r="N838" t="s">
        <v>1849</v>
      </c>
      <c r="X838" t="s">
        <v>3093</v>
      </c>
      <c r="Y838" t="s">
        <v>3094</v>
      </c>
      <c r="Z838">
        <v>697.44842370000003</v>
      </c>
    </row>
    <row r="839" spans="1:26" hidden="1">
      <c r="A839">
        <v>838</v>
      </c>
      <c r="B839" t="s">
        <v>3095</v>
      </c>
      <c r="C839" t="s">
        <v>28</v>
      </c>
      <c r="D839" s="1" t="b">
        <v>0</v>
      </c>
      <c r="E839">
        <v>3.8001400000000002E-4</v>
      </c>
      <c r="F839">
        <v>3.4201999999999999</v>
      </c>
      <c r="M839">
        <v>25</v>
      </c>
      <c r="N839" t="s">
        <v>1849</v>
      </c>
      <c r="X839" t="s">
        <v>3096</v>
      </c>
      <c r="Y839" t="s">
        <v>3097</v>
      </c>
      <c r="Z839">
        <v>684.41678920000004</v>
      </c>
    </row>
    <row r="840" spans="1:26" hidden="1">
      <c r="A840">
        <v>839</v>
      </c>
      <c r="B840" t="s">
        <v>3098</v>
      </c>
      <c r="C840" t="s">
        <v>28</v>
      </c>
      <c r="D840" s="1" t="b">
        <v>0</v>
      </c>
      <c r="E840">
        <v>4.0999999999999999E-4</v>
      </c>
      <c r="F840">
        <v>3.3872161429999998</v>
      </c>
      <c r="G840">
        <v>38</v>
      </c>
      <c r="H840">
        <v>1.4899999999999999E-6</v>
      </c>
      <c r="I840">
        <v>1.1100000000000001</v>
      </c>
      <c r="J840">
        <v>34</v>
      </c>
      <c r="K840">
        <v>3.9358183819999999</v>
      </c>
      <c r="L840">
        <v>1.9529709999999999E-2</v>
      </c>
      <c r="M840">
        <v>25</v>
      </c>
      <c r="N840" t="s">
        <v>1912</v>
      </c>
      <c r="O840" t="s">
        <v>29</v>
      </c>
      <c r="Q840" t="s">
        <v>1912</v>
      </c>
      <c r="R840" t="s">
        <v>1912</v>
      </c>
      <c r="U840" t="s">
        <v>31</v>
      </c>
      <c r="V840" t="s">
        <v>31</v>
      </c>
      <c r="W840" t="s">
        <v>3099</v>
      </c>
      <c r="X840" t="s">
        <v>3100</v>
      </c>
      <c r="Y840" t="s">
        <v>3101</v>
      </c>
      <c r="Z840">
        <v>697.44842370000003</v>
      </c>
    </row>
    <row r="841" spans="1:26" hidden="1">
      <c r="A841">
        <v>840</v>
      </c>
      <c r="B841" t="s">
        <v>3102</v>
      </c>
      <c r="C841" t="s">
        <v>28</v>
      </c>
      <c r="D841" s="1" t="b">
        <v>0</v>
      </c>
      <c r="E841">
        <v>3.1E-4</v>
      </c>
      <c r="F841">
        <v>3.5086383059999999</v>
      </c>
      <c r="G841">
        <v>39.700000000000003</v>
      </c>
      <c r="H841">
        <v>1.3200000000000001E-6</v>
      </c>
      <c r="I841">
        <v>1.26</v>
      </c>
      <c r="J841">
        <v>32.299999999999997</v>
      </c>
      <c r="K841">
        <v>4.0526985460000002</v>
      </c>
      <c r="L841">
        <v>1.7375423000000001E-2</v>
      </c>
      <c r="M841">
        <v>25</v>
      </c>
      <c r="N841" t="s">
        <v>1912</v>
      </c>
      <c r="O841" t="s">
        <v>29</v>
      </c>
      <c r="Q841" t="s">
        <v>1912</v>
      </c>
      <c r="R841" t="s">
        <v>1912</v>
      </c>
      <c r="U841" t="s">
        <v>31</v>
      </c>
      <c r="V841" t="s">
        <v>31</v>
      </c>
      <c r="W841" t="s">
        <v>3103</v>
      </c>
      <c r="X841" t="s">
        <v>3104</v>
      </c>
      <c r="Y841" t="s">
        <v>3105</v>
      </c>
      <c r="Z841">
        <v>684.41678920000004</v>
      </c>
    </row>
    <row r="842" spans="1:26" hidden="1">
      <c r="A842">
        <v>841</v>
      </c>
      <c r="B842" t="s">
        <v>3106</v>
      </c>
      <c r="C842" t="s">
        <v>28</v>
      </c>
      <c r="D842" s="1" t="b">
        <v>0</v>
      </c>
      <c r="E842">
        <v>9.0991300000000004E-4</v>
      </c>
      <c r="F842">
        <v>3.0409999999999999</v>
      </c>
      <c r="M842">
        <v>25</v>
      </c>
      <c r="N842" t="s">
        <v>1849</v>
      </c>
      <c r="X842" t="s">
        <v>3107</v>
      </c>
      <c r="Y842" t="s">
        <v>3108</v>
      </c>
      <c r="Z842">
        <v>744.45317469999998</v>
      </c>
    </row>
    <row r="843" spans="1:26" hidden="1">
      <c r="A843">
        <v>842</v>
      </c>
      <c r="B843" t="s">
        <v>3109</v>
      </c>
      <c r="C843" t="s">
        <v>28</v>
      </c>
      <c r="D843" s="1" t="b">
        <v>0</v>
      </c>
      <c r="E843">
        <v>8.9002000000000005E-4</v>
      </c>
      <c r="F843">
        <v>3.0506000000000002</v>
      </c>
      <c r="M843">
        <v>25</v>
      </c>
      <c r="N843" t="s">
        <v>1849</v>
      </c>
      <c r="X843" t="s">
        <v>3110</v>
      </c>
      <c r="Y843" t="s">
        <v>3111</v>
      </c>
      <c r="Z843">
        <v>772.48447480000004</v>
      </c>
    </row>
    <row r="844" spans="1:26" hidden="1">
      <c r="A844">
        <v>843</v>
      </c>
      <c r="B844" t="s">
        <v>3112</v>
      </c>
      <c r="C844" t="s">
        <v>54</v>
      </c>
      <c r="D844" s="1" t="b">
        <v>0</v>
      </c>
      <c r="E844">
        <v>5.3E-3</v>
      </c>
      <c r="F844">
        <v>2.27572413</v>
      </c>
      <c r="M844">
        <v>25</v>
      </c>
      <c r="N844" t="s">
        <v>89</v>
      </c>
      <c r="P844" t="s">
        <v>103</v>
      </c>
      <c r="W844" t="s">
        <v>3113</v>
      </c>
      <c r="X844" t="s">
        <v>3114</v>
      </c>
      <c r="Y844" t="s">
        <v>3115</v>
      </c>
      <c r="Z844">
        <v>341.17181210000001</v>
      </c>
    </row>
    <row r="845" spans="1:26">
      <c r="A845">
        <v>844</v>
      </c>
      <c r="B845" s="2" t="s">
        <v>3112</v>
      </c>
      <c r="C845" t="s">
        <v>54</v>
      </c>
      <c r="D845" s="1" t="b">
        <v>1</v>
      </c>
      <c r="E845">
        <v>5.3E-3</v>
      </c>
      <c r="F845">
        <v>2.27572413</v>
      </c>
      <c r="G845" s="2"/>
      <c r="H845" s="2"/>
      <c r="I845" s="2"/>
      <c r="J845" s="2"/>
      <c r="K845" s="2"/>
      <c r="L845" s="2"/>
      <c r="M845">
        <v>25</v>
      </c>
      <c r="N845" t="s">
        <v>135</v>
      </c>
      <c r="W845" t="s">
        <v>3116</v>
      </c>
      <c r="X845" t="s">
        <v>3117</v>
      </c>
      <c r="Y845" t="s">
        <v>3118</v>
      </c>
      <c r="Z845">
        <v>341.17181210000001</v>
      </c>
    </row>
    <row r="846" spans="1:26" hidden="1">
      <c r="A846">
        <v>845</v>
      </c>
      <c r="B846" t="s">
        <v>3119</v>
      </c>
      <c r="C846" t="s">
        <v>83</v>
      </c>
      <c r="D846" s="1" t="b">
        <v>0</v>
      </c>
      <c r="G846">
        <v>34.200000000000003</v>
      </c>
      <c r="O846" t="s">
        <v>29</v>
      </c>
      <c r="Q846" t="s">
        <v>578</v>
      </c>
      <c r="X846" t="s">
        <v>3120</v>
      </c>
      <c r="Y846" t="s">
        <v>3121</v>
      </c>
      <c r="Z846">
        <v>377.277738</v>
      </c>
    </row>
    <row r="847" spans="1:26">
      <c r="A847">
        <v>846</v>
      </c>
      <c r="B847" s="2" t="s">
        <v>3122</v>
      </c>
      <c r="C847" t="s">
        <v>83</v>
      </c>
      <c r="D847" s="1" t="b">
        <v>1</v>
      </c>
      <c r="E847">
        <v>1.46E-4</v>
      </c>
      <c r="F847">
        <v>3.8356471440000002</v>
      </c>
      <c r="G847">
        <v>34.4</v>
      </c>
      <c r="H847">
        <v>3.9899999999999999E-6</v>
      </c>
      <c r="I847">
        <v>0.41617520499999999</v>
      </c>
      <c r="J847">
        <v>37.6</v>
      </c>
      <c r="K847">
        <v>4.78</v>
      </c>
      <c r="L847">
        <v>1.66E-5</v>
      </c>
      <c r="M847">
        <v>20</v>
      </c>
      <c r="N847" t="s">
        <v>135</v>
      </c>
      <c r="O847" t="s">
        <v>137</v>
      </c>
      <c r="Q847" t="s">
        <v>446</v>
      </c>
      <c r="R847" t="s">
        <v>137</v>
      </c>
      <c r="S847" t="s">
        <v>137</v>
      </c>
      <c r="T847" t="s">
        <v>31</v>
      </c>
      <c r="U847" t="s">
        <v>446</v>
      </c>
      <c r="X847" t="s">
        <v>3123</v>
      </c>
      <c r="Y847" t="s">
        <v>3124</v>
      </c>
      <c r="Z847">
        <v>347.26717330000002</v>
      </c>
    </row>
    <row r="848" spans="1:26">
      <c r="A848">
        <v>847</v>
      </c>
      <c r="B848" t="s">
        <v>3125</v>
      </c>
      <c r="C848" t="s">
        <v>161</v>
      </c>
      <c r="D848" s="1" t="b">
        <v>1</v>
      </c>
      <c r="E848" s="2">
        <v>1.46E-4</v>
      </c>
      <c r="F848" s="2">
        <f>-LOG10(E848)</f>
        <v>3.8356471442155629</v>
      </c>
      <c r="G848">
        <v>35.200000000000003</v>
      </c>
      <c r="H848" s="3">
        <v>3.9899999999999999E-6</v>
      </c>
      <c r="I848">
        <v>0.42</v>
      </c>
      <c r="J848">
        <v>37.6</v>
      </c>
      <c r="K848" s="2">
        <v>4.78</v>
      </c>
      <c r="L848" s="2">
        <f>10^(-K848)</f>
        <v>1.6595869074375568E-5</v>
      </c>
      <c r="M848">
        <v>20</v>
      </c>
      <c r="N848" t="s">
        <v>162</v>
      </c>
      <c r="O848" t="s">
        <v>163</v>
      </c>
      <c r="P848" t="s">
        <v>164</v>
      </c>
      <c r="R848" t="s">
        <v>446</v>
      </c>
      <c r="S848" t="s">
        <v>446</v>
      </c>
      <c r="T848" t="s">
        <v>446</v>
      </c>
      <c r="U848" t="s">
        <v>446</v>
      </c>
      <c r="W848" t="s">
        <v>3126</v>
      </c>
      <c r="X848" t="s">
        <v>3127</v>
      </c>
      <c r="Y848" t="s">
        <v>3128</v>
      </c>
      <c r="Z848">
        <v>377.277738</v>
      </c>
    </row>
    <row r="849" spans="1:26">
      <c r="A849">
        <v>848</v>
      </c>
      <c r="B849" s="2" t="s">
        <v>3129</v>
      </c>
      <c r="C849" t="s">
        <v>161</v>
      </c>
      <c r="D849" s="1" t="b">
        <v>1</v>
      </c>
      <c r="E849" s="3">
        <v>2.4899999999999998E-4</v>
      </c>
      <c r="F849" s="2">
        <f>-LOG10(E849)</f>
        <v>3.6038006529042637</v>
      </c>
      <c r="G849">
        <v>36</v>
      </c>
      <c r="H849">
        <v>3.98E-6</v>
      </c>
      <c r="I849">
        <v>0.42</v>
      </c>
      <c r="J849">
        <v>36.799999999999997</v>
      </c>
      <c r="K849" s="2">
        <v>4.45</v>
      </c>
      <c r="L849" s="2">
        <f>10^(-K849)</f>
        <v>3.5481338923357479E-5</v>
      </c>
      <c r="M849">
        <v>20</v>
      </c>
      <c r="N849" t="s">
        <v>162</v>
      </c>
      <c r="O849" t="s">
        <v>163</v>
      </c>
      <c r="P849" t="s">
        <v>164</v>
      </c>
      <c r="R849" t="s">
        <v>446</v>
      </c>
      <c r="S849" t="s">
        <v>446</v>
      </c>
      <c r="T849" t="s">
        <v>446</v>
      </c>
      <c r="U849" t="s">
        <v>446</v>
      </c>
      <c r="W849" t="s">
        <v>3130</v>
      </c>
      <c r="X849" t="s">
        <v>3131</v>
      </c>
      <c r="Y849" t="s">
        <v>3132</v>
      </c>
      <c r="Z849">
        <v>523.33564679999995</v>
      </c>
    </row>
    <row r="850" spans="1:26" hidden="1">
      <c r="A850">
        <v>849</v>
      </c>
      <c r="B850" t="s">
        <v>3133</v>
      </c>
      <c r="C850" t="s">
        <v>83</v>
      </c>
      <c r="D850" s="1" t="b">
        <v>0</v>
      </c>
      <c r="G850">
        <v>38.5</v>
      </c>
      <c r="O850" t="s">
        <v>29</v>
      </c>
      <c r="Q850" t="s">
        <v>3134</v>
      </c>
      <c r="X850" t="s">
        <v>3135</v>
      </c>
      <c r="Y850" t="s">
        <v>3136</v>
      </c>
      <c r="Z850">
        <v>249.22232769999999</v>
      </c>
    </row>
    <row r="851" spans="1:26" hidden="1">
      <c r="A851">
        <v>850</v>
      </c>
      <c r="B851" t="s">
        <v>3137</v>
      </c>
      <c r="C851" t="s">
        <v>83</v>
      </c>
      <c r="D851" s="1" t="b">
        <v>0</v>
      </c>
      <c r="E851">
        <v>5.2000000000000002E-6</v>
      </c>
      <c r="F851">
        <v>5.2839966560000002</v>
      </c>
      <c r="G851">
        <v>33</v>
      </c>
      <c r="H851">
        <v>2.5100000000000001E-6</v>
      </c>
      <c r="I851">
        <v>0.66</v>
      </c>
      <c r="J851">
        <v>39</v>
      </c>
      <c r="K851">
        <v>6.6</v>
      </c>
      <c r="L851">
        <v>2.5100000000000001E-7</v>
      </c>
      <c r="M851">
        <v>25</v>
      </c>
      <c r="N851" t="s">
        <v>3138</v>
      </c>
      <c r="O851" t="s">
        <v>29</v>
      </c>
      <c r="Q851" t="s">
        <v>3138</v>
      </c>
      <c r="R851" t="s">
        <v>3138</v>
      </c>
      <c r="T851" t="s">
        <v>3138</v>
      </c>
      <c r="U851" t="s">
        <v>3138</v>
      </c>
      <c r="W851" t="s">
        <v>3139</v>
      </c>
      <c r="X851" t="s">
        <v>3140</v>
      </c>
      <c r="Y851" t="s">
        <v>3141</v>
      </c>
      <c r="Z851">
        <v>926.67665369999997</v>
      </c>
    </row>
    <row r="852" spans="1:26" hidden="1">
      <c r="A852">
        <v>851</v>
      </c>
      <c r="B852" t="s">
        <v>3142</v>
      </c>
      <c r="C852" t="s">
        <v>83</v>
      </c>
      <c r="D852" s="1" t="b">
        <v>0</v>
      </c>
      <c r="E852">
        <v>3.8E-6</v>
      </c>
      <c r="F852">
        <v>5.4202164030000004</v>
      </c>
      <c r="G852">
        <v>32</v>
      </c>
      <c r="H852">
        <v>2.52E-6</v>
      </c>
      <c r="I852">
        <v>0.66</v>
      </c>
      <c r="J852">
        <v>40</v>
      </c>
      <c r="K852">
        <v>6.9</v>
      </c>
      <c r="L852">
        <v>1.2599999999999999E-7</v>
      </c>
      <c r="M852">
        <v>25</v>
      </c>
      <c r="N852" t="s">
        <v>3138</v>
      </c>
      <c r="O852" t="s">
        <v>29</v>
      </c>
      <c r="Q852" t="s">
        <v>3138</v>
      </c>
      <c r="R852" t="s">
        <v>3138</v>
      </c>
      <c r="T852" t="s">
        <v>3138</v>
      </c>
      <c r="U852" t="s">
        <v>3138</v>
      </c>
      <c r="W852" t="s">
        <v>3143</v>
      </c>
      <c r="X852" t="s">
        <v>3144</v>
      </c>
      <c r="Y852" t="s">
        <v>3145</v>
      </c>
      <c r="Z852">
        <v>866.65552430000002</v>
      </c>
    </row>
    <row r="853" spans="1:26">
      <c r="A853">
        <v>852</v>
      </c>
      <c r="B853" s="2" t="s">
        <v>3146</v>
      </c>
      <c r="C853" t="s">
        <v>28</v>
      </c>
      <c r="D853" s="1" t="b">
        <v>1</v>
      </c>
      <c r="E853" s="3">
        <v>1.2999999999999999E-4</v>
      </c>
      <c r="F853" s="2">
        <f>-LOG10(E853)</f>
        <v>3.8860566476931631</v>
      </c>
      <c r="G853">
        <v>29.4</v>
      </c>
      <c r="H853" s="3">
        <v>1.6300000000000001E-6</v>
      </c>
      <c r="I853" s="2">
        <v>1.02</v>
      </c>
      <c r="J853" s="2">
        <f>72-G853</f>
        <v>42.6</v>
      </c>
      <c r="K853" s="2">
        <v>4.72</v>
      </c>
      <c r="L853" s="2">
        <f>10^(-K853)</f>
        <v>1.9054607179632454E-5</v>
      </c>
      <c r="M853" s="2">
        <v>25</v>
      </c>
      <c r="O853" t="s">
        <v>29</v>
      </c>
      <c r="Q853" t="s">
        <v>3147</v>
      </c>
      <c r="X853" t="s">
        <v>3148</v>
      </c>
      <c r="Y853" t="s">
        <v>3149</v>
      </c>
      <c r="Z853">
        <v>578.48210349999999</v>
      </c>
    </row>
    <row r="854" spans="1:26" hidden="1">
      <c r="A854">
        <v>853</v>
      </c>
      <c r="B854" t="s">
        <v>3150</v>
      </c>
      <c r="C854" t="s">
        <v>54</v>
      </c>
      <c r="D854" s="1" t="b">
        <v>0</v>
      </c>
      <c r="E854">
        <v>2.63E-3</v>
      </c>
      <c r="F854">
        <v>2.580044252</v>
      </c>
      <c r="G854">
        <v>44.8</v>
      </c>
      <c r="H854">
        <v>7.08E-6</v>
      </c>
      <c r="I854">
        <v>0.24</v>
      </c>
      <c r="J854">
        <v>27</v>
      </c>
      <c r="K854">
        <v>2.669109094</v>
      </c>
      <c r="L854">
        <v>6.9313949999999999E-2</v>
      </c>
      <c r="M854">
        <v>25</v>
      </c>
      <c r="N854" t="s">
        <v>1768</v>
      </c>
      <c r="O854" t="s">
        <v>29</v>
      </c>
      <c r="Q854" t="s">
        <v>1769</v>
      </c>
      <c r="R854" t="s">
        <v>1768</v>
      </c>
      <c r="S854" t="s">
        <v>1768</v>
      </c>
      <c r="T854" t="s">
        <v>1768</v>
      </c>
      <c r="U854" t="s">
        <v>31</v>
      </c>
      <c r="V854" t="s">
        <v>31</v>
      </c>
      <c r="W854" t="s">
        <v>3151</v>
      </c>
      <c r="X854" t="s">
        <v>3152</v>
      </c>
      <c r="Y854" t="s">
        <v>3153</v>
      </c>
      <c r="Z854">
        <v>486.24709739999997</v>
      </c>
    </row>
    <row r="855" spans="1:26">
      <c r="A855">
        <v>854</v>
      </c>
      <c r="B855" t="s">
        <v>3154</v>
      </c>
      <c r="C855" t="s">
        <v>161</v>
      </c>
      <c r="D855" s="1" t="b">
        <v>1</v>
      </c>
      <c r="E855">
        <v>3.1E-4</v>
      </c>
      <c r="F855">
        <v>3.5086383059999999</v>
      </c>
      <c r="G855">
        <v>33.6</v>
      </c>
      <c r="H855">
        <v>3.8299999999999998E-6</v>
      </c>
      <c r="I855">
        <v>0.43</v>
      </c>
      <c r="J855">
        <v>38.4</v>
      </c>
      <c r="K855">
        <v>4.4000000000000004</v>
      </c>
      <c r="L855">
        <v>3.9799999999999998E-5</v>
      </c>
      <c r="M855">
        <v>25</v>
      </c>
      <c r="N855" t="s">
        <v>162</v>
      </c>
      <c r="O855" t="s">
        <v>163</v>
      </c>
      <c r="P855" t="s">
        <v>164</v>
      </c>
      <c r="R855" t="s">
        <v>3155</v>
      </c>
      <c r="S855" t="s">
        <v>3155</v>
      </c>
      <c r="T855" t="s">
        <v>3155</v>
      </c>
      <c r="U855" t="s">
        <v>3155</v>
      </c>
      <c r="W855" t="s">
        <v>3156</v>
      </c>
      <c r="X855" t="s">
        <v>3157</v>
      </c>
      <c r="Y855" t="s">
        <v>3158</v>
      </c>
      <c r="Z855">
        <v>525.31491129999995</v>
      </c>
    </row>
    <row r="856" spans="1:26" hidden="1">
      <c r="A856">
        <v>855</v>
      </c>
      <c r="B856" t="s">
        <v>3159</v>
      </c>
      <c r="C856" t="s">
        <v>54</v>
      </c>
      <c r="D856" s="1" t="b">
        <v>0</v>
      </c>
      <c r="E856">
        <v>8.0000000000000007E-5</v>
      </c>
      <c r="F856">
        <v>4.0969100129999996</v>
      </c>
      <c r="G856">
        <v>27</v>
      </c>
      <c r="H856">
        <v>3.7699999999999999E-6</v>
      </c>
      <c r="I856">
        <v>0.44</v>
      </c>
      <c r="J856">
        <v>45</v>
      </c>
      <c r="K856">
        <v>4.6776820880000001</v>
      </c>
      <c r="L856">
        <v>9.3005469999999993E-3</v>
      </c>
      <c r="M856">
        <v>25</v>
      </c>
      <c r="N856" t="s">
        <v>3160</v>
      </c>
      <c r="O856" t="s">
        <v>29</v>
      </c>
      <c r="Q856" t="s">
        <v>3160</v>
      </c>
      <c r="T856" t="s">
        <v>3160</v>
      </c>
      <c r="U856" t="s">
        <v>31</v>
      </c>
      <c r="V856" t="s">
        <v>31</v>
      </c>
      <c r="W856" t="s">
        <v>3161</v>
      </c>
      <c r="X856" t="s">
        <v>3162</v>
      </c>
      <c r="Y856" t="s">
        <v>3163</v>
      </c>
      <c r="Z856">
        <v>603.43384049999997</v>
      </c>
    </row>
    <row r="857" spans="1:26" hidden="1">
      <c r="A857">
        <v>856</v>
      </c>
      <c r="B857" t="s">
        <v>3164</v>
      </c>
      <c r="C857" t="s">
        <v>28</v>
      </c>
      <c r="D857" s="1" t="b">
        <v>0</v>
      </c>
      <c r="E857">
        <v>1.6000000000000001E-4</v>
      </c>
      <c r="F857">
        <v>3.795880017</v>
      </c>
      <c r="M857">
        <v>25</v>
      </c>
      <c r="N857" t="s">
        <v>484</v>
      </c>
      <c r="P857" t="s">
        <v>648</v>
      </c>
      <c r="X857" t="s">
        <v>3165</v>
      </c>
      <c r="Y857" t="s">
        <v>3166</v>
      </c>
      <c r="Z857">
        <v>778.65973350000002</v>
      </c>
    </row>
    <row r="858" spans="1:26" hidden="1">
      <c r="A858">
        <v>857</v>
      </c>
      <c r="B858" t="s">
        <v>3167</v>
      </c>
      <c r="C858" t="s">
        <v>28</v>
      </c>
      <c r="D858" s="1" t="b">
        <v>0</v>
      </c>
      <c r="E858">
        <v>3.3960000000000001E-4</v>
      </c>
      <c r="F858">
        <v>3.469032318</v>
      </c>
      <c r="M858">
        <v>25</v>
      </c>
      <c r="N858" t="s">
        <v>484</v>
      </c>
      <c r="P858" t="s">
        <v>648</v>
      </c>
      <c r="X858" t="s">
        <v>3168</v>
      </c>
      <c r="Y858" t="s">
        <v>3169</v>
      </c>
      <c r="Z858">
        <v>694.56583320000004</v>
      </c>
    </row>
    <row r="859" spans="1:26" hidden="1">
      <c r="A859">
        <v>858</v>
      </c>
      <c r="B859" t="s">
        <v>3170</v>
      </c>
      <c r="C859" t="s">
        <v>54</v>
      </c>
      <c r="D859" s="1" t="b">
        <v>0</v>
      </c>
      <c r="E859">
        <v>8.1499999999999997E-4</v>
      </c>
      <c r="F859">
        <v>3.088842391</v>
      </c>
      <c r="G859">
        <v>35.799999999999997</v>
      </c>
      <c r="H859">
        <v>1.9199999999999998E-6</v>
      </c>
      <c r="I859">
        <v>0.86</v>
      </c>
      <c r="J859">
        <v>36.200000000000003</v>
      </c>
      <c r="K859">
        <v>3.9</v>
      </c>
      <c r="L859">
        <v>1.26E-4</v>
      </c>
      <c r="M859">
        <v>25</v>
      </c>
      <c r="N859" t="s">
        <v>1983</v>
      </c>
      <c r="O859" t="s">
        <v>29</v>
      </c>
      <c r="Q859" t="s">
        <v>1983</v>
      </c>
      <c r="R859" t="s">
        <v>1983</v>
      </c>
      <c r="S859" t="s">
        <v>1983</v>
      </c>
      <c r="T859" t="s">
        <v>1983</v>
      </c>
      <c r="V859" t="s">
        <v>1983</v>
      </c>
      <c r="W859" t="s">
        <v>3171</v>
      </c>
      <c r="X859" t="s">
        <v>3172</v>
      </c>
      <c r="Y859" t="s">
        <v>3173</v>
      </c>
      <c r="Z859">
        <v>483.32276999999999</v>
      </c>
    </row>
    <row r="860" spans="1:26" hidden="1">
      <c r="A860">
        <v>859</v>
      </c>
      <c r="B860" t="s">
        <v>3174</v>
      </c>
      <c r="C860" t="s">
        <v>83</v>
      </c>
      <c r="D860" s="1" t="b">
        <v>0</v>
      </c>
      <c r="E860">
        <v>3.8020000000000002E-6</v>
      </c>
      <c r="F860">
        <v>5.4199878869999996</v>
      </c>
      <c r="M860">
        <v>25</v>
      </c>
      <c r="N860" t="s">
        <v>207</v>
      </c>
      <c r="X860" t="s">
        <v>3175</v>
      </c>
      <c r="Y860" t="s">
        <v>3176</v>
      </c>
      <c r="Z860">
        <v>866.65552430000002</v>
      </c>
    </row>
    <row r="861" spans="1:26" hidden="1">
      <c r="A861">
        <v>860</v>
      </c>
      <c r="B861" t="s">
        <v>3177</v>
      </c>
      <c r="C861" t="s">
        <v>83</v>
      </c>
      <c r="D861" s="1" t="b">
        <v>0</v>
      </c>
      <c r="E861">
        <v>5.2000000000000002E-6</v>
      </c>
      <c r="F861">
        <v>5.2839966560000002</v>
      </c>
      <c r="M861">
        <v>25</v>
      </c>
      <c r="N861" t="s">
        <v>207</v>
      </c>
      <c r="X861" t="s">
        <v>3178</v>
      </c>
      <c r="Y861" t="s">
        <v>3179</v>
      </c>
      <c r="Z861">
        <v>838.62422419999996</v>
      </c>
    </row>
    <row r="862" spans="1:26" hidden="1">
      <c r="A862">
        <v>861</v>
      </c>
      <c r="B862" t="s">
        <v>3180</v>
      </c>
      <c r="C862" t="s">
        <v>28</v>
      </c>
      <c r="D862" s="1" t="b">
        <v>0</v>
      </c>
      <c r="G862">
        <v>32</v>
      </c>
      <c r="O862" t="s">
        <v>29</v>
      </c>
      <c r="Q862" t="s">
        <v>3181</v>
      </c>
      <c r="X862" t="s">
        <v>3182</v>
      </c>
      <c r="Y862" t="s">
        <v>3183</v>
      </c>
      <c r="Z862">
        <v>756.40153299999997</v>
      </c>
    </row>
    <row r="863" spans="1:26" hidden="1">
      <c r="A863">
        <v>862</v>
      </c>
      <c r="B863" t="s">
        <v>3184</v>
      </c>
      <c r="C863" t="s">
        <v>54</v>
      </c>
      <c r="D863" s="1" t="b">
        <v>0</v>
      </c>
      <c r="E863">
        <v>1.4999999999999999E-4</v>
      </c>
      <c r="F863">
        <v>3.8239087409999999</v>
      </c>
      <c r="G863">
        <v>45</v>
      </c>
      <c r="H863">
        <v>3.3900000000000002E-6</v>
      </c>
      <c r="I863">
        <v>0.49</v>
      </c>
      <c r="J863">
        <v>27</v>
      </c>
      <c r="K863">
        <v>4.0047532840000004</v>
      </c>
      <c r="L863">
        <v>1.8228786E-2</v>
      </c>
      <c r="M863">
        <v>25</v>
      </c>
      <c r="N863" t="s">
        <v>3160</v>
      </c>
      <c r="O863" t="s">
        <v>29</v>
      </c>
      <c r="Q863" t="s">
        <v>3160</v>
      </c>
      <c r="T863" t="s">
        <v>3160</v>
      </c>
      <c r="U863" t="s">
        <v>31</v>
      </c>
      <c r="V863" t="s">
        <v>31</v>
      </c>
      <c r="W863" t="s">
        <v>3185</v>
      </c>
      <c r="X863" t="s">
        <v>3186</v>
      </c>
      <c r="Y863" t="s">
        <v>3187</v>
      </c>
      <c r="Z863">
        <v>605.40187160000005</v>
      </c>
    </row>
    <row r="864" spans="1:26" hidden="1">
      <c r="A864">
        <v>863</v>
      </c>
      <c r="B864" t="s">
        <v>3188</v>
      </c>
      <c r="C864" t="s">
        <v>28</v>
      </c>
      <c r="D864" s="1" t="b">
        <v>0</v>
      </c>
      <c r="E864">
        <v>2.5000000000000001E-4</v>
      </c>
      <c r="F864">
        <v>3.602059991</v>
      </c>
      <c r="M864">
        <v>25</v>
      </c>
      <c r="N864" t="s">
        <v>484</v>
      </c>
      <c r="P864" t="s">
        <v>648</v>
      </c>
      <c r="X864" t="s">
        <v>3189</v>
      </c>
      <c r="Y864" t="s">
        <v>3190</v>
      </c>
      <c r="Z864">
        <v>782.54549159999999</v>
      </c>
    </row>
    <row r="865" spans="1:26" hidden="1">
      <c r="A865">
        <v>864</v>
      </c>
      <c r="B865" t="s">
        <v>3191</v>
      </c>
      <c r="C865" t="s">
        <v>28</v>
      </c>
      <c r="D865" s="1" t="b">
        <v>0</v>
      </c>
      <c r="E865">
        <v>3.1990000000000002E-4</v>
      </c>
      <c r="F865">
        <v>3.4949857600000001</v>
      </c>
      <c r="M865">
        <v>25</v>
      </c>
      <c r="N865" t="s">
        <v>484</v>
      </c>
      <c r="P865" t="s">
        <v>648</v>
      </c>
      <c r="W865" t="s">
        <v>3192</v>
      </c>
      <c r="X865" t="s">
        <v>3193</v>
      </c>
      <c r="Y865" t="s">
        <v>3194</v>
      </c>
      <c r="Z865">
        <v>696.5338643</v>
      </c>
    </row>
    <row r="866" spans="1:26" hidden="1">
      <c r="A866">
        <v>865</v>
      </c>
      <c r="B866" t="s">
        <v>3195</v>
      </c>
      <c r="C866" t="s">
        <v>54</v>
      </c>
      <c r="D866" s="1" t="b">
        <v>0</v>
      </c>
      <c r="E866">
        <v>9.7300000000000002E-4</v>
      </c>
      <c r="F866">
        <v>3.0118871600000001</v>
      </c>
      <c r="G866">
        <v>30</v>
      </c>
      <c r="H866">
        <v>1.1200000000000001E-6</v>
      </c>
      <c r="I866">
        <v>1.48</v>
      </c>
      <c r="J866">
        <v>42</v>
      </c>
      <c r="K866">
        <v>4.83</v>
      </c>
      <c r="L866">
        <v>1.49E-5</v>
      </c>
      <c r="M866">
        <v>20</v>
      </c>
      <c r="N866" t="s">
        <v>1992</v>
      </c>
      <c r="O866" t="s">
        <v>29</v>
      </c>
      <c r="Q866" t="s">
        <v>1992</v>
      </c>
      <c r="R866" t="s">
        <v>1992</v>
      </c>
      <c r="S866" t="s">
        <v>1992</v>
      </c>
      <c r="T866" t="s">
        <v>1992</v>
      </c>
      <c r="U866" t="s">
        <v>1992</v>
      </c>
      <c r="W866" t="s">
        <v>3196</v>
      </c>
      <c r="X866" t="s">
        <v>3197</v>
      </c>
      <c r="Y866" t="s">
        <v>3198</v>
      </c>
      <c r="Z866">
        <v>395.2802365</v>
      </c>
    </row>
    <row r="867" spans="1:26" hidden="1">
      <c r="A867">
        <v>866</v>
      </c>
      <c r="B867" t="s">
        <v>3199</v>
      </c>
      <c r="C867" t="s">
        <v>28</v>
      </c>
      <c r="D867" s="1" t="b">
        <v>0</v>
      </c>
      <c r="E867">
        <v>2.4499999999999999E-3</v>
      </c>
      <c r="F867">
        <v>2.6108339159999998</v>
      </c>
      <c r="G867">
        <v>33.6</v>
      </c>
      <c r="H867">
        <v>1.1799999999999999E-6</v>
      </c>
      <c r="I867">
        <v>1.4079999999999999</v>
      </c>
      <c r="J867">
        <v>38.200000000000003</v>
      </c>
      <c r="K867">
        <v>3.93930216</v>
      </c>
      <c r="L867">
        <v>1.15E-4</v>
      </c>
      <c r="M867">
        <v>25</v>
      </c>
      <c r="N867" t="s">
        <v>1997</v>
      </c>
      <c r="O867" t="s">
        <v>29</v>
      </c>
      <c r="Q867" t="s">
        <v>1997</v>
      </c>
      <c r="R867" t="s">
        <v>1997</v>
      </c>
      <c r="S867" t="s">
        <v>1997</v>
      </c>
      <c r="T867" t="s">
        <v>1997</v>
      </c>
      <c r="V867" t="s">
        <v>1997</v>
      </c>
      <c r="X867" t="s">
        <v>3200</v>
      </c>
      <c r="Y867" t="s">
        <v>3201</v>
      </c>
      <c r="Z867">
        <v>902.61826269999995</v>
      </c>
    </row>
    <row r="868" spans="1:26" hidden="1">
      <c r="A868">
        <v>867</v>
      </c>
      <c r="B868" t="s">
        <v>3202</v>
      </c>
      <c r="C868" t="s">
        <v>54</v>
      </c>
      <c r="D868" s="1" t="b">
        <v>0</v>
      </c>
      <c r="E868">
        <v>0.124</v>
      </c>
      <c r="F868">
        <v>0.90657831499999997</v>
      </c>
      <c r="G868">
        <v>45.2</v>
      </c>
      <c r="J868">
        <v>26.8</v>
      </c>
      <c r="M868">
        <v>25</v>
      </c>
      <c r="N868" t="s">
        <v>1777</v>
      </c>
      <c r="O868" t="s">
        <v>29</v>
      </c>
      <c r="Q868" t="s">
        <v>1777</v>
      </c>
      <c r="W868" t="s">
        <v>3203</v>
      </c>
      <c r="X868" t="s">
        <v>3204</v>
      </c>
      <c r="Y868" t="s">
        <v>3205</v>
      </c>
      <c r="Z868">
        <v>574.18647620000002</v>
      </c>
    </row>
    <row r="869" spans="1:26" hidden="1">
      <c r="A869">
        <v>868</v>
      </c>
      <c r="B869" t="s">
        <v>3206</v>
      </c>
      <c r="C869" t="s">
        <v>54</v>
      </c>
      <c r="D869" s="1" t="b">
        <v>0</v>
      </c>
      <c r="E869">
        <v>0.13400000000000001</v>
      </c>
      <c r="F869">
        <v>0.87289520200000004</v>
      </c>
      <c r="G869">
        <v>44.4</v>
      </c>
      <c r="J869">
        <v>27.6</v>
      </c>
      <c r="M869">
        <v>25</v>
      </c>
      <c r="N869" t="s">
        <v>1777</v>
      </c>
      <c r="O869" t="s">
        <v>29</v>
      </c>
      <c r="Q869" t="s">
        <v>1777</v>
      </c>
      <c r="W869" t="s">
        <v>3207</v>
      </c>
      <c r="X869" t="s">
        <v>3208</v>
      </c>
      <c r="Y869" t="s">
        <v>3209</v>
      </c>
      <c r="Z869">
        <v>544.17591149999998</v>
      </c>
    </row>
    <row r="870" spans="1:26" hidden="1">
      <c r="A870">
        <v>869</v>
      </c>
      <c r="B870" t="s">
        <v>3210</v>
      </c>
      <c r="C870" t="s">
        <v>28</v>
      </c>
      <c r="D870" s="1" t="b">
        <v>0</v>
      </c>
      <c r="E870">
        <v>3.5970000000000003E-5</v>
      </c>
      <c r="F870">
        <v>4.4440595619999996</v>
      </c>
      <c r="M870">
        <v>25</v>
      </c>
      <c r="N870" t="s">
        <v>484</v>
      </c>
      <c r="X870" t="s">
        <v>3211</v>
      </c>
      <c r="Y870" t="s">
        <v>3212</v>
      </c>
      <c r="Z870">
        <v>810.35458289999997</v>
      </c>
    </row>
    <row r="871" spans="1:26" hidden="1">
      <c r="A871">
        <v>870</v>
      </c>
      <c r="B871" t="s">
        <v>3213</v>
      </c>
      <c r="C871" t="s">
        <v>54</v>
      </c>
      <c r="D871" s="1" t="b">
        <v>0</v>
      </c>
      <c r="E871">
        <v>1.5100000000000001E-3</v>
      </c>
      <c r="F871">
        <v>2.8210230529999998</v>
      </c>
      <c r="G871">
        <v>37.799999999999997</v>
      </c>
      <c r="H871">
        <v>1.1799999999999999E-6</v>
      </c>
      <c r="I871">
        <v>1.4079999999999999</v>
      </c>
      <c r="J871">
        <v>34</v>
      </c>
      <c r="K871">
        <v>4.5850266519999998</v>
      </c>
      <c r="L871">
        <v>2.5999999999999998E-5</v>
      </c>
      <c r="M871">
        <v>25</v>
      </c>
      <c r="N871" t="s">
        <v>2018</v>
      </c>
      <c r="O871" t="s">
        <v>29</v>
      </c>
      <c r="Q871" t="s">
        <v>2018</v>
      </c>
      <c r="R871" t="s">
        <v>2018</v>
      </c>
      <c r="S871" t="s">
        <v>2018</v>
      </c>
      <c r="T871" t="s">
        <v>2018</v>
      </c>
      <c r="V871" t="s">
        <v>2018</v>
      </c>
      <c r="X871" t="s">
        <v>3214</v>
      </c>
      <c r="Y871" t="s">
        <v>3215</v>
      </c>
      <c r="Z871">
        <v>534.2093198</v>
      </c>
    </row>
    <row r="872" spans="1:26" hidden="1">
      <c r="A872">
        <v>871</v>
      </c>
      <c r="B872" t="s">
        <v>3216</v>
      </c>
      <c r="C872" t="s">
        <v>54</v>
      </c>
      <c r="D872" s="1" t="b">
        <v>0</v>
      </c>
      <c r="E872">
        <v>1E-3</v>
      </c>
      <c r="F872">
        <v>3</v>
      </c>
      <c r="G872">
        <v>43</v>
      </c>
      <c r="H872">
        <v>5.2499999999999997E-6</v>
      </c>
      <c r="I872">
        <v>3.16</v>
      </c>
      <c r="J872">
        <v>29</v>
      </c>
      <c r="K872">
        <v>5.53</v>
      </c>
      <c r="L872">
        <v>2.9500000000000001E-6</v>
      </c>
      <c r="M872">
        <v>25</v>
      </c>
      <c r="N872" t="s">
        <v>1786</v>
      </c>
      <c r="O872" t="s">
        <v>29</v>
      </c>
      <c r="Q872" t="s">
        <v>1786</v>
      </c>
      <c r="R872" t="s">
        <v>1786</v>
      </c>
      <c r="S872" t="s">
        <v>1786</v>
      </c>
      <c r="T872" t="s">
        <v>1786</v>
      </c>
      <c r="U872" t="s">
        <v>1786</v>
      </c>
      <c r="W872" t="s">
        <v>3217</v>
      </c>
      <c r="X872" t="s">
        <v>3218</v>
      </c>
      <c r="Y872" t="s">
        <v>3219</v>
      </c>
      <c r="Z872">
        <v>548.26135539999996</v>
      </c>
    </row>
    <row r="873" spans="1:26" hidden="1">
      <c r="A873">
        <v>872</v>
      </c>
      <c r="B873" t="s">
        <v>3220</v>
      </c>
      <c r="C873" t="s">
        <v>54</v>
      </c>
      <c r="D873" s="1" t="b">
        <v>0</v>
      </c>
      <c r="E873">
        <v>2.5000000000000001E-4</v>
      </c>
      <c r="F873">
        <v>3.602059991</v>
      </c>
      <c r="G873">
        <v>43.5</v>
      </c>
      <c r="H873">
        <v>4.2300000000000002E-6</v>
      </c>
      <c r="I873">
        <v>3.93</v>
      </c>
      <c r="J873">
        <v>28.5</v>
      </c>
      <c r="K873">
        <v>4.45</v>
      </c>
      <c r="L873">
        <v>3.5500000000000002E-5</v>
      </c>
      <c r="M873">
        <v>25</v>
      </c>
      <c r="N873" t="s">
        <v>1786</v>
      </c>
      <c r="O873" t="s">
        <v>29</v>
      </c>
      <c r="Q873" t="s">
        <v>1786</v>
      </c>
      <c r="R873" t="s">
        <v>1786</v>
      </c>
      <c r="S873" t="s">
        <v>1786</v>
      </c>
      <c r="T873" t="s">
        <v>1786</v>
      </c>
      <c r="U873" t="s">
        <v>1786</v>
      </c>
      <c r="W873" t="s">
        <v>3221</v>
      </c>
      <c r="X873" t="s">
        <v>3222</v>
      </c>
      <c r="Y873" t="s">
        <v>3223</v>
      </c>
      <c r="Z873">
        <v>550.24062000000004</v>
      </c>
    </row>
    <row r="874" spans="1:26" hidden="1">
      <c r="A874">
        <v>873</v>
      </c>
      <c r="B874" t="s">
        <v>3224</v>
      </c>
      <c r="C874" t="s">
        <v>54</v>
      </c>
      <c r="D874" s="1" t="b">
        <v>0</v>
      </c>
      <c r="G874">
        <v>42</v>
      </c>
      <c r="O874" t="s">
        <v>29</v>
      </c>
      <c r="Q874" t="s">
        <v>1795</v>
      </c>
      <c r="X874" t="s">
        <v>3225</v>
      </c>
      <c r="Y874" t="s">
        <v>3226</v>
      </c>
      <c r="Z874">
        <v>492.19875510000003</v>
      </c>
    </row>
    <row r="875" spans="1:26" hidden="1">
      <c r="A875">
        <v>874</v>
      </c>
      <c r="B875" t="s">
        <v>3227</v>
      </c>
      <c r="C875" t="s">
        <v>54</v>
      </c>
      <c r="D875" s="1" t="b">
        <v>0</v>
      </c>
      <c r="E875">
        <v>6.3E-3</v>
      </c>
      <c r="F875">
        <v>2.2006594509999999</v>
      </c>
      <c r="G875">
        <v>25</v>
      </c>
      <c r="H875">
        <v>1.3E-6</v>
      </c>
      <c r="I875">
        <v>1.28</v>
      </c>
      <c r="J875">
        <v>46.78</v>
      </c>
      <c r="K875">
        <v>2.2999999999999998</v>
      </c>
      <c r="L875">
        <v>5.0000000000000001E-3</v>
      </c>
      <c r="M875">
        <v>25</v>
      </c>
      <c r="N875" t="s">
        <v>1799</v>
      </c>
      <c r="O875" t="s">
        <v>29</v>
      </c>
      <c r="Q875" t="s">
        <v>1799</v>
      </c>
      <c r="R875" t="s">
        <v>1799</v>
      </c>
      <c r="S875" t="s">
        <v>1799</v>
      </c>
      <c r="T875" t="s">
        <v>1799</v>
      </c>
      <c r="U875" t="s">
        <v>1799</v>
      </c>
      <c r="V875" t="s">
        <v>1799</v>
      </c>
      <c r="W875" t="s">
        <v>3228</v>
      </c>
      <c r="X875" t="s">
        <v>3229</v>
      </c>
      <c r="Y875" t="s">
        <v>3230</v>
      </c>
      <c r="Z875">
        <v>441.21037749999999</v>
      </c>
    </row>
    <row r="876" spans="1:26" hidden="1">
      <c r="A876">
        <v>875</v>
      </c>
      <c r="B876" t="s">
        <v>3231</v>
      </c>
      <c r="C876" t="s">
        <v>83</v>
      </c>
      <c r="D876" s="1" t="b">
        <v>0</v>
      </c>
      <c r="E876">
        <v>1.8200000000000001E-4</v>
      </c>
      <c r="F876">
        <v>3.7399286119999999</v>
      </c>
      <c r="M876">
        <v>25</v>
      </c>
      <c r="N876" t="s">
        <v>207</v>
      </c>
      <c r="X876" t="s">
        <v>3232</v>
      </c>
      <c r="Y876" t="s">
        <v>3233</v>
      </c>
      <c r="Z876">
        <v>486.30401230000001</v>
      </c>
    </row>
    <row r="877" spans="1:26">
      <c r="A877">
        <v>876</v>
      </c>
      <c r="B877" s="2" t="s">
        <v>3234</v>
      </c>
      <c r="C877" t="s">
        <v>161</v>
      </c>
      <c r="D877" s="1" t="b">
        <v>1</v>
      </c>
      <c r="E877">
        <v>1.7000000000000001E-4</v>
      </c>
      <c r="F877">
        <v>3.7695510790000002</v>
      </c>
      <c r="G877">
        <v>35.299999999999997</v>
      </c>
      <c r="H877">
        <v>3.32E-6</v>
      </c>
      <c r="I877">
        <v>0.5</v>
      </c>
      <c r="J877">
        <v>35.799999999999997</v>
      </c>
      <c r="K877">
        <v>4.6595868810000001</v>
      </c>
      <c r="L877">
        <v>9.4703740000000002E-3</v>
      </c>
      <c r="M877">
        <v>22</v>
      </c>
      <c r="N877" t="s">
        <v>162</v>
      </c>
      <c r="O877" t="s">
        <v>163</v>
      </c>
      <c r="P877" t="s">
        <v>164</v>
      </c>
      <c r="R877" t="s">
        <v>3235</v>
      </c>
      <c r="S877" t="s">
        <v>3235</v>
      </c>
      <c r="T877" t="s">
        <v>3235</v>
      </c>
      <c r="U877" t="s">
        <v>31</v>
      </c>
      <c r="V877" t="s">
        <v>31</v>
      </c>
      <c r="W877" t="s">
        <v>3236</v>
      </c>
      <c r="X877" t="s">
        <v>3237</v>
      </c>
      <c r="Y877" t="s">
        <v>3238</v>
      </c>
      <c r="Z877">
        <v>494.3090977</v>
      </c>
    </row>
    <row r="878" spans="1:26" hidden="1">
      <c r="A878">
        <v>877</v>
      </c>
      <c r="B878" t="s">
        <v>3239</v>
      </c>
      <c r="C878" t="s">
        <v>161</v>
      </c>
      <c r="D878" s="1" t="b">
        <v>0</v>
      </c>
      <c r="E878">
        <v>1.9000000000000001E-4</v>
      </c>
      <c r="F878">
        <v>3.721246399</v>
      </c>
      <c r="M878">
        <v>25</v>
      </c>
      <c r="N878" t="s">
        <v>89</v>
      </c>
      <c r="P878" t="s">
        <v>103</v>
      </c>
      <c r="W878" t="s">
        <v>3240</v>
      </c>
      <c r="X878" t="s">
        <v>3241</v>
      </c>
      <c r="Y878" t="s">
        <v>3242</v>
      </c>
      <c r="Z878">
        <v>348.25118889999999</v>
      </c>
    </row>
    <row r="879" spans="1:26" hidden="1">
      <c r="A879">
        <v>878</v>
      </c>
      <c r="B879" t="s">
        <v>3243</v>
      </c>
      <c r="C879" t="s">
        <v>134</v>
      </c>
      <c r="D879" s="1" t="b">
        <v>0</v>
      </c>
      <c r="E879">
        <v>2.8699999999999998E-4</v>
      </c>
      <c r="F879">
        <v>3.542118103</v>
      </c>
      <c r="G879">
        <v>38.200000000000003</v>
      </c>
      <c r="J879">
        <v>33.770000000000003</v>
      </c>
      <c r="M879">
        <v>25</v>
      </c>
      <c r="N879" t="s">
        <v>3244</v>
      </c>
      <c r="O879" t="s">
        <v>3244</v>
      </c>
      <c r="S879" t="s">
        <v>31</v>
      </c>
      <c r="X879" t="s">
        <v>3245</v>
      </c>
      <c r="Y879" t="s">
        <v>3246</v>
      </c>
      <c r="Z879">
        <v>614.43697789999999</v>
      </c>
    </row>
    <row r="880" spans="1:26" hidden="1">
      <c r="A880">
        <v>879</v>
      </c>
      <c r="B880" t="s">
        <v>3247</v>
      </c>
      <c r="C880" t="s">
        <v>134</v>
      </c>
      <c r="D880" s="1" t="b">
        <v>0</v>
      </c>
      <c r="E880">
        <v>1.02E-4</v>
      </c>
      <c r="F880">
        <v>3.991399828</v>
      </c>
      <c r="G880">
        <v>38.1</v>
      </c>
      <c r="J880">
        <v>33.869999999999997</v>
      </c>
      <c r="M880">
        <v>25</v>
      </c>
      <c r="N880" t="s">
        <v>3244</v>
      </c>
      <c r="O880" t="s">
        <v>3244</v>
      </c>
      <c r="S880" t="s">
        <v>31</v>
      </c>
      <c r="X880" t="s">
        <v>3248</v>
      </c>
      <c r="Y880" t="s">
        <v>3249</v>
      </c>
      <c r="Z880">
        <v>846.60443710000004</v>
      </c>
    </row>
    <row r="881" spans="1:26" hidden="1">
      <c r="A881">
        <v>880</v>
      </c>
      <c r="B881" t="s">
        <v>3250</v>
      </c>
      <c r="C881" t="s">
        <v>134</v>
      </c>
      <c r="D881" s="1" t="b">
        <v>0</v>
      </c>
      <c r="E881">
        <v>3.6000000000000001E-5</v>
      </c>
      <c r="F881">
        <v>4.4436974989999998</v>
      </c>
      <c r="G881">
        <v>38.200000000000003</v>
      </c>
      <c r="J881">
        <v>33.770000000000003</v>
      </c>
      <c r="M881">
        <v>25</v>
      </c>
      <c r="N881" t="s">
        <v>3244</v>
      </c>
      <c r="O881" t="s">
        <v>3244</v>
      </c>
      <c r="S881" t="s">
        <v>31</v>
      </c>
      <c r="X881" t="s">
        <v>3251</v>
      </c>
      <c r="Y881" t="s">
        <v>3252</v>
      </c>
      <c r="Z881">
        <v>1078.771896</v>
      </c>
    </row>
    <row r="882" spans="1:26" hidden="1">
      <c r="A882">
        <v>881</v>
      </c>
      <c r="B882" t="s">
        <v>3253</v>
      </c>
      <c r="C882" t="s">
        <v>134</v>
      </c>
      <c r="D882" s="1" t="b">
        <v>0</v>
      </c>
      <c r="E882">
        <v>1.2999999999999999E-5</v>
      </c>
      <c r="F882">
        <v>4.8860566480000003</v>
      </c>
      <c r="G882">
        <v>38.299999999999997</v>
      </c>
      <c r="J882">
        <v>33.67</v>
      </c>
      <c r="M882">
        <v>25</v>
      </c>
      <c r="N882" t="s">
        <v>3244</v>
      </c>
      <c r="O882" t="s">
        <v>3244</v>
      </c>
      <c r="S882" t="s">
        <v>31</v>
      </c>
      <c r="X882" t="s">
        <v>3254</v>
      </c>
      <c r="Y882" t="s">
        <v>3255</v>
      </c>
      <c r="Z882">
        <v>1100.7232320000001</v>
      </c>
    </row>
    <row r="883" spans="1:26" hidden="1">
      <c r="A883">
        <v>882</v>
      </c>
      <c r="B883" t="s">
        <v>3256</v>
      </c>
      <c r="C883" t="s">
        <v>134</v>
      </c>
      <c r="D883" s="1" t="b">
        <v>0</v>
      </c>
      <c r="E883">
        <v>5.3000000000000001E-5</v>
      </c>
      <c r="F883">
        <v>4.2757241300000004</v>
      </c>
      <c r="G883">
        <v>38.1</v>
      </c>
      <c r="J883">
        <v>33.869999999999997</v>
      </c>
      <c r="M883">
        <v>25</v>
      </c>
      <c r="N883" t="s">
        <v>3244</v>
      </c>
      <c r="O883" t="s">
        <v>3244</v>
      </c>
      <c r="S883" t="s">
        <v>31</v>
      </c>
      <c r="X883" t="s">
        <v>3257</v>
      </c>
      <c r="Y883" t="s">
        <v>3258</v>
      </c>
      <c r="Z883">
        <v>868.55577270000003</v>
      </c>
    </row>
    <row r="884" spans="1:26" hidden="1">
      <c r="A884">
        <v>883</v>
      </c>
      <c r="B884" t="s">
        <v>3259</v>
      </c>
      <c r="C884" t="s">
        <v>134</v>
      </c>
      <c r="D884" s="1" t="b">
        <v>0</v>
      </c>
      <c r="E884">
        <v>3.9500000000000001E-4</v>
      </c>
      <c r="F884">
        <v>3.403402904</v>
      </c>
      <c r="G884">
        <v>39.9</v>
      </c>
      <c r="J884">
        <v>32.07</v>
      </c>
      <c r="M884">
        <v>25</v>
      </c>
      <c r="N884" t="s">
        <v>3244</v>
      </c>
      <c r="O884" t="s">
        <v>3244</v>
      </c>
      <c r="S884" t="s">
        <v>31</v>
      </c>
      <c r="X884" t="s">
        <v>3260</v>
      </c>
      <c r="Y884" t="s">
        <v>3261</v>
      </c>
      <c r="Z884">
        <v>702.4894074</v>
      </c>
    </row>
    <row r="885" spans="1:26" hidden="1">
      <c r="A885">
        <v>884</v>
      </c>
      <c r="B885" t="s">
        <v>3262</v>
      </c>
      <c r="C885" t="s">
        <v>134</v>
      </c>
      <c r="D885" s="1" t="b">
        <v>0</v>
      </c>
      <c r="E885">
        <v>1.7000000000000001E-4</v>
      </c>
      <c r="F885">
        <v>3.7695510790000002</v>
      </c>
      <c r="G885">
        <v>40.4</v>
      </c>
      <c r="J885">
        <v>31.57</v>
      </c>
      <c r="M885">
        <v>25</v>
      </c>
      <c r="N885" t="s">
        <v>3244</v>
      </c>
      <c r="O885" t="s">
        <v>3244</v>
      </c>
      <c r="S885" t="s">
        <v>31</v>
      </c>
      <c r="X885" t="s">
        <v>3263</v>
      </c>
      <c r="Y885" t="s">
        <v>3264</v>
      </c>
      <c r="Z885">
        <v>724.44074290000003</v>
      </c>
    </row>
    <row r="886" spans="1:26" hidden="1">
      <c r="A886">
        <v>885</v>
      </c>
      <c r="B886" t="s">
        <v>3265</v>
      </c>
      <c r="C886" t="s">
        <v>134</v>
      </c>
      <c r="D886" s="1" t="b">
        <v>0</v>
      </c>
      <c r="E886">
        <v>1.4799999999999999E-4</v>
      </c>
      <c r="F886">
        <v>3.8297382849999999</v>
      </c>
      <c r="G886">
        <v>38.700000000000003</v>
      </c>
      <c r="J886">
        <v>33.270000000000003</v>
      </c>
      <c r="M886">
        <v>25</v>
      </c>
      <c r="N886" t="s">
        <v>3244</v>
      </c>
      <c r="O886" t="s">
        <v>3244</v>
      </c>
      <c r="S886" t="s">
        <v>31</v>
      </c>
      <c r="X886" t="s">
        <v>3266</v>
      </c>
      <c r="Y886" t="s">
        <v>3267</v>
      </c>
      <c r="Z886">
        <v>636.38831340000002</v>
      </c>
    </row>
    <row r="887" spans="1:26" hidden="1">
      <c r="A887">
        <v>886</v>
      </c>
      <c r="B887" t="s">
        <v>3268</v>
      </c>
      <c r="C887" t="s">
        <v>28</v>
      </c>
      <c r="D887" s="1" t="b">
        <v>0</v>
      </c>
      <c r="E887">
        <v>2.8099999999999999E-5</v>
      </c>
      <c r="F887">
        <v>4.5512936799999997</v>
      </c>
      <c r="G887">
        <v>33</v>
      </c>
      <c r="H887">
        <v>2.3700000000000002E-6</v>
      </c>
      <c r="I887">
        <v>0.7</v>
      </c>
      <c r="J887">
        <v>39</v>
      </c>
      <c r="K887">
        <v>5.2</v>
      </c>
      <c r="L887">
        <v>6.3099999999999997E-6</v>
      </c>
      <c r="M887">
        <v>25</v>
      </c>
      <c r="N887" t="s">
        <v>2597</v>
      </c>
      <c r="O887" t="s">
        <v>29</v>
      </c>
      <c r="Q887" t="s">
        <v>2597</v>
      </c>
      <c r="R887" t="s">
        <v>2597</v>
      </c>
      <c r="S887" t="s">
        <v>2597</v>
      </c>
      <c r="T887" t="s">
        <v>2597</v>
      </c>
      <c r="U887" t="s">
        <v>2597</v>
      </c>
      <c r="V887" t="s">
        <v>2597</v>
      </c>
      <c r="W887" t="s">
        <v>3269</v>
      </c>
      <c r="X887" t="s">
        <v>3270</v>
      </c>
      <c r="Y887" t="s">
        <v>3271</v>
      </c>
      <c r="Z887">
        <v>866.46222590000002</v>
      </c>
    </row>
    <row r="888" spans="1:26" hidden="1">
      <c r="A888">
        <v>887</v>
      </c>
      <c r="B888" t="s">
        <v>3272</v>
      </c>
      <c r="C888" t="s">
        <v>28</v>
      </c>
      <c r="D888" s="1" t="b">
        <v>0</v>
      </c>
      <c r="E888">
        <v>3.3899999999999997E-5</v>
      </c>
      <c r="F888">
        <v>4.4698003020000003</v>
      </c>
      <c r="G888">
        <v>33.5</v>
      </c>
      <c r="H888">
        <v>1.66E-6</v>
      </c>
      <c r="I888">
        <v>1</v>
      </c>
      <c r="J888">
        <v>38.5</v>
      </c>
      <c r="K888">
        <v>5.3</v>
      </c>
      <c r="L888">
        <v>5.0100000000000003E-6</v>
      </c>
      <c r="M888">
        <v>25</v>
      </c>
      <c r="N888" t="s">
        <v>2597</v>
      </c>
      <c r="O888" t="s">
        <v>29</v>
      </c>
      <c r="Q888" t="s">
        <v>2597</v>
      </c>
      <c r="R888" t="s">
        <v>2597</v>
      </c>
      <c r="S888" t="s">
        <v>2597</v>
      </c>
      <c r="T888" t="s">
        <v>2597</v>
      </c>
      <c r="U888" t="s">
        <v>2597</v>
      </c>
      <c r="V888" t="s">
        <v>2597</v>
      </c>
      <c r="W888" t="s">
        <v>3273</v>
      </c>
      <c r="X888" t="s">
        <v>3274</v>
      </c>
      <c r="Y888" t="s">
        <v>3275</v>
      </c>
      <c r="Z888">
        <v>838.43092579999995</v>
      </c>
    </row>
    <row r="889" spans="1:26" hidden="1">
      <c r="A889">
        <v>888</v>
      </c>
      <c r="B889" t="s">
        <v>3276</v>
      </c>
      <c r="C889" t="s">
        <v>28</v>
      </c>
      <c r="D889" s="1" t="b">
        <v>0</v>
      </c>
      <c r="E889">
        <v>2.19E-5</v>
      </c>
      <c r="F889">
        <v>4.6595558849999996</v>
      </c>
      <c r="G889">
        <v>34.299999999999997</v>
      </c>
      <c r="H889">
        <v>1.3799999999999999E-6</v>
      </c>
      <c r="I889">
        <v>1.2</v>
      </c>
      <c r="J889">
        <v>37.700000000000003</v>
      </c>
      <c r="K889">
        <v>5.42</v>
      </c>
      <c r="L889">
        <v>3.8E-6</v>
      </c>
      <c r="M889">
        <v>25</v>
      </c>
      <c r="N889" t="s">
        <v>2597</v>
      </c>
      <c r="O889" t="s">
        <v>29</v>
      </c>
      <c r="Q889" t="s">
        <v>2597</v>
      </c>
      <c r="R889" t="s">
        <v>2597</v>
      </c>
      <c r="S889" t="s">
        <v>2597</v>
      </c>
      <c r="T889" t="s">
        <v>2597</v>
      </c>
      <c r="U889" t="s">
        <v>2597</v>
      </c>
      <c r="V889" t="s">
        <v>2597</v>
      </c>
      <c r="W889" t="s">
        <v>3277</v>
      </c>
      <c r="X889" t="s">
        <v>3278</v>
      </c>
      <c r="Y889" t="s">
        <v>3279</v>
      </c>
      <c r="Z889">
        <v>926.48335529999997</v>
      </c>
    </row>
    <row r="890" spans="1:26" hidden="1">
      <c r="A890">
        <v>889</v>
      </c>
      <c r="B890" t="s">
        <v>3280</v>
      </c>
      <c r="C890" t="s">
        <v>28</v>
      </c>
      <c r="D890" s="1" t="b">
        <v>0</v>
      </c>
      <c r="E890">
        <v>5.3300000000000001E-5</v>
      </c>
      <c r="F890">
        <v>4.2732727910000001</v>
      </c>
      <c r="G890">
        <v>31.5</v>
      </c>
      <c r="H890">
        <v>1.66E-6</v>
      </c>
      <c r="I890">
        <v>1</v>
      </c>
      <c r="J890">
        <v>40.5</v>
      </c>
      <c r="K890">
        <v>5.42</v>
      </c>
      <c r="L890">
        <v>3.8E-6</v>
      </c>
      <c r="M890">
        <v>25</v>
      </c>
      <c r="N890" t="s">
        <v>2597</v>
      </c>
      <c r="O890" t="s">
        <v>29</v>
      </c>
      <c r="Q890" t="s">
        <v>2597</v>
      </c>
      <c r="R890" t="s">
        <v>2597</v>
      </c>
      <c r="S890" t="s">
        <v>2597</v>
      </c>
      <c r="T890" t="s">
        <v>2597</v>
      </c>
      <c r="U890" t="s">
        <v>2597</v>
      </c>
      <c r="V890" t="s">
        <v>2597</v>
      </c>
      <c r="W890" t="s">
        <v>3281</v>
      </c>
      <c r="X890" t="s">
        <v>3282</v>
      </c>
      <c r="Y890" t="s">
        <v>3283</v>
      </c>
      <c r="Z890">
        <v>898.45205520000002</v>
      </c>
    </row>
    <row r="891" spans="1:26" hidden="1">
      <c r="A891">
        <v>890</v>
      </c>
      <c r="B891" t="s">
        <v>3284</v>
      </c>
      <c r="C891" t="s">
        <v>28</v>
      </c>
      <c r="D891" s="1" t="b">
        <v>0</v>
      </c>
      <c r="E891">
        <v>2.17E-6</v>
      </c>
      <c r="F891">
        <v>5.663540266</v>
      </c>
      <c r="G891">
        <v>40.799999999999997</v>
      </c>
      <c r="H891">
        <v>4.1500000000000001E-6</v>
      </c>
      <c r="I891">
        <v>0.4</v>
      </c>
      <c r="J891">
        <v>31.2</v>
      </c>
      <c r="K891">
        <v>5.74</v>
      </c>
      <c r="L891">
        <v>1.8199999999999999E-6</v>
      </c>
      <c r="M891">
        <v>25</v>
      </c>
      <c r="N891" t="s">
        <v>2597</v>
      </c>
      <c r="O891" t="s">
        <v>29</v>
      </c>
      <c r="Q891" t="s">
        <v>2597</v>
      </c>
      <c r="R891" t="s">
        <v>2597</v>
      </c>
      <c r="S891" t="s">
        <v>2597</v>
      </c>
      <c r="T891" t="s">
        <v>2597</v>
      </c>
      <c r="U891" t="s">
        <v>2597</v>
      </c>
      <c r="V891" t="s">
        <v>2597</v>
      </c>
      <c r="W891" t="s">
        <v>3285</v>
      </c>
      <c r="X891" t="s">
        <v>3286</v>
      </c>
      <c r="Y891" t="s">
        <v>3287</v>
      </c>
      <c r="Z891">
        <v>810.3996257</v>
      </c>
    </row>
    <row r="892" spans="1:26" hidden="1">
      <c r="A892">
        <v>891</v>
      </c>
      <c r="B892" t="s">
        <v>3288</v>
      </c>
      <c r="C892" t="s">
        <v>311</v>
      </c>
      <c r="D892" s="1" t="b">
        <v>0</v>
      </c>
      <c r="E892">
        <v>9.01E-4</v>
      </c>
      <c r="F892">
        <v>3.0452752090000001</v>
      </c>
      <c r="G892">
        <v>28.6</v>
      </c>
      <c r="J892">
        <v>43.18</v>
      </c>
      <c r="M892">
        <v>25</v>
      </c>
      <c r="N892" t="s">
        <v>3289</v>
      </c>
      <c r="O892" t="s">
        <v>29</v>
      </c>
      <c r="Q892" t="s">
        <v>3289</v>
      </c>
      <c r="W892" t="s">
        <v>3290</v>
      </c>
      <c r="X892" t="s">
        <v>3291</v>
      </c>
      <c r="Y892" t="s">
        <v>3292</v>
      </c>
      <c r="Z892">
        <v>729.54246869999997</v>
      </c>
    </row>
    <row r="893" spans="1:26" hidden="1">
      <c r="A893">
        <v>892</v>
      </c>
      <c r="B893" t="s">
        <v>3293</v>
      </c>
      <c r="C893" t="s">
        <v>311</v>
      </c>
      <c r="D893" s="1" t="b">
        <v>0</v>
      </c>
      <c r="E893">
        <v>4.9200000000000003E-4</v>
      </c>
      <c r="F893">
        <v>3.3080348970000002</v>
      </c>
      <c r="G893">
        <v>32.200000000000003</v>
      </c>
      <c r="J893">
        <v>39.58</v>
      </c>
      <c r="M893">
        <v>25</v>
      </c>
      <c r="N893" t="s">
        <v>3289</v>
      </c>
      <c r="O893" t="s">
        <v>29</v>
      </c>
      <c r="Q893" t="s">
        <v>3289</v>
      </c>
      <c r="W893" t="s">
        <v>3294</v>
      </c>
      <c r="X893" t="s">
        <v>3295</v>
      </c>
      <c r="Y893" t="s">
        <v>3296</v>
      </c>
      <c r="Z893">
        <v>861.62111300000004</v>
      </c>
    </row>
    <row r="894" spans="1:26" hidden="1">
      <c r="A894">
        <v>893</v>
      </c>
      <c r="B894" t="s">
        <v>3297</v>
      </c>
      <c r="C894" t="s">
        <v>311</v>
      </c>
      <c r="D894" s="1" t="b">
        <v>0</v>
      </c>
      <c r="E894">
        <v>1.5200000000000001E-4</v>
      </c>
      <c r="F894">
        <v>3.818156412</v>
      </c>
      <c r="G894">
        <v>28.9</v>
      </c>
      <c r="J894">
        <v>43.07</v>
      </c>
      <c r="M894">
        <v>25</v>
      </c>
      <c r="N894" t="s">
        <v>3298</v>
      </c>
      <c r="O894" t="s">
        <v>29</v>
      </c>
      <c r="Q894" t="s">
        <v>3298</v>
      </c>
      <c r="S894" t="s">
        <v>31</v>
      </c>
      <c r="W894" t="s">
        <v>3299</v>
      </c>
      <c r="X894" t="s">
        <v>3300</v>
      </c>
      <c r="Y894" t="s">
        <v>3301</v>
      </c>
      <c r="Z894">
        <v>641.49003919999996</v>
      </c>
    </row>
    <row r="895" spans="1:26" hidden="1">
      <c r="A895">
        <v>894</v>
      </c>
      <c r="B895" t="s">
        <v>3302</v>
      </c>
      <c r="C895" t="s">
        <v>28</v>
      </c>
      <c r="D895" s="1" t="b">
        <v>0</v>
      </c>
      <c r="E895">
        <v>2.32E-4</v>
      </c>
      <c r="F895">
        <v>3.6345120149999999</v>
      </c>
      <c r="G895">
        <v>31.3</v>
      </c>
      <c r="J895">
        <v>40.67</v>
      </c>
      <c r="M895">
        <v>25</v>
      </c>
      <c r="N895" t="s">
        <v>3298</v>
      </c>
      <c r="O895" t="s">
        <v>29</v>
      </c>
      <c r="Q895" t="s">
        <v>3298</v>
      </c>
      <c r="S895" t="s">
        <v>31</v>
      </c>
      <c r="W895" t="s">
        <v>3303</v>
      </c>
      <c r="X895" t="s">
        <v>3304</v>
      </c>
      <c r="Y895" t="s">
        <v>3305</v>
      </c>
      <c r="Z895">
        <v>702.54442900000004</v>
      </c>
    </row>
    <row r="896" spans="1:26" hidden="1">
      <c r="A896">
        <v>895</v>
      </c>
      <c r="B896" t="s">
        <v>3306</v>
      </c>
      <c r="C896" t="s">
        <v>28</v>
      </c>
      <c r="D896" s="1" t="b">
        <v>0</v>
      </c>
      <c r="E896">
        <v>3.1300000000000002E-4</v>
      </c>
      <c r="F896">
        <v>3.5044556619999998</v>
      </c>
      <c r="G896">
        <v>32.6</v>
      </c>
      <c r="J896">
        <v>39.369999999999997</v>
      </c>
      <c r="M896">
        <v>25</v>
      </c>
      <c r="N896" t="s">
        <v>3298</v>
      </c>
      <c r="O896" t="s">
        <v>29</v>
      </c>
      <c r="Q896" t="s">
        <v>3298</v>
      </c>
      <c r="S896" t="s">
        <v>31</v>
      </c>
      <c r="W896" t="s">
        <v>3307</v>
      </c>
      <c r="X896" t="s">
        <v>3308</v>
      </c>
      <c r="Y896" t="s">
        <v>3309</v>
      </c>
      <c r="Z896">
        <v>915.61152259999994</v>
      </c>
    </row>
    <row r="897" spans="1:26" hidden="1">
      <c r="A897">
        <v>896</v>
      </c>
      <c r="B897" t="s">
        <v>3310</v>
      </c>
      <c r="C897" t="s">
        <v>28</v>
      </c>
      <c r="D897" s="1" t="b">
        <v>0</v>
      </c>
      <c r="E897">
        <v>1.9000000000000001E-4</v>
      </c>
      <c r="F897">
        <v>3.721246399</v>
      </c>
      <c r="G897">
        <v>36.4</v>
      </c>
      <c r="H897">
        <v>2.2400000000000002E-6</v>
      </c>
      <c r="I897">
        <v>0.74</v>
      </c>
      <c r="J897">
        <v>35.6</v>
      </c>
      <c r="K897">
        <v>4.3600000000000003</v>
      </c>
      <c r="L897">
        <v>4.3600000000000003E-5</v>
      </c>
      <c r="M897">
        <v>25</v>
      </c>
      <c r="N897" t="s">
        <v>2037</v>
      </c>
      <c r="O897" t="s">
        <v>29</v>
      </c>
      <c r="Q897" t="s">
        <v>2037</v>
      </c>
      <c r="R897" t="s">
        <v>2037</v>
      </c>
      <c r="T897" t="s">
        <v>2037</v>
      </c>
      <c r="U897" t="s">
        <v>2037</v>
      </c>
      <c r="W897" t="s">
        <v>3311</v>
      </c>
      <c r="X897" t="s">
        <v>3312</v>
      </c>
      <c r="Y897" t="s">
        <v>3313</v>
      </c>
      <c r="Z897">
        <v>788.46413329999996</v>
      </c>
    </row>
    <row r="898" spans="1:26" hidden="1">
      <c r="A898">
        <v>897</v>
      </c>
      <c r="B898" t="s">
        <v>3314</v>
      </c>
      <c r="C898" t="s">
        <v>54</v>
      </c>
      <c r="D898" s="1" t="b">
        <v>0</v>
      </c>
      <c r="E898">
        <v>1.17E-3</v>
      </c>
      <c r="F898">
        <v>2.931814138</v>
      </c>
      <c r="G898">
        <v>21.9</v>
      </c>
      <c r="H898">
        <v>1.8899999999999999E-6</v>
      </c>
      <c r="I898">
        <v>0.88</v>
      </c>
      <c r="J898">
        <v>49.88</v>
      </c>
      <c r="K898">
        <v>3.7</v>
      </c>
      <c r="L898">
        <v>1.9900000000000001E-4</v>
      </c>
      <c r="M898">
        <v>25</v>
      </c>
      <c r="N898" t="s">
        <v>2042</v>
      </c>
      <c r="O898" t="s">
        <v>29</v>
      </c>
      <c r="Q898" t="s">
        <v>2042</v>
      </c>
      <c r="R898" t="s">
        <v>2042</v>
      </c>
      <c r="S898" t="s">
        <v>2042</v>
      </c>
      <c r="T898" t="s">
        <v>2042</v>
      </c>
      <c r="U898" t="s">
        <v>2042</v>
      </c>
      <c r="V898" t="s">
        <v>2042</v>
      </c>
      <c r="W898" t="s">
        <v>3315</v>
      </c>
      <c r="X898" t="s">
        <v>3316</v>
      </c>
      <c r="Y898" t="s">
        <v>3317</v>
      </c>
      <c r="Z898">
        <v>404.20384050000001</v>
      </c>
    </row>
    <row r="899" spans="1:26" hidden="1">
      <c r="A899">
        <v>898</v>
      </c>
      <c r="B899" t="s">
        <v>3318</v>
      </c>
      <c r="C899" t="s">
        <v>54</v>
      </c>
      <c r="D899" s="1" t="b">
        <v>0</v>
      </c>
      <c r="E899">
        <v>3.7100000000000002E-3</v>
      </c>
      <c r="F899">
        <v>2.4306260900000001</v>
      </c>
      <c r="G899">
        <v>23.2</v>
      </c>
      <c r="H899">
        <v>1.79E-6</v>
      </c>
      <c r="I899">
        <v>0.93</v>
      </c>
      <c r="J899">
        <v>48.58</v>
      </c>
      <c r="K899">
        <v>3.91</v>
      </c>
      <c r="L899">
        <v>1.2300000000000001E-4</v>
      </c>
      <c r="M899">
        <v>25</v>
      </c>
      <c r="N899" t="s">
        <v>2042</v>
      </c>
      <c r="O899" t="s">
        <v>29</v>
      </c>
      <c r="Q899" t="s">
        <v>2042</v>
      </c>
      <c r="R899" t="s">
        <v>2042</v>
      </c>
      <c r="S899" t="s">
        <v>2042</v>
      </c>
      <c r="T899" t="s">
        <v>2042</v>
      </c>
      <c r="U899" t="s">
        <v>2042</v>
      </c>
      <c r="V899" t="s">
        <v>2042</v>
      </c>
      <c r="W899" t="s">
        <v>3319</v>
      </c>
      <c r="X899" t="s">
        <v>3320</v>
      </c>
      <c r="Y899" t="s">
        <v>3321</v>
      </c>
      <c r="Z899">
        <v>360.2543561</v>
      </c>
    </row>
    <row r="900" spans="1:26" hidden="1">
      <c r="A900">
        <v>899</v>
      </c>
      <c r="B900" t="s">
        <v>3322</v>
      </c>
      <c r="C900" t="s">
        <v>54</v>
      </c>
      <c r="D900" s="1" t="b">
        <v>0</v>
      </c>
      <c r="E900">
        <v>2.5399999999999999E-4</v>
      </c>
      <c r="F900">
        <v>3.5951662830000002</v>
      </c>
      <c r="G900">
        <v>27.7</v>
      </c>
      <c r="H900">
        <v>1.9300000000000002E-6</v>
      </c>
      <c r="I900">
        <v>1.55</v>
      </c>
      <c r="J900">
        <v>44.49</v>
      </c>
      <c r="K900">
        <v>0.83</v>
      </c>
      <c r="L900">
        <v>0.14899999999999999</v>
      </c>
      <c r="M900">
        <v>25</v>
      </c>
      <c r="N900" t="s">
        <v>2051</v>
      </c>
      <c r="O900" t="s">
        <v>29</v>
      </c>
      <c r="Q900" t="s">
        <v>2051</v>
      </c>
      <c r="R900" t="s">
        <v>2051</v>
      </c>
      <c r="S900" t="s">
        <v>2051</v>
      </c>
      <c r="T900" t="s">
        <v>2051</v>
      </c>
      <c r="V900" t="s">
        <v>2051</v>
      </c>
      <c r="W900" t="s">
        <v>3323</v>
      </c>
      <c r="X900" t="s">
        <v>3324</v>
      </c>
      <c r="Y900" t="s">
        <v>3325</v>
      </c>
      <c r="Z900">
        <v>432.23514069999999</v>
      </c>
    </row>
    <row r="901" spans="1:26" hidden="1">
      <c r="A901">
        <v>900</v>
      </c>
      <c r="B901" t="s">
        <v>3326</v>
      </c>
      <c r="C901" t="s">
        <v>54</v>
      </c>
      <c r="D901" s="1" t="b">
        <v>0</v>
      </c>
      <c r="E901">
        <v>3.9800000000000002E-4</v>
      </c>
      <c r="F901">
        <v>3.4001169280000001</v>
      </c>
      <c r="G901">
        <v>34.9</v>
      </c>
      <c r="H901">
        <v>1.8700000000000001E-6</v>
      </c>
      <c r="I901">
        <v>1.59</v>
      </c>
      <c r="J901">
        <v>37.32</v>
      </c>
      <c r="K901">
        <v>0.75</v>
      </c>
      <c r="L901">
        <v>0.17899999999999999</v>
      </c>
      <c r="M901">
        <v>25</v>
      </c>
      <c r="N901" t="s">
        <v>2051</v>
      </c>
      <c r="O901" t="s">
        <v>29</v>
      </c>
      <c r="Q901" t="s">
        <v>2051</v>
      </c>
      <c r="R901" t="s">
        <v>2051</v>
      </c>
      <c r="S901" t="s">
        <v>2051</v>
      </c>
      <c r="T901" t="s">
        <v>2051</v>
      </c>
      <c r="V901" t="s">
        <v>2051</v>
      </c>
      <c r="W901" t="s">
        <v>3327</v>
      </c>
      <c r="X901" t="s">
        <v>3328</v>
      </c>
      <c r="Y901" t="s">
        <v>3329</v>
      </c>
      <c r="Z901">
        <v>388.28565620000001</v>
      </c>
    </row>
    <row r="902" spans="1:26" hidden="1">
      <c r="A902">
        <v>901</v>
      </c>
      <c r="B902" t="s">
        <v>3330</v>
      </c>
      <c r="C902" t="s">
        <v>28</v>
      </c>
      <c r="D902" s="1" t="b">
        <v>0</v>
      </c>
      <c r="E902">
        <v>2.0000000000000002E-5</v>
      </c>
      <c r="F902">
        <v>4.6989700040000004</v>
      </c>
      <c r="G902">
        <v>36.1</v>
      </c>
      <c r="H902">
        <v>3.4800000000000001E-6</v>
      </c>
      <c r="I902">
        <v>0.05</v>
      </c>
      <c r="J902">
        <v>36.32</v>
      </c>
      <c r="K902">
        <v>2.1</v>
      </c>
      <c r="L902">
        <v>8.0000000000000002E-3</v>
      </c>
      <c r="M902">
        <v>25</v>
      </c>
      <c r="N902" t="s">
        <v>2060</v>
      </c>
      <c r="O902" t="s">
        <v>29</v>
      </c>
      <c r="Q902" t="s">
        <v>2060</v>
      </c>
      <c r="R902" t="s">
        <v>2060</v>
      </c>
      <c r="S902" t="s">
        <v>2060</v>
      </c>
      <c r="T902" t="s">
        <v>2060</v>
      </c>
      <c r="V902" t="s">
        <v>2060</v>
      </c>
      <c r="W902" t="s">
        <v>2638</v>
      </c>
      <c r="X902" t="s">
        <v>3331</v>
      </c>
      <c r="Y902" t="s">
        <v>3332</v>
      </c>
      <c r="Z902">
        <v>820.40768100000003</v>
      </c>
    </row>
    <row r="903" spans="1:26" hidden="1">
      <c r="A903">
        <v>902</v>
      </c>
      <c r="B903" t="s">
        <v>3333</v>
      </c>
      <c r="C903" t="s">
        <v>28</v>
      </c>
      <c r="D903" s="1" t="b">
        <v>0</v>
      </c>
      <c r="E903">
        <v>2.1999999999999999E-5</v>
      </c>
      <c r="F903">
        <v>4.6575773189999996</v>
      </c>
      <c r="G903">
        <v>30</v>
      </c>
      <c r="H903">
        <v>4.5299999999999998E-6</v>
      </c>
      <c r="I903">
        <v>0.04</v>
      </c>
      <c r="J903">
        <v>42.36</v>
      </c>
      <c r="K903">
        <v>2</v>
      </c>
      <c r="L903">
        <v>0.01</v>
      </c>
      <c r="M903">
        <v>25</v>
      </c>
      <c r="N903" t="s">
        <v>2060</v>
      </c>
      <c r="O903" t="s">
        <v>29</v>
      </c>
      <c r="Q903" t="s">
        <v>2060</v>
      </c>
      <c r="R903" t="s">
        <v>2060</v>
      </c>
      <c r="S903" t="s">
        <v>2060</v>
      </c>
      <c r="T903" t="s">
        <v>2060</v>
      </c>
      <c r="V903" t="s">
        <v>2060</v>
      </c>
      <c r="W903" t="s">
        <v>2642</v>
      </c>
      <c r="X903" t="s">
        <v>3334</v>
      </c>
      <c r="Y903" t="s">
        <v>3335</v>
      </c>
      <c r="Z903">
        <v>806.39203099999997</v>
      </c>
    </row>
    <row r="904" spans="1:26">
      <c r="A904">
        <v>903</v>
      </c>
      <c r="B904" s="2" t="s">
        <v>3336</v>
      </c>
      <c r="C904" t="s">
        <v>161</v>
      </c>
      <c r="D904" s="1" t="b">
        <v>1</v>
      </c>
      <c r="E904">
        <v>3.3E-4</v>
      </c>
      <c r="F904">
        <v>3.4814860599999999</v>
      </c>
      <c r="G904">
        <v>39</v>
      </c>
      <c r="H904">
        <v>3.3000000000000002E-6</v>
      </c>
      <c r="I904">
        <v>0.5</v>
      </c>
      <c r="J904">
        <v>39</v>
      </c>
      <c r="K904">
        <v>4.178527345</v>
      </c>
      <c r="L904">
        <v>1.5321054000000001E-2</v>
      </c>
      <c r="M904">
        <v>22</v>
      </c>
      <c r="N904" t="s">
        <v>162</v>
      </c>
      <c r="O904" t="s">
        <v>163</v>
      </c>
      <c r="P904" t="s">
        <v>164</v>
      </c>
      <c r="R904" t="s">
        <v>3337</v>
      </c>
      <c r="S904" t="s">
        <v>3337</v>
      </c>
      <c r="T904" t="s">
        <v>3337</v>
      </c>
      <c r="U904" t="s">
        <v>31</v>
      </c>
      <c r="V904" t="s">
        <v>31</v>
      </c>
      <c r="W904" t="s">
        <v>3338</v>
      </c>
      <c r="X904" t="s">
        <v>3339</v>
      </c>
      <c r="Y904" t="s">
        <v>3340</v>
      </c>
      <c r="Z904">
        <v>510.30401230000001</v>
      </c>
    </row>
    <row r="905" spans="1:26" hidden="1">
      <c r="A905">
        <v>904</v>
      </c>
      <c r="B905" t="s">
        <v>3341</v>
      </c>
      <c r="C905" t="s">
        <v>83</v>
      </c>
      <c r="D905" s="1" t="b">
        <v>0</v>
      </c>
      <c r="E905">
        <v>5.1999999999999997E-5</v>
      </c>
      <c r="F905">
        <v>4.2839966560000002</v>
      </c>
      <c r="G905">
        <v>27.7</v>
      </c>
      <c r="H905">
        <v>3.98E-6</v>
      </c>
      <c r="I905">
        <v>0.42</v>
      </c>
      <c r="J905">
        <v>44.1</v>
      </c>
      <c r="K905">
        <v>5.3534461149999997</v>
      </c>
      <c r="L905">
        <v>4.7318159999999998E-3</v>
      </c>
      <c r="M905">
        <v>25</v>
      </c>
      <c r="N905" t="s">
        <v>89</v>
      </c>
      <c r="O905" t="s">
        <v>29</v>
      </c>
      <c r="P905" t="s">
        <v>103</v>
      </c>
      <c r="Q905" t="s">
        <v>578</v>
      </c>
      <c r="R905" t="s">
        <v>1181</v>
      </c>
      <c r="S905" t="s">
        <v>1181</v>
      </c>
      <c r="T905" t="s">
        <v>1181</v>
      </c>
      <c r="U905" t="s">
        <v>31</v>
      </c>
      <c r="V905" t="s">
        <v>31</v>
      </c>
      <c r="W905" t="s">
        <v>3342</v>
      </c>
      <c r="X905" t="s">
        <v>3343</v>
      </c>
      <c r="Y905" t="s">
        <v>3344</v>
      </c>
      <c r="Z905">
        <v>318.27700970000001</v>
      </c>
    </row>
    <row r="906" spans="1:26">
      <c r="A906">
        <v>905</v>
      </c>
      <c r="B906" t="s">
        <v>3345</v>
      </c>
      <c r="C906" t="s">
        <v>83</v>
      </c>
      <c r="D906" s="1" t="b">
        <v>1</v>
      </c>
      <c r="E906">
        <v>3.9999999999999998E-6</v>
      </c>
      <c r="F906">
        <v>5.397940009</v>
      </c>
      <c r="G906">
        <v>28.4</v>
      </c>
      <c r="H906">
        <v>3.63E-6</v>
      </c>
      <c r="I906">
        <v>0.46</v>
      </c>
      <c r="J906">
        <v>43.3</v>
      </c>
      <c r="K906">
        <v>6.5373000670000003</v>
      </c>
      <c r="L906">
        <v>1.448394E-3</v>
      </c>
      <c r="M906" s="2">
        <v>25</v>
      </c>
      <c r="N906" t="s">
        <v>3346</v>
      </c>
      <c r="O906" t="s">
        <v>29</v>
      </c>
      <c r="P906" t="s">
        <v>103</v>
      </c>
      <c r="Q906" t="s">
        <v>578</v>
      </c>
      <c r="R906" t="s">
        <v>1181</v>
      </c>
      <c r="S906" t="s">
        <v>1181</v>
      </c>
      <c r="T906" t="s">
        <v>1181</v>
      </c>
      <c r="U906" t="s">
        <v>31</v>
      </c>
      <c r="V906" t="s">
        <v>31</v>
      </c>
      <c r="W906" t="s">
        <v>3347</v>
      </c>
      <c r="X906" t="s">
        <v>3348</v>
      </c>
      <c r="Y906" t="s">
        <v>3349</v>
      </c>
      <c r="Z906">
        <v>362.30322439999998</v>
      </c>
    </row>
    <row r="907" spans="1:26" hidden="1">
      <c r="A907">
        <v>906</v>
      </c>
      <c r="B907" t="s">
        <v>3350</v>
      </c>
      <c r="C907" t="s">
        <v>83</v>
      </c>
      <c r="D907" s="1" t="b">
        <v>0</v>
      </c>
      <c r="E907">
        <v>6.3999999999999997E-5</v>
      </c>
      <c r="F907">
        <v>4.193820026</v>
      </c>
      <c r="G907">
        <v>30.3</v>
      </c>
      <c r="H907">
        <v>3.3100000000000001E-6</v>
      </c>
      <c r="I907">
        <v>0.5</v>
      </c>
      <c r="J907">
        <v>41.5</v>
      </c>
      <c r="K907">
        <v>5.3421555590000001</v>
      </c>
      <c r="L907">
        <v>4.7855440000000001E-3</v>
      </c>
      <c r="M907">
        <v>25</v>
      </c>
      <c r="N907" t="s">
        <v>89</v>
      </c>
      <c r="O907" t="s">
        <v>29</v>
      </c>
      <c r="P907" t="s">
        <v>103</v>
      </c>
      <c r="Q907" t="s">
        <v>578</v>
      </c>
      <c r="R907" t="s">
        <v>1181</v>
      </c>
      <c r="S907" t="s">
        <v>1181</v>
      </c>
      <c r="T907" t="s">
        <v>1181</v>
      </c>
      <c r="U907" t="s">
        <v>31</v>
      </c>
      <c r="V907" t="s">
        <v>31</v>
      </c>
      <c r="W907" t="s">
        <v>3351</v>
      </c>
      <c r="X907" t="s">
        <v>3352</v>
      </c>
      <c r="Y907" t="s">
        <v>3353</v>
      </c>
      <c r="Z907">
        <v>406.32943920000002</v>
      </c>
    </row>
    <row r="908" spans="1:26" hidden="1">
      <c r="A908">
        <v>907</v>
      </c>
      <c r="B908" t="s">
        <v>1193</v>
      </c>
      <c r="C908" t="s">
        <v>83</v>
      </c>
      <c r="D908" s="1" t="b">
        <v>0</v>
      </c>
      <c r="E908">
        <v>8.7000000000000001E-5</v>
      </c>
      <c r="F908">
        <v>4.0604807469999997</v>
      </c>
      <c r="G908">
        <v>30.8</v>
      </c>
      <c r="J908">
        <v>41.2</v>
      </c>
      <c r="M908">
        <v>25</v>
      </c>
      <c r="N908" t="s">
        <v>89</v>
      </c>
      <c r="O908" t="s">
        <v>29</v>
      </c>
      <c r="P908" t="s">
        <v>103</v>
      </c>
      <c r="Q908" t="s">
        <v>578</v>
      </c>
      <c r="W908" t="s">
        <v>3354</v>
      </c>
      <c r="X908" t="s">
        <v>3355</v>
      </c>
      <c r="Y908" t="s">
        <v>3356</v>
      </c>
      <c r="Z908">
        <v>450.35565389999999</v>
      </c>
    </row>
    <row r="909" spans="1:26" hidden="1">
      <c r="A909">
        <v>908</v>
      </c>
      <c r="B909" t="s">
        <v>3357</v>
      </c>
      <c r="C909" t="s">
        <v>83</v>
      </c>
      <c r="D909" s="1" t="b">
        <v>0</v>
      </c>
      <c r="E909">
        <v>8.2000000000000001E-5</v>
      </c>
      <c r="F909">
        <v>4.0861861480000004</v>
      </c>
      <c r="G909">
        <v>33.5</v>
      </c>
      <c r="H909">
        <v>2.9000000000000002E-6</v>
      </c>
      <c r="I909">
        <v>0.56999999999999995</v>
      </c>
      <c r="J909">
        <v>38.299999999999997</v>
      </c>
      <c r="K909">
        <v>5.2035916200000001</v>
      </c>
      <c r="L909">
        <v>5.4967870000000004E-3</v>
      </c>
      <c r="M909">
        <v>25</v>
      </c>
      <c r="N909" t="s">
        <v>89</v>
      </c>
      <c r="O909" t="s">
        <v>29</v>
      </c>
      <c r="P909" t="s">
        <v>103</v>
      </c>
      <c r="Q909" t="s">
        <v>578</v>
      </c>
      <c r="R909" t="s">
        <v>1181</v>
      </c>
      <c r="S909" t="s">
        <v>1181</v>
      </c>
      <c r="T909" t="s">
        <v>1181</v>
      </c>
      <c r="U909" t="s">
        <v>31</v>
      </c>
      <c r="V909" t="s">
        <v>31</v>
      </c>
      <c r="W909" t="s">
        <v>3358</v>
      </c>
      <c r="X909" t="s">
        <v>3359</v>
      </c>
      <c r="Y909" t="s">
        <v>3360</v>
      </c>
      <c r="Z909">
        <v>494.38186869999998</v>
      </c>
    </row>
    <row r="910" spans="1:26" hidden="1">
      <c r="A910">
        <v>909</v>
      </c>
      <c r="B910" t="s">
        <v>3361</v>
      </c>
      <c r="C910" t="s">
        <v>83</v>
      </c>
      <c r="D910" s="1" t="b">
        <v>0</v>
      </c>
      <c r="E910">
        <v>1.0900000000000001E-4</v>
      </c>
      <c r="F910">
        <v>3.9625735020000001</v>
      </c>
      <c r="G910">
        <v>34.6</v>
      </c>
      <c r="H910">
        <v>2.52E-6</v>
      </c>
      <c r="I910">
        <v>0.66</v>
      </c>
      <c r="J910">
        <v>37.200000000000003</v>
      </c>
      <c r="K910">
        <v>5.1720175199999998</v>
      </c>
      <c r="L910">
        <v>5.6731120000000001E-3</v>
      </c>
      <c r="M910">
        <v>25</v>
      </c>
      <c r="N910" t="s">
        <v>89</v>
      </c>
      <c r="O910" t="s">
        <v>29</v>
      </c>
      <c r="P910" t="s">
        <v>103</v>
      </c>
      <c r="Q910" t="s">
        <v>578</v>
      </c>
      <c r="R910" t="s">
        <v>1181</v>
      </c>
      <c r="S910" t="s">
        <v>1181</v>
      </c>
      <c r="T910" t="s">
        <v>1181</v>
      </c>
      <c r="U910" t="s">
        <v>31</v>
      </c>
      <c r="V910" t="s">
        <v>31</v>
      </c>
      <c r="W910" t="s">
        <v>3362</v>
      </c>
      <c r="X910" t="s">
        <v>3363</v>
      </c>
      <c r="Y910" t="s">
        <v>3364</v>
      </c>
      <c r="Z910">
        <v>538.40808340000001</v>
      </c>
    </row>
    <row r="911" spans="1:26" hidden="1">
      <c r="A911">
        <v>910</v>
      </c>
      <c r="B911" t="s">
        <v>3365</v>
      </c>
      <c r="C911" t="s">
        <v>83</v>
      </c>
      <c r="D911" s="1" t="b">
        <v>0</v>
      </c>
      <c r="G911">
        <v>35.799999999999997</v>
      </c>
      <c r="O911" t="s">
        <v>29</v>
      </c>
      <c r="Q911" t="s">
        <v>578</v>
      </c>
      <c r="X911" t="s">
        <v>3366</v>
      </c>
      <c r="Y911" t="s">
        <v>3367</v>
      </c>
      <c r="Z911">
        <v>582.43429819999994</v>
      </c>
    </row>
    <row r="912" spans="1:26" hidden="1">
      <c r="A912">
        <v>911</v>
      </c>
      <c r="B912" t="s">
        <v>1206</v>
      </c>
      <c r="C912" t="s">
        <v>83</v>
      </c>
      <c r="D912" s="1" t="b">
        <v>0</v>
      </c>
      <c r="G912">
        <v>39.799999999999997</v>
      </c>
      <c r="O912" t="s">
        <v>29</v>
      </c>
      <c r="Q912" t="s">
        <v>578</v>
      </c>
      <c r="X912" t="s">
        <v>3368</v>
      </c>
      <c r="Y912" t="s">
        <v>3369</v>
      </c>
      <c r="Z912">
        <v>714.51294240000004</v>
      </c>
    </row>
    <row r="913" spans="1:26">
      <c r="A913">
        <v>912</v>
      </c>
      <c r="B913" t="s">
        <v>3370</v>
      </c>
      <c r="C913" t="s">
        <v>83</v>
      </c>
      <c r="D913" s="1" t="b">
        <v>1</v>
      </c>
      <c r="E913">
        <v>6.0000000000000002E-5</v>
      </c>
      <c r="F913">
        <v>4.2218487500000004</v>
      </c>
      <c r="M913" s="2">
        <v>25</v>
      </c>
      <c r="N913" t="s">
        <v>121</v>
      </c>
      <c r="W913" t="s">
        <v>3371</v>
      </c>
      <c r="X913" t="s">
        <v>3372</v>
      </c>
      <c r="Y913" t="s">
        <v>3373</v>
      </c>
      <c r="Z913">
        <v>1198.801305</v>
      </c>
    </row>
    <row r="914" spans="1:26" hidden="1">
      <c r="A914">
        <v>913</v>
      </c>
      <c r="B914" t="s">
        <v>3374</v>
      </c>
      <c r="C914" t="s">
        <v>134</v>
      </c>
      <c r="D914" s="1" t="b">
        <v>0</v>
      </c>
      <c r="E914">
        <v>1.9E-3</v>
      </c>
      <c r="F914">
        <v>2.721246399</v>
      </c>
      <c r="M914">
        <v>25</v>
      </c>
      <c r="N914" t="s">
        <v>1832</v>
      </c>
      <c r="X914" t="s">
        <v>3375</v>
      </c>
      <c r="Y914" t="s">
        <v>3376</v>
      </c>
      <c r="Z914">
        <v>508.26819829999999</v>
      </c>
    </row>
    <row r="915" spans="1:26" hidden="1">
      <c r="A915">
        <v>914</v>
      </c>
      <c r="B915" t="s">
        <v>3377</v>
      </c>
      <c r="C915" t="s">
        <v>134</v>
      </c>
      <c r="D915" s="1" t="b">
        <v>0</v>
      </c>
      <c r="E915">
        <v>2.8E-3</v>
      </c>
      <c r="F915">
        <v>2.5528419690000002</v>
      </c>
      <c r="M915">
        <v>25</v>
      </c>
      <c r="N915" t="s">
        <v>1832</v>
      </c>
      <c r="X915" t="s">
        <v>3378</v>
      </c>
      <c r="Y915" t="s">
        <v>3379</v>
      </c>
      <c r="Z915">
        <v>420.21576879999998</v>
      </c>
    </row>
    <row r="916" spans="1:26">
      <c r="A916">
        <v>915</v>
      </c>
      <c r="B916" t="s">
        <v>3380</v>
      </c>
      <c r="C916" t="s">
        <v>54</v>
      </c>
      <c r="D916" s="1" t="b">
        <v>1</v>
      </c>
      <c r="E916">
        <v>3.3999999999999998E-3</v>
      </c>
      <c r="F916">
        <v>2.4685210830000002</v>
      </c>
      <c r="G916">
        <v>44.5</v>
      </c>
      <c r="I916">
        <v>1.21</v>
      </c>
      <c r="J916">
        <v>27.7</v>
      </c>
      <c r="M916">
        <v>25</v>
      </c>
      <c r="N916" t="s">
        <v>349</v>
      </c>
      <c r="O916" t="s">
        <v>29</v>
      </c>
      <c r="Q916" t="s">
        <v>2119</v>
      </c>
      <c r="S916" t="s">
        <v>349</v>
      </c>
      <c r="T916" t="s">
        <v>349</v>
      </c>
      <c r="X916" t="s">
        <v>3381</v>
      </c>
      <c r="Y916" t="s">
        <v>3382</v>
      </c>
      <c r="Z916">
        <v>439.26610640000001</v>
      </c>
    </row>
    <row r="917" spans="1:26" hidden="1">
      <c r="A917">
        <v>916</v>
      </c>
      <c r="B917" t="s">
        <v>3383</v>
      </c>
      <c r="C917" t="s">
        <v>134</v>
      </c>
      <c r="D917" s="1" t="b">
        <v>0</v>
      </c>
      <c r="E917">
        <v>2.8999999999999998E-3</v>
      </c>
      <c r="F917">
        <v>2.5376020019999999</v>
      </c>
      <c r="G917">
        <v>41.4</v>
      </c>
      <c r="H917">
        <v>2.6000000000000001E-6</v>
      </c>
      <c r="I917">
        <v>0.64</v>
      </c>
      <c r="J917">
        <v>30.6</v>
      </c>
      <c r="K917">
        <v>2.94</v>
      </c>
      <c r="L917">
        <v>1.16E-3</v>
      </c>
      <c r="M917">
        <v>25</v>
      </c>
      <c r="N917" t="s">
        <v>3384</v>
      </c>
      <c r="P917" t="s">
        <v>103</v>
      </c>
      <c r="R917" t="s">
        <v>137</v>
      </c>
      <c r="S917" t="s">
        <v>137</v>
      </c>
      <c r="V917" t="s">
        <v>137</v>
      </c>
      <c r="W917" t="s">
        <v>3385</v>
      </c>
      <c r="X917" t="s">
        <v>3386</v>
      </c>
      <c r="Y917" t="s">
        <v>3387</v>
      </c>
      <c r="Z917">
        <v>376.18955410000001</v>
      </c>
    </row>
    <row r="918" spans="1:26">
      <c r="A918">
        <v>917</v>
      </c>
      <c r="B918" t="s">
        <v>3388</v>
      </c>
      <c r="C918" t="s">
        <v>54</v>
      </c>
      <c r="D918" s="1" t="b">
        <v>1</v>
      </c>
      <c r="E918">
        <v>3.7000000000000002E-3</v>
      </c>
      <c r="F918">
        <v>2.4317982759999999</v>
      </c>
      <c r="G918">
        <v>42.6</v>
      </c>
      <c r="I918">
        <v>0.99</v>
      </c>
      <c r="J918">
        <v>29.6</v>
      </c>
      <c r="M918">
        <v>25</v>
      </c>
      <c r="N918" t="s">
        <v>349</v>
      </c>
      <c r="O918" t="s">
        <v>29</v>
      </c>
      <c r="Q918" t="s">
        <v>2119</v>
      </c>
      <c r="S918" t="s">
        <v>349</v>
      </c>
      <c r="T918" t="s">
        <v>349</v>
      </c>
      <c r="X918" t="s">
        <v>3389</v>
      </c>
      <c r="Y918" t="s">
        <v>3390</v>
      </c>
      <c r="Z918">
        <v>395.23989169999999</v>
      </c>
    </row>
    <row r="919" spans="1:26" hidden="1">
      <c r="A919">
        <v>918</v>
      </c>
      <c r="B919" t="s">
        <v>3391</v>
      </c>
      <c r="C919" t="s">
        <v>54</v>
      </c>
      <c r="D919" s="1" t="b">
        <v>0</v>
      </c>
      <c r="E919">
        <v>5.1999999999999998E-3</v>
      </c>
      <c r="F919">
        <v>2.2839966559999998</v>
      </c>
      <c r="M919">
        <v>25</v>
      </c>
      <c r="N919" t="s">
        <v>1832</v>
      </c>
      <c r="X919" t="s">
        <v>3392</v>
      </c>
      <c r="Y919" t="s">
        <v>3393</v>
      </c>
      <c r="Z919">
        <v>351.29040730000003</v>
      </c>
    </row>
    <row r="920" spans="1:26">
      <c r="A920">
        <v>919</v>
      </c>
      <c r="B920" s="2" t="s">
        <v>3394</v>
      </c>
      <c r="C920" t="s">
        <v>54</v>
      </c>
      <c r="D920" s="1" t="b">
        <v>1</v>
      </c>
      <c r="E920">
        <v>4.8999999999999998E-3</v>
      </c>
      <c r="F920">
        <v>2.3098039199999998</v>
      </c>
      <c r="M920">
        <v>25</v>
      </c>
      <c r="N920" t="s">
        <v>1832</v>
      </c>
      <c r="X920" t="s">
        <v>3395</v>
      </c>
      <c r="Y920" t="s">
        <v>3396</v>
      </c>
      <c r="Z920">
        <v>376.2982323</v>
      </c>
    </row>
    <row r="921" spans="1:26" hidden="1">
      <c r="A921">
        <v>920</v>
      </c>
      <c r="B921" t="s">
        <v>3397</v>
      </c>
      <c r="C921" t="s">
        <v>134</v>
      </c>
      <c r="D921" s="1" t="b">
        <v>0</v>
      </c>
      <c r="E921">
        <v>3.8999999999999998E-3</v>
      </c>
      <c r="F921">
        <v>2.4089353930000001</v>
      </c>
      <c r="G921">
        <v>41.1</v>
      </c>
      <c r="H921">
        <v>3.1999999999999999E-6</v>
      </c>
      <c r="I921">
        <v>0.52</v>
      </c>
      <c r="J921">
        <v>30.9</v>
      </c>
      <c r="K921">
        <v>3.73</v>
      </c>
      <c r="L921">
        <v>1.8799999999999999E-4</v>
      </c>
      <c r="M921">
        <v>25</v>
      </c>
      <c r="N921" t="s">
        <v>3384</v>
      </c>
      <c r="P921" t="s">
        <v>103</v>
      </c>
      <c r="R921" t="s">
        <v>137</v>
      </c>
      <c r="S921" t="s">
        <v>137</v>
      </c>
      <c r="W921" t="s">
        <v>3398</v>
      </c>
      <c r="X921" t="s">
        <v>3399</v>
      </c>
      <c r="Y921" t="s">
        <v>3400</v>
      </c>
      <c r="Z921">
        <v>332.16333930000002</v>
      </c>
    </row>
    <row r="922" spans="1:26">
      <c r="A922">
        <v>921</v>
      </c>
      <c r="B922" t="s">
        <v>3401</v>
      </c>
      <c r="C922" t="s">
        <v>54</v>
      </c>
      <c r="D922" s="1" t="b">
        <v>1</v>
      </c>
      <c r="E922">
        <v>6.3E-3</v>
      </c>
      <c r="F922">
        <v>2.2006594509999999</v>
      </c>
      <c r="G922">
        <v>41</v>
      </c>
      <c r="I922">
        <v>0.85</v>
      </c>
      <c r="J922">
        <v>31.2</v>
      </c>
      <c r="M922">
        <v>25</v>
      </c>
      <c r="N922" t="s">
        <v>349</v>
      </c>
      <c r="O922" t="s">
        <v>29</v>
      </c>
      <c r="Q922" t="s">
        <v>2119</v>
      </c>
      <c r="S922" t="s">
        <v>349</v>
      </c>
      <c r="T922" t="s">
        <v>349</v>
      </c>
      <c r="X922" t="s">
        <v>3402</v>
      </c>
      <c r="Y922" t="s">
        <v>3403</v>
      </c>
      <c r="Z922">
        <v>351.2136769</v>
      </c>
    </row>
    <row r="923" spans="1:26" hidden="1">
      <c r="A923">
        <v>922</v>
      </c>
      <c r="B923" t="s">
        <v>3404</v>
      </c>
      <c r="C923" t="s">
        <v>54</v>
      </c>
      <c r="D923" s="1" t="b">
        <v>0</v>
      </c>
      <c r="E923">
        <v>7.1000000000000004E-3</v>
      </c>
      <c r="F923">
        <v>2.1487416509999999</v>
      </c>
      <c r="M923">
        <v>25</v>
      </c>
      <c r="N923" t="s">
        <v>1832</v>
      </c>
      <c r="X923" t="s">
        <v>3405</v>
      </c>
      <c r="Y923" t="s">
        <v>3406</v>
      </c>
      <c r="Z923">
        <v>307.26419249999998</v>
      </c>
    </row>
    <row r="924" spans="1:26">
      <c r="A924">
        <v>923</v>
      </c>
      <c r="B924" s="2" t="s">
        <v>3407</v>
      </c>
      <c r="C924" t="s">
        <v>54</v>
      </c>
      <c r="D924" s="1" t="b">
        <v>1</v>
      </c>
      <c r="E924">
        <v>6.8999999999999999E-3</v>
      </c>
      <c r="F924">
        <v>2.1611509089999998</v>
      </c>
      <c r="M924">
        <v>25</v>
      </c>
      <c r="N924" t="s">
        <v>1832</v>
      </c>
      <c r="X924" t="s">
        <v>3408</v>
      </c>
      <c r="Y924" t="s">
        <v>3409</v>
      </c>
      <c r="Z924">
        <v>332.2720175</v>
      </c>
    </row>
    <row r="925" spans="1:26" hidden="1">
      <c r="A925">
        <v>924</v>
      </c>
      <c r="B925" t="s">
        <v>3410</v>
      </c>
      <c r="C925" t="s">
        <v>83</v>
      </c>
      <c r="D925" s="1" t="b">
        <v>0</v>
      </c>
      <c r="E925">
        <v>2.3010000000000001E-4</v>
      </c>
      <c r="F925">
        <v>3.6380833809999999</v>
      </c>
      <c r="M925">
        <v>25</v>
      </c>
      <c r="N925" t="s">
        <v>207</v>
      </c>
      <c r="X925" t="s">
        <v>3411</v>
      </c>
      <c r="Y925" t="s">
        <v>3412</v>
      </c>
      <c r="Z925">
        <v>378.26175360000002</v>
      </c>
    </row>
    <row r="926" spans="1:26" hidden="1">
      <c r="A926">
        <v>925</v>
      </c>
      <c r="B926" t="s">
        <v>3413</v>
      </c>
      <c r="C926" t="s">
        <v>83</v>
      </c>
      <c r="D926" s="1" t="b">
        <v>0</v>
      </c>
      <c r="E926">
        <v>4.2660000000000002E-4</v>
      </c>
      <c r="F926">
        <v>3.3699791490000002</v>
      </c>
      <c r="M926">
        <v>25</v>
      </c>
      <c r="N926" t="s">
        <v>207</v>
      </c>
      <c r="X926" t="s">
        <v>3414</v>
      </c>
      <c r="Y926" t="s">
        <v>3415</v>
      </c>
      <c r="Z926">
        <v>542.33022700000004</v>
      </c>
    </row>
    <row r="927" spans="1:26" hidden="1">
      <c r="A927">
        <v>926</v>
      </c>
      <c r="B927" t="s">
        <v>3416</v>
      </c>
      <c r="C927" t="s">
        <v>83</v>
      </c>
      <c r="D927" s="1" t="b">
        <v>0</v>
      </c>
      <c r="E927">
        <v>4.2660000000000002E-4</v>
      </c>
      <c r="F927">
        <v>3.3699791490000002</v>
      </c>
      <c r="M927">
        <v>25</v>
      </c>
      <c r="N927" t="s">
        <v>207</v>
      </c>
      <c r="X927" t="s">
        <v>3417</v>
      </c>
      <c r="Y927" t="s">
        <v>3418</v>
      </c>
      <c r="Z927">
        <v>540.31457699999999</v>
      </c>
    </row>
    <row r="928" spans="1:26" hidden="1">
      <c r="A928">
        <v>927</v>
      </c>
      <c r="B928" t="s">
        <v>3419</v>
      </c>
      <c r="C928" t="s">
        <v>83</v>
      </c>
      <c r="D928" s="1" t="b">
        <v>0</v>
      </c>
      <c r="E928">
        <v>3.6310000000000003E-5</v>
      </c>
      <c r="F928">
        <v>4.4399737510000001</v>
      </c>
      <c r="M928">
        <v>25</v>
      </c>
      <c r="N928" t="s">
        <v>207</v>
      </c>
      <c r="X928" t="s">
        <v>3420</v>
      </c>
      <c r="Y928" t="s">
        <v>3421</v>
      </c>
      <c r="Z928">
        <v>404.3501746</v>
      </c>
    </row>
    <row r="929" spans="1:26" hidden="1">
      <c r="A929">
        <v>928</v>
      </c>
      <c r="B929" t="s">
        <v>3422</v>
      </c>
      <c r="C929" t="s">
        <v>83</v>
      </c>
      <c r="D929" s="1" t="b">
        <v>0</v>
      </c>
      <c r="E929">
        <v>3.2959999999999999E-4</v>
      </c>
      <c r="F929">
        <v>3.4820127969999999</v>
      </c>
      <c r="M929">
        <v>25</v>
      </c>
      <c r="N929" t="s">
        <v>207</v>
      </c>
      <c r="X929" t="s">
        <v>3423</v>
      </c>
      <c r="Y929" t="s">
        <v>3424</v>
      </c>
      <c r="Z929">
        <v>590.35135639999999</v>
      </c>
    </row>
    <row r="930" spans="1:26" hidden="1">
      <c r="A930">
        <v>929</v>
      </c>
      <c r="B930" t="s">
        <v>3425</v>
      </c>
      <c r="C930" t="s">
        <v>83</v>
      </c>
      <c r="D930" s="1" t="b">
        <v>0</v>
      </c>
      <c r="E930">
        <v>2.3010000000000002E-5</v>
      </c>
      <c r="F930">
        <v>4.6380833810000004</v>
      </c>
      <c r="M930">
        <v>25</v>
      </c>
      <c r="N930" t="s">
        <v>207</v>
      </c>
      <c r="W930" t="s">
        <v>3426</v>
      </c>
      <c r="X930" t="s">
        <v>3427</v>
      </c>
      <c r="Y930" t="s">
        <v>3428</v>
      </c>
      <c r="Z930">
        <v>230.22458019999999</v>
      </c>
    </row>
    <row r="931" spans="1:26" hidden="1">
      <c r="A931">
        <v>930</v>
      </c>
      <c r="B931" t="s">
        <v>3429</v>
      </c>
      <c r="C931" t="s">
        <v>83</v>
      </c>
      <c r="D931" s="1" t="b">
        <v>0</v>
      </c>
      <c r="E931">
        <v>3.3040000000000002E-5</v>
      </c>
      <c r="F931">
        <v>4.4809599609999999</v>
      </c>
      <c r="M931">
        <v>25</v>
      </c>
      <c r="N931" t="s">
        <v>207</v>
      </c>
      <c r="X931" t="s">
        <v>3430</v>
      </c>
      <c r="Y931" t="s">
        <v>3431</v>
      </c>
      <c r="Z931">
        <v>274.25079490000002</v>
      </c>
    </row>
    <row r="932" spans="1:26" hidden="1">
      <c r="A932">
        <v>931</v>
      </c>
      <c r="B932" t="s">
        <v>3432</v>
      </c>
      <c r="C932" t="s">
        <v>83</v>
      </c>
      <c r="D932" s="1" t="b">
        <v>0</v>
      </c>
      <c r="E932">
        <v>5.1999999999999997E-5</v>
      </c>
      <c r="F932">
        <v>4.2839966560000002</v>
      </c>
      <c r="G932">
        <v>27.9</v>
      </c>
      <c r="J932">
        <v>44.1</v>
      </c>
      <c r="M932">
        <v>25</v>
      </c>
      <c r="N932" t="s">
        <v>207</v>
      </c>
      <c r="O932" t="s">
        <v>2148</v>
      </c>
      <c r="X932" t="s">
        <v>3433</v>
      </c>
      <c r="Y932" t="s">
        <v>3434</v>
      </c>
      <c r="Z932">
        <v>318.27700970000001</v>
      </c>
    </row>
    <row r="933" spans="1:26" hidden="1">
      <c r="A933">
        <v>932</v>
      </c>
      <c r="B933" t="s">
        <v>3435</v>
      </c>
      <c r="C933" t="s">
        <v>83</v>
      </c>
      <c r="D933" s="1" t="b">
        <v>0</v>
      </c>
      <c r="E933">
        <v>6.3969999999999999E-5</v>
      </c>
      <c r="F933">
        <v>4.194023649</v>
      </c>
      <c r="G933">
        <v>28.6</v>
      </c>
      <c r="J933">
        <v>43.4</v>
      </c>
      <c r="M933">
        <v>25</v>
      </c>
      <c r="N933" t="s">
        <v>207</v>
      </c>
      <c r="O933" t="s">
        <v>2148</v>
      </c>
      <c r="X933" t="s">
        <v>3436</v>
      </c>
      <c r="Y933" t="s">
        <v>3437</v>
      </c>
      <c r="Z933">
        <v>362.30322439999998</v>
      </c>
    </row>
    <row r="934" spans="1:26" hidden="1">
      <c r="A934">
        <v>933</v>
      </c>
      <c r="B934" t="s">
        <v>3438</v>
      </c>
      <c r="C934" t="s">
        <v>83</v>
      </c>
      <c r="D934" s="1" t="b">
        <v>0</v>
      </c>
      <c r="E934">
        <v>6.3969999999999999E-5</v>
      </c>
      <c r="F934">
        <v>4.194023649</v>
      </c>
      <c r="G934">
        <v>30.5</v>
      </c>
      <c r="J934">
        <v>41.5</v>
      </c>
      <c r="M934">
        <v>25</v>
      </c>
      <c r="N934" t="s">
        <v>207</v>
      </c>
      <c r="O934" t="s">
        <v>2148</v>
      </c>
      <c r="X934" t="s">
        <v>3439</v>
      </c>
      <c r="Y934" t="s">
        <v>3440</v>
      </c>
      <c r="Z934">
        <v>406.32943920000002</v>
      </c>
    </row>
    <row r="935" spans="1:26" hidden="1">
      <c r="A935">
        <v>934</v>
      </c>
      <c r="B935" t="s">
        <v>3441</v>
      </c>
      <c r="C935" t="s">
        <v>83</v>
      </c>
      <c r="D935" s="1" t="b">
        <v>0</v>
      </c>
      <c r="E935">
        <v>8.7100000000000003E-5</v>
      </c>
      <c r="F935">
        <v>4.0599818450000003</v>
      </c>
      <c r="G935">
        <v>31</v>
      </c>
      <c r="J935">
        <v>41</v>
      </c>
      <c r="M935">
        <v>25</v>
      </c>
      <c r="N935" t="s">
        <v>207</v>
      </c>
      <c r="O935" t="s">
        <v>2148</v>
      </c>
      <c r="X935" t="s">
        <v>3442</v>
      </c>
      <c r="Y935" t="s">
        <v>3443</v>
      </c>
      <c r="Z935">
        <v>450.35565389999999</v>
      </c>
    </row>
    <row r="936" spans="1:26" hidden="1">
      <c r="A936">
        <v>935</v>
      </c>
      <c r="B936" t="s">
        <v>3444</v>
      </c>
      <c r="C936" t="s">
        <v>83</v>
      </c>
      <c r="D936" s="1" t="b">
        <v>0</v>
      </c>
      <c r="E936">
        <v>8.2039999999999994E-5</v>
      </c>
      <c r="F936">
        <v>4.0859743479999997</v>
      </c>
      <c r="G936">
        <v>33.700000000000003</v>
      </c>
      <c r="J936">
        <v>38.299999999999997</v>
      </c>
      <c r="M936">
        <v>25</v>
      </c>
      <c r="N936" t="s">
        <v>207</v>
      </c>
      <c r="O936" t="s">
        <v>2148</v>
      </c>
      <c r="X936" t="s">
        <v>3445</v>
      </c>
      <c r="Y936" t="s">
        <v>3446</v>
      </c>
      <c r="Z936">
        <v>494.38186869999998</v>
      </c>
    </row>
    <row r="937" spans="1:26" hidden="1">
      <c r="A937">
        <v>936</v>
      </c>
      <c r="B937" t="s">
        <v>3447</v>
      </c>
      <c r="C937" t="s">
        <v>83</v>
      </c>
      <c r="D937" s="1" t="b">
        <v>0</v>
      </c>
      <c r="E937">
        <v>1E-4</v>
      </c>
      <c r="F937">
        <v>4</v>
      </c>
      <c r="G937">
        <v>34.799999999999997</v>
      </c>
      <c r="J937">
        <v>37.200000000000003</v>
      </c>
      <c r="M937">
        <v>25</v>
      </c>
      <c r="N937" t="s">
        <v>207</v>
      </c>
      <c r="O937" t="s">
        <v>2148</v>
      </c>
      <c r="X937" t="s">
        <v>3448</v>
      </c>
      <c r="Y937" t="s">
        <v>3449</v>
      </c>
      <c r="Z937">
        <v>538.40808340000001</v>
      </c>
    </row>
    <row r="938" spans="1:26" hidden="1">
      <c r="A938">
        <v>937</v>
      </c>
      <c r="B938" t="s">
        <v>3450</v>
      </c>
      <c r="C938" t="s">
        <v>83</v>
      </c>
      <c r="D938" s="1" t="b">
        <v>0</v>
      </c>
      <c r="E938">
        <v>1E-4</v>
      </c>
      <c r="F938">
        <v>4</v>
      </c>
      <c r="G938">
        <v>36</v>
      </c>
      <c r="J938">
        <v>36</v>
      </c>
      <c r="M938">
        <v>25</v>
      </c>
      <c r="N938" t="s">
        <v>207</v>
      </c>
      <c r="O938" t="s">
        <v>2148</v>
      </c>
      <c r="X938" t="s">
        <v>3451</v>
      </c>
      <c r="Y938" t="s">
        <v>3452</v>
      </c>
      <c r="Z938">
        <v>582.43429819999994</v>
      </c>
    </row>
    <row r="939" spans="1:26" hidden="1">
      <c r="A939">
        <v>938</v>
      </c>
      <c r="B939" t="s">
        <v>3453</v>
      </c>
      <c r="C939" t="s">
        <v>83</v>
      </c>
      <c r="D939" s="1" t="b">
        <v>0</v>
      </c>
      <c r="E939">
        <v>1.3999999999999999E-4</v>
      </c>
      <c r="F939">
        <v>3.8538719640000001</v>
      </c>
      <c r="G939">
        <v>40</v>
      </c>
      <c r="J939">
        <v>32</v>
      </c>
      <c r="M939">
        <v>25</v>
      </c>
      <c r="N939" t="s">
        <v>207</v>
      </c>
      <c r="O939" t="s">
        <v>2148</v>
      </c>
      <c r="X939" t="s">
        <v>3454</v>
      </c>
      <c r="Y939" t="s">
        <v>3455</v>
      </c>
      <c r="Z939">
        <v>714.51294240000004</v>
      </c>
    </row>
    <row r="940" spans="1:26" hidden="1">
      <c r="A940">
        <v>939</v>
      </c>
      <c r="B940" t="s">
        <v>3456</v>
      </c>
      <c r="C940" t="s">
        <v>83</v>
      </c>
      <c r="D940" s="1" t="b">
        <v>0</v>
      </c>
      <c r="E940">
        <v>5.4950000000000001E-5</v>
      </c>
      <c r="F940">
        <v>4.260032303</v>
      </c>
      <c r="G940">
        <v>35.299999999999997</v>
      </c>
      <c r="J940">
        <v>36.700000000000003</v>
      </c>
      <c r="M940">
        <v>25</v>
      </c>
      <c r="N940" t="s">
        <v>207</v>
      </c>
      <c r="O940" t="s">
        <v>2148</v>
      </c>
      <c r="X940" t="s">
        <v>3457</v>
      </c>
      <c r="Y940" t="s">
        <v>3458</v>
      </c>
      <c r="Z940">
        <v>802.56537189999995</v>
      </c>
    </row>
    <row r="941" spans="1:26" hidden="1">
      <c r="A941">
        <v>940</v>
      </c>
      <c r="B941" t="s">
        <v>3459</v>
      </c>
      <c r="C941" t="s">
        <v>1848</v>
      </c>
      <c r="D941" s="1" t="b">
        <v>0</v>
      </c>
      <c r="E941" s="4">
        <v>1.8E-5</v>
      </c>
      <c r="F941">
        <v>4.7446999999999999</v>
      </c>
      <c r="M941">
        <v>25</v>
      </c>
      <c r="N941" t="s">
        <v>1849</v>
      </c>
      <c r="X941" t="s">
        <v>3460</v>
      </c>
      <c r="Y941" t="s">
        <v>3461</v>
      </c>
      <c r="Z941">
        <v>449.36339579999998</v>
      </c>
    </row>
    <row r="942" spans="1:26" hidden="1">
      <c r="A942">
        <v>941</v>
      </c>
      <c r="B942" t="s">
        <v>3462</v>
      </c>
      <c r="C942" t="s">
        <v>1848</v>
      </c>
      <c r="D942" s="1" t="b">
        <v>0</v>
      </c>
      <c r="E942" s="4">
        <v>9.0000000000000002E-6</v>
      </c>
      <c r="F942">
        <v>5.0457999999999998</v>
      </c>
      <c r="M942">
        <v>25</v>
      </c>
      <c r="N942" t="s">
        <v>1849</v>
      </c>
      <c r="X942" t="s">
        <v>3463</v>
      </c>
      <c r="Y942" t="s">
        <v>3464</v>
      </c>
      <c r="Z942">
        <v>505.425996</v>
      </c>
    </row>
    <row r="943" spans="1:26" hidden="1">
      <c r="A943">
        <v>942</v>
      </c>
      <c r="B943" t="s">
        <v>3465</v>
      </c>
      <c r="C943" t="s">
        <v>134</v>
      </c>
      <c r="D943" s="1" t="b">
        <v>0</v>
      </c>
      <c r="E943">
        <v>8.8999999999999999E-3</v>
      </c>
      <c r="F943">
        <v>2.0506099930000001</v>
      </c>
      <c r="M943">
        <v>25</v>
      </c>
      <c r="N943" t="s">
        <v>89</v>
      </c>
      <c r="P943" t="s">
        <v>103</v>
      </c>
      <c r="W943" t="s">
        <v>3466</v>
      </c>
      <c r="X943" t="s">
        <v>3467</v>
      </c>
      <c r="Y943" t="s">
        <v>3468</v>
      </c>
      <c r="Z943">
        <v>272.16335980000002</v>
      </c>
    </row>
    <row r="944" spans="1:26" hidden="1">
      <c r="A944">
        <v>943</v>
      </c>
      <c r="B944" t="s">
        <v>3469</v>
      </c>
      <c r="C944" t="s">
        <v>134</v>
      </c>
      <c r="D944" s="13" t="b">
        <v>0</v>
      </c>
      <c r="E944">
        <v>8.0999999999999996E-3</v>
      </c>
      <c r="F944">
        <v>2.091514981</v>
      </c>
      <c r="G944">
        <v>39.5</v>
      </c>
      <c r="H944">
        <v>1.95E-6</v>
      </c>
      <c r="I944">
        <v>0.52</v>
      </c>
      <c r="J944">
        <v>32</v>
      </c>
      <c r="K944">
        <v>2.5</v>
      </c>
      <c r="L944">
        <v>3.15E-3</v>
      </c>
      <c r="M944">
        <v>25</v>
      </c>
      <c r="N944" t="s">
        <v>3470</v>
      </c>
      <c r="O944" t="s">
        <v>3471</v>
      </c>
      <c r="P944" t="s">
        <v>103</v>
      </c>
      <c r="R944" t="s">
        <v>3472</v>
      </c>
      <c r="S944" t="s">
        <v>3472</v>
      </c>
      <c r="T944" t="s">
        <v>3471</v>
      </c>
      <c r="W944" t="s">
        <v>3473</v>
      </c>
      <c r="X944" t="s">
        <v>3474</v>
      </c>
      <c r="Y944" t="s">
        <v>3475</v>
      </c>
      <c r="Z944">
        <v>288.13712459999999</v>
      </c>
    </row>
    <row r="945" spans="1:26">
      <c r="A945">
        <v>944</v>
      </c>
      <c r="B945" t="s">
        <v>3476</v>
      </c>
      <c r="C945" t="s">
        <v>161</v>
      </c>
      <c r="D945" s="1" t="b">
        <v>1</v>
      </c>
      <c r="E945">
        <v>2.0000000000000001E-4</v>
      </c>
      <c r="F945">
        <v>3.698970004</v>
      </c>
      <c r="G945">
        <v>31.5</v>
      </c>
      <c r="H945">
        <v>3.2600000000000001E-6</v>
      </c>
      <c r="I945">
        <v>0.51</v>
      </c>
      <c r="J945">
        <v>40.47</v>
      </c>
      <c r="K945">
        <v>4.8004416560000003</v>
      </c>
      <c r="L945">
        <v>8.2261130000000002E-3</v>
      </c>
      <c r="M945">
        <v>25</v>
      </c>
      <c r="N945" t="s">
        <v>162</v>
      </c>
      <c r="O945" t="s">
        <v>163</v>
      </c>
      <c r="P945" t="s">
        <v>164</v>
      </c>
      <c r="R945" t="s">
        <v>3477</v>
      </c>
      <c r="S945" t="s">
        <v>31</v>
      </c>
      <c r="T945" t="s">
        <v>3477</v>
      </c>
      <c r="U945" t="s">
        <v>31</v>
      </c>
      <c r="V945" t="s">
        <v>31</v>
      </c>
      <c r="W945" t="s">
        <v>3478</v>
      </c>
      <c r="X945" t="s">
        <v>3479</v>
      </c>
      <c r="Y945" t="s">
        <v>3480</v>
      </c>
      <c r="Z945">
        <v>348.25118889999999</v>
      </c>
    </row>
    <row r="946" spans="1:26">
      <c r="A946">
        <v>945</v>
      </c>
      <c r="B946" t="s">
        <v>3481</v>
      </c>
      <c r="C946" t="s">
        <v>161</v>
      </c>
      <c r="D946" s="1" t="b">
        <v>1</v>
      </c>
      <c r="E946">
        <v>5.0000000000000002E-5</v>
      </c>
      <c r="F946">
        <v>4.3010299959999996</v>
      </c>
      <c r="G946">
        <v>28.4</v>
      </c>
      <c r="H946">
        <v>3.0800000000000002E-6</v>
      </c>
      <c r="I946">
        <v>0.54</v>
      </c>
      <c r="J946">
        <v>43.57</v>
      </c>
      <c r="K946">
        <v>5.6431716329999997</v>
      </c>
      <c r="L946">
        <v>3.5416179999999998E-3</v>
      </c>
      <c r="M946">
        <v>25</v>
      </c>
      <c r="N946" t="s">
        <v>162</v>
      </c>
      <c r="O946" t="s">
        <v>163</v>
      </c>
      <c r="P946" t="s">
        <v>164</v>
      </c>
      <c r="R946" t="s">
        <v>3477</v>
      </c>
      <c r="S946" t="s">
        <v>31</v>
      </c>
      <c r="T946" t="s">
        <v>3477</v>
      </c>
      <c r="U946" t="s">
        <v>31</v>
      </c>
      <c r="V946" t="s">
        <v>31</v>
      </c>
      <c r="W946" t="s">
        <v>3482</v>
      </c>
      <c r="X946" t="s">
        <v>3483</v>
      </c>
      <c r="Y946" t="s">
        <v>3484</v>
      </c>
      <c r="Z946">
        <v>348.25118889999999</v>
      </c>
    </row>
    <row r="947" spans="1:26" hidden="1">
      <c r="A947">
        <v>946</v>
      </c>
      <c r="B947" t="s">
        <v>3485</v>
      </c>
      <c r="C947" t="s">
        <v>54</v>
      </c>
      <c r="D947" s="1" t="b">
        <v>0</v>
      </c>
      <c r="G947">
        <v>37.9</v>
      </c>
      <c r="O947" t="s">
        <v>29</v>
      </c>
      <c r="Q947" t="s">
        <v>2172</v>
      </c>
      <c r="X947" t="s">
        <v>3486</v>
      </c>
      <c r="Y947" t="s">
        <v>3487</v>
      </c>
      <c r="Z947">
        <v>436.2089259</v>
      </c>
    </row>
    <row r="948" spans="1:26" hidden="1">
      <c r="A948">
        <v>947</v>
      </c>
      <c r="B948" t="s">
        <v>3488</v>
      </c>
      <c r="C948" t="s">
        <v>28</v>
      </c>
      <c r="D948" s="1" t="b">
        <v>0</v>
      </c>
      <c r="G948">
        <v>42.8</v>
      </c>
      <c r="O948" t="s">
        <v>29</v>
      </c>
      <c r="Q948" t="s">
        <v>2172</v>
      </c>
      <c r="X948" t="s">
        <v>3489</v>
      </c>
      <c r="Y948" t="s">
        <v>3490</v>
      </c>
      <c r="Z948">
        <v>926.46480199999996</v>
      </c>
    </row>
    <row r="949" spans="1:26" hidden="1">
      <c r="A949">
        <v>948</v>
      </c>
      <c r="B949" t="s">
        <v>3491</v>
      </c>
      <c r="C949" t="s">
        <v>28</v>
      </c>
      <c r="D949" s="1" t="b">
        <v>0</v>
      </c>
      <c r="G949">
        <v>32.799999999999997</v>
      </c>
      <c r="O949" t="s">
        <v>29</v>
      </c>
      <c r="Q949" t="s">
        <v>2172</v>
      </c>
      <c r="X949" t="s">
        <v>3492</v>
      </c>
      <c r="Y949" t="s">
        <v>3493</v>
      </c>
      <c r="Z949">
        <v>884.41785179999999</v>
      </c>
    </row>
    <row r="950" spans="1:26" hidden="1">
      <c r="A950">
        <v>949</v>
      </c>
      <c r="B950" t="s">
        <v>3494</v>
      </c>
      <c r="C950" t="s">
        <v>28</v>
      </c>
      <c r="D950" s="1" t="b">
        <v>0</v>
      </c>
      <c r="E950">
        <v>1.04E-5</v>
      </c>
      <c r="F950">
        <v>4.9829666609999999</v>
      </c>
      <c r="G950">
        <v>49</v>
      </c>
      <c r="H950">
        <v>2.0099999999999998E-6</v>
      </c>
      <c r="I950">
        <v>0.83</v>
      </c>
      <c r="J950">
        <v>23</v>
      </c>
      <c r="K950">
        <v>5.0599999999999996</v>
      </c>
      <c r="L950">
        <v>8.7399999999999993E-6</v>
      </c>
      <c r="M950">
        <v>25</v>
      </c>
      <c r="N950" t="s">
        <v>2176</v>
      </c>
      <c r="O950" t="s">
        <v>2177</v>
      </c>
      <c r="Q950" t="s">
        <v>2176</v>
      </c>
      <c r="R950" t="s">
        <v>2176</v>
      </c>
      <c r="T950" t="s">
        <v>2176</v>
      </c>
      <c r="U950" t="s">
        <v>2176</v>
      </c>
      <c r="W950" t="s">
        <v>3495</v>
      </c>
      <c r="X950" t="s">
        <v>3496</v>
      </c>
      <c r="Y950" t="s">
        <v>3497</v>
      </c>
      <c r="Z950">
        <v>966.51723149999998</v>
      </c>
    </row>
    <row r="951" spans="1:26" hidden="1">
      <c r="A951">
        <v>950</v>
      </c>
      <c r="B951" t="s">
        <v>3498</v>
      </c>
      <c r="C951" t="s">
        <v>28</v>
      </c>
      <c r="D951" s="1" t="b">
        <v>0</v>
      </c>
      <c r="E951">
        <v>1.42E-5</v>
      </c>
      <c r="F951">
        <v>4.8477116560000004</v>
      </c>
      <c r="G951">
        <v>44.8</v>
      </c>
      <c r="H951">
        <v>1.6500000000000001E-6</v>
      </c>
      <c r="I951">
        <v>1.01</v>
      </c>
      <c r="J951">
        <v>27.2</v>
      </c>
      <c r="K951">
        <v>4.97</v>
      </c>
      <c r="L951">
        <v>1.0699999999999999E-5</v>
      </c>
      <c r="M951">
        <v>25</v>
      </c>
      <c r="N951" t="s">
        <v>2176</v>
      </c>
      <c r="O951" t="s">
        <v>2177</v>
      </c>
      <c r="Q951" t="s">
        <v>2176</v>
      </c>
      <c r="R951" t="s">
        <v>2176</v>
      </c>
      <c r="T951" t="s">
        <v>2176</v>
      </c>
      <c r="U951" t="s">
        <v>2176</v>
      </c>
      <c r="W951" t="s">
        <v>3499</v>
      </c>
      <c r="X951" t="s">
        <v>3500</v>
      </c>
      <c r="Y951" t="s">
        <v>3501</v>
      </c>
      <c r="Z951">
        <v>938.48593140000003</v>
      </c>
    </row>
    <row r="952" spans="1:26" hidden="1">
      <c r="A952">
        <v>951</v>
      </c>
      <c r="B952" t="s">
        <v>3502</v>
      </c>
      <c r="C952" t="s">
        <v>28</v>
      </c>
      <c r="D952" s="1" t="b">
        <v>0</v>
      </c>
      <c r="E952">
        <v>3.4430000000000001E-5</v>
      </c>
      <c r="F952">
        <v>4.4630629769999999</v>
      </c>
      <c r="G952">
        <v>44.6</v>
      </c>
      <c r="H952">
        <v>1.7999999999999999E-6</v>
      </c>
      <c r="I952">
        <v>0.92</v>
      </c>
      <c r="J952">
        <v>27.4</v>
      </c>
      <c r="K952">
        <v>4.6900000000000004</v>
      </c>
      <c r="L952">
        <v>2.0400000000000001E-5</v>
      </c>
      <c r="M952">
        <v>25</v>
      </c>
      <c r="N952" t="s">
        <v>2176</v>
      </c>
      <c r="O952" t="s">
        <v>2177</v>
      </c>
      <c r="P952" t="s">
        <v>2182</v>
      </c>
      <c r="Q952" t="s">
        <v>2176</v>
      </c>
      <c r="R952" t="s">
        <v>2176</v>
      </c>
      <c r="T952" t="s">
        <v>2176</v>
      </c>
      <c r="U952" t="s">
        <v>2176</v>
      </c>
      <c r="W952" t="s">
        <v>3503</v>
      </c>
      <c r="X952" t="s">
        <v>3504</v>
      </c>
      <c r="Y952" t="s">
        <v>3505</v>
      </c>
      <c r="Z952">
        <v>910.45463119999999</v>
      </c>
    </row>
    <row r="953" spans="1:26">
      <c r="A953">
        <v>952</v>
      </c>
      <c r="B953" s="2" t="s">
        <v>3506</v>
      </c>
      <c r="C953" t="s">
        <v>28</v>
      </c>
      <c r="D953" s="1" t="b">
        <v>1</v>
      </c>
      <c r="E953">
        <v>1.3999999999999999E-4</v>
      </c>
      <c r="F953">
        <v>3.8538719640000001</v>
      </c>
      <c r="G953">
        <v>33.64</v>
      </c>
      <c r="H953">
        <v>7.6000000000000003E-7</v>
      </c>
      <c r="I953">
        <v>2.1</v>
      </c>
      <c r="J953">
        <v>38.36</v>
      </c>
      <c r="K953">
        <v>3.677780705</v>
      </c>
      <c r="L953">
        <v>2.1000000000000001E-4</v>
      </c>
      <c r="M953">
        <v>25</v>
      </c>
      <c r="N953" t="s">
        <v>2704</v>
      </c>
      <c r="O953" t="s">
        <v>2704</v>
      </c>
      <c r="R953" t="s">
        <v>2704</v>
      </c>
      <c r="S953" t="s">
        <v>2704</v>
      </c>
      <c r="T953" t="s">
        <v>2704</v>
      </c>
      <c r="V953" t="s">
        <v>2704</v>
      </c>
      <c r="X953" t="s">
        <v>3507</v>
      </c>
      <c r="Y953" t="s">
        <v>3508</v>
      </c>
      <c r="Z953">
        <v>584.49059669999997</v>
      </c>
    </row>
    <row r="954" spans="1:26" hidden="1">
      <c r="A954">
        <v>953</v>
      </c>
      <c r="B954" t="s">
        <v>3509</v>
      </c>
      <c r="C954" t="s">
        <v>28</v>
      </c>
      <c r="D954" s="1" t="b">
        <v>0</v>
      </c>
      <c r="E954">
        <v>1.4999999999999999E-4</v>
      </c>
      <c r="F954">
        <v>3.8239087409999999</v>
      </c>
      <c r="M954">
        <v>25</v>
      </c>
      <c r="N954" t="s">
        <v>484</v>
      </c>
      <c r="X954" t="s">
        <v>3510</v>
      </c>
      <c r="Y954" t="s">
        <v>3511</v>
      </c>
      <c r="Z954">
        <v>742.32836810000003</v>
      </c>
    </row>
    <row r="955" spans="1:26" hidden="1">
      <c r="A955">
        <v>954</v>
      </c>
      <c r="B955" t="s">
        <v>3512</v>
      </c>
      <c r="C955" t="s">
        <v>28</v>
      </c>
      <c r="D955" s="1" t="b">
        <v>0</v>
      </c>
      <c r="E955">
        <v>1.9000000000000001E-4</v>
      </c>
      <c r="F955">
        <v>3.721246399</v>
      </c>
      <c r="G955">
        <v>37.799999999999997</v>
      </c>
      <c r="H955">
        <v>1.8500000000000001E-6</v>
      </c>
      <c r="I955">
        <v>0.9</v>
      </c>
      <c r="J955">
        <v>34.130000000000003</v>
      </c>
      <c r="K955">
        <v>4.38</v>
      </c>
      <c r="L955">
        <v>4.1999999999999998E-5</v>
      </c>
      <c r="M955">
        <v>25</v>
      </c>
      <c r="N955" t="s">
        <v>2711</v>
      </c>
      <c r="O955" t="s">
        <v>29</v>
      </c>
      <c r="Q955" t="s">
        <v>2711</v>
      </c>
      <c r="R955" t="s">
        <v>2711</v>
      </c>
      <c r="T955" t="s">
        <v>2711</v>
      </c>
      <c r="U955" t="s">
        <v>2711</v>
      </c>
      <c r="V955" t="s">
        <v>2711</v>
      </c>
      <c r="W955" t="s">
        <v>3513</v>
      </c>
      <c r="X955" t="s">
        <v>3514</v>
      </c>
      <c r="Y955" t="s">
        <v>3515</v>
      </c>
      <c r="Z955">
        <v>768.38040369999999</v>
      </c>
    </row>
    <row r="956" spans="1:26" hidden="1">
      <c r="A956">
        <v>955</v>
      </c>
      <c r="B956" t="s">
        <v>3516</v>
      </c>
      <c r="C956" t="s">
        <v>28</v>
      </c>
      <c r="D956" s="1" t="b">
        <v>0</v>
      </c>
      <c r="E956">
        <v>1.7000000000000001E-4</v>
      </c>
      <c r="F956">
        <v>3.7695510790000002</v>
      </c>
      <c r="G956">
        <v>37.299999999999997</v>
      </c>
      <c r="H956">
        <v>1.86E-6</v>
      </c>
      <c r="I956">
        <v>0.89</v>
      </c>
      <c r="J956">
        <v>34.75</v>
      </c>
      <c r="K956">
        <v>4.47</v>
      </c>
      <c r="L956">
        <v>3.4E-5</v>
      </c>
      <c r="M956">
        <v>25</v>
      </c>
      <c r="N956" t="s">
        <v>2711</v>
      </c>
      <c r="O956" t="s">
        <v>29</v>
      </c>
      <c r="Q956" t="s">
        <v>2711</v>
      </c>
      <c r="R956" t="s">
        <v>2711</v>
      </c>
      <c r="T956" t="s">
        <v>2711</v>
      </c>
      <c r="U956" t="s">
        <v>2711</v>
      </c>
      <c r="V956" t="s">
        <v>2711</v>
      </c>
      <c r="W956" t="s">
        <v>3517</v>
      </c>
      <c r="X956" t="s">
        <v>3518</v>
      </c>
      <c r="Y956" t="s">
        <v>3519</v>
      </c>
      <c r="Z956">
        <v>754.36475359999997</v>
      </c>
    </row>
    <row r="957" spans="1:26" hidden="1">
      <c r="A957">
        <v>956</v>
      </c>
      <c r="B957" t="s">
        <v>3520</v>
      </c>
      <c r="C957" t="s">
        <v>28</v>
      </c>
      <c r="D957" s="1" t="b">
        <v>0</v>
      </c>
      <c r="E957">
        <v>1.3999999999999999E-4</v>
      </c>
      <c r="F957">
        <v>3.8538719640000001</v>
      </c>
      <c r="G957">
        <v>38.799999999999997</v>
      </c>
      <c r="H957">
        <v>2.0700000000000001E-6</v>
      </c>
      <c r="I957">
        <v>0.82</v>
      </c>
      <c r="J957">
        <v>33.229999999999997</v>
      </c>
      <c r="K957">
        <v>4.41</v>
      </c>
      <c r="L957">
        <v>3.8999999999999999E-5</v>
      </c>
      <c r="M957">
        <v>25</v>
      </c>
      <c r="N957" t="s">
        <v>2711</v>
      </c>
      <c r="O957" t="s">
        <v>29</v>
      </c>
      <c r="P957" t="s">
        <v>3521</v>
      </c>
      <c r="Q957" t="s">
        <v>2711</v>
      </c>
      <c r="R957" t="s">
        <v>2711</v>
      </c>
      <c r="T957" t="s">
        <v>2711</v>
      </c>
      <c r="U957" t="s">
        <v>2711</v>
      </c>
      <c r="V957" t="s">
        <v>2711</v>
      </c>
      <c r="W957" t="s">
        <v>3522</v>
      </c>
      <c r="X957" t="s">
        <v>3523</v>
      </c>
      <c r="Y957" t="s">
        <v>3524</v>
      </c>
      <c r="Z957">
        <v>740.34910360000003</v>
      </c>
    </row>
    <row r="958" spans="1:26" hidden="1">
      <c r="A958">
        <v>957</v>
      </c>
      <c r="B958" t="s">
        <v>3525</v>
      </c>
      <c r="C958" t="s">
        <v>28</v>
      </c>
      <c r="D958" s="1" t="b">
        <v>0</v>
      </c>
      <c r="E958">
        <v>1.9010000000000001E-4</v>
      </c>
      <c r="F958">
        <v>3.721017883</v>
      </c>
      <c r="M958">
        <v>25</v>
      </c>
      <c r="N958" t="s">
        <v>484</v>
      </c>
      <c r="X958" t="s">
        <v>3526</v>
      </c>
      <c r="Y958" t="s">
        <v>3527</v>
      </c>
      <c r="Z958">
        <v>726.33345350000002</v>
      </c>
    </row>
    <row r="959" spans="1:26" hidden="1">
      <c r="A959">
        <v>958</v>
      </c>
      <c r="B959" t="s">
        <v>3528</v>
      </c>
      <c r="C959" t="s">
        <v>28</v>
      </c>
      <c r="D959" s="1" t="b">
        <v>0</v>
      </c>
      <c r="E959">
        <v>1.7990000000000001E-4</v>
      </c>
      <c r="F959">
        <v>3.7449688370000001</v>
      </c>
      <c r="M959">
        <v>25</v>
      </c>
      <c r="N959" t="s">
        <v>484</v>
      </c>
      <c r="X959" t="s">
        <v>3529</v>
      </c>
      <c r="Y959" t="s">
        <v>3530</v>
      </c>
      <c r="Z959">
        <v>712.3178034</v>
      </c>
    </row>
    <row r="960" spans="1:26">
      <c r="A960">
        <v>959</v>
      </c>
      <c r="B960" s="2" t="s">
        <v>3531</v>
      </c>
      <c r="C960" t="s">
        <v>134</v>
      </c>
      <c r="D960" s="1" t="b">
        <v>1</v>
      </c>
      <c r="E960">
        <v>2.2000000000000001E-3</v>
      </c>
      <c r="F960">
        <v>2.657577319</v>
      </c>
      <c r="G960" s="2"/>
      <c r="H960" s="2"/>
      <c r="I960" s="2"/>
      <c r="J960" s="2"/>
      <c r="K960" s="2"/>
      <c r="L960" s="2"/>
      <c r="M960">
        <v>25</v>
      </c>
      <c r="N960" t="s">
        <v>135</v>
      </c>
      <c r="P960" s="2" t="s">
        <v>3532</v>
      </c>
      <c r="X960" t="s">
        <v>3533</v>
      </c>
      <c r="Y960" t="s">
        <v>3534</v>
      </c>
      <c r="Z960">
        <v>435.37461560000003</v>
      </c>
    </row>
    <row r="961" spans="1:26">
      <c r="A961">
        <v>960</v>
      </c>
      <c r="B961" s="2" t="s">
        <v>3535</v>
      </c>
      <c r="C961" t="s">
        <v>134</v>
      </c>
      <c r="D961" s="1" t="b">
        <v>1</v>
      </c>
      <c r="E961">
        <v>5.4999999999999997E-3</v>
      </c>
      <c r="F961">
        <v>2.2596373110000001</v>
      </c>
      <c r="G961" s="2"/>
      <c r="H961" s="2"/>
      <c r="I961" s="2"/>
      <c r="J961" s="2"/>
      <c r="K961" s="2"/>
      <c r="L961" s="2"/>
      <c r="M961">
        <v>25</v>
      </c>
      <c r="N961" t="s">
        <v>135</v>
      </c>
      <c r="W961" t="s">
        <v>3536</v>
      </c>
      <c r="X961" t="s">
        <v>3537</v>
      </c>
      <c r="Y961" t="s">
        <v>3538</v>
      </c>
      <c r="Z961">
        <v>323.249415</v>
      </c>
    </row>
    <row r="962" spans="1:26" hidden="1">
      <c r="A962">
        <v>961</v>
      </c>
      <c r="B962" t="s">
        <v>3539</v>
      </c>
      <c r="C962" t="s">
        <v>134</v>
      </c>
      <c r="D962" s="1" t="b">
        <v>0</v>
      </c>
      <c r="E962">
        <v>9.2999999999999992E-3</v>
      </c>
      <c r="F962">
        <v>2.0315170509999998</v>
      </c>
      <c r="G962">
        <v>38</v>
      </c>
      <c r="H962">
        <v>3.3000000000000002E-6</v>
      </c>
      <c r="I962">
        <v>0.5</v>
      </c>
      <c r="J962">
        <v>34</v>
      </c>
      <c r="K962">
        <v>2.41</v>
      </c>
      <c r="L962">
        <v>3.9100000000000003E-3</v>
      </c>
      <c r="M962">
        <v>25</v>
      </c>
      <c r="N962" t="s">
        <v>89</v>
      </c>
      <c r="P962" t="s">
        <v>103</v>
      </c>
      <c r="R962" t="s">
        <v>137</v>
      </c>
      <c r="S962" t="s">
        <v>137</v>
      </c>
      <c r="W962" t="s">
        <v>3540</v>
      </c>
      <c r="X962" t="s">
        <v>3541</v>
      </c>
      <c r="Y962" t="s">
        <v>3542</v>
      </c>
      <c r="Z962">
        <v>288.11614730000002</v>
      </c>
    </row>
    <row r="963" spans="1:26" hidden="1">
      <c r="A963">
        <v>962</v>
      </c>
      <c r="B963" t="s">
        <v>3543</v>
      </c>
      <c r="C963" t="s">
        <v>134</v>
      </c>
      <c r="D963" s="1" t="b">
        <v>0</v>
      </c>
      <c r="E963">
        <v>1.0999999999999999E-2</v>
      </c>
      <c r="F963">
        <v>1.9586073150000001</v>
      </c>
      <c r="G963">
        <v>39</v>
      </c>
      <c r="H963">
        <v>2.9000000000000002E-6</v>
      </c>
      <c r="I963">
        <v>0.56999999999999995</v>
      </c>
      <c r="J963">
        <v>33</v>
      </c>
      <c r="K963">
        <v>2.41</v>
      </c>
      <c r="L963">
        <v>3.9300000000000003E-3</v>
      </c>
      <c r="M963">
        <v>25</v>
      </c>
      <c r="N963" t="s">
        <v>89</v>
      </c>
      <c r="P963" t="s">
        <v>103</v>
      </c>
      <c r="R963" t="s">
        <v>137</v>
      </c>
      <c r="S963" t="s">
        <v>137</v>
      </c>
      <c r="W963" t="s">
        <v>3544</v>
      </c>
      <c r="X963" t="s">
        <v>3545</v>
      </c>
      <c r="Y963" t="s">
        <v>3546</v>
      </c>
      <c r="Z963">
        <v>256.16844520000001</v>
      </c>
    </row>
    <row r="964" spans="1:26" hidden="1">
      <c r="A964">
        <v>963</v>
      </c>
      <c r="B964" t="s">
        <v>3547</v>
      </c>
      <c r="C964" t="s">
        <v>134</v>
      </c>
      <c r="D964" s="1" t="b">
        <v>0</v>
      </c>
      <c r="E964">
        <v>8.8999999999999999E-3</v>
      </c>
      <c r="F964">
        <v>2.0506099930000001</v>
      </c>
      <c r="M964">
        <v>25</v>
      </c>
      <c r="N964" t="s">
        <v>89</v>
      </c>
      <c r="P964" t="s">
        <v>103</v>
      </c>
      <c r="W964" t="s">
        <v>3548</v>
      </c>
      <c r="X964" t="s">
        <v>3549</v>
      </c>
      <c r="Y964" t="s">
        <v>3550</v>
      </c>
      <c r="Z964">
        <v>267.18681479999998</v>
      </c>
    </row>
    <row r="965" spans="1:26" hidden="1">
      <c r="A965">
        <v>964</v>
      </c>
      <c r="B965" t="s">
        <v>3551</v>
      </c>
      <c r="C965" t="s">
        <v>134</v>
      </c>
      <c r="D965" s="13" t="b">
        <v>0</v>
      </c>
      <c r="E965">
        <v>1.099E-2</v>
      </c>
      <c r="F965">
        <v>1.9590023080000001</v>
      </c>
      <c r="M965">
        <v>25</v>
      </c>
      <c r="N965" t="s">
        <v>3552</v>
      </c>
      <c r="P965" t="s">
        <v>103</v>
      </c>
      <c r="W965" t="s">
        <v>3553</v>
      </c>
      <c r="X965" t="s">
        <v>3554</v>
      </c>
      <c r="Y965" t="s">
        <v>3555</v>
      </c>
      <c r="Z965">
        <v>272.14220990000001</v>
      </c>
    </row>
    <row r="966" spans="1:26" hidden="1">
      <c r="A966">
        <v>965</v>
      </c>
      <c r="B966" t="s">
        <v>3556</v>
      </c>
      <c r="C966" t="s">
        <v>28</v>
      </c>
      <c r="D966" s="1" t="b">
        <v>0</v>
      </c>
      <c r="E966">
        <v>2.198E-4</v>
      </c>
      <c r="F966">
        <v>3.6579723120000001</v>
      </c>
      <c r="M966">
        <v>25</v>
      </c>
      <c r="N966" t="s">
        <v>484</v>
      </c>
      <c r="P966" t="s">
        <v>648</v>
      </c>
      <c r="X966" t="s">
        <v>3557</v>
      </c>
      <c r="Y966" t="s">
        <v>3558</v>
      </c>
      <c r="Z966">
        <v>750.62843339999995</v>
      </c>
    </row>
    <row r="967" spans="1:26" hidden="1">
      <c r="A967">
        <v>966</v>
      </c>
      <c r="B967" t="s">
        <v>3559</v>
      </c>
      <c r="C967" t="s">
        <v>28</v>
      </c>
      <c r="D967" s="1" t="b">
        <v>0</v>
      </c>
      <c r="E967">
        <v>9.3970000000000002E-4</v>
      </c>
      <c r="F967">
        <v>3.0270107730000002</v>
      </c>
      <c r="M967">
        <v>25</v>
      </c>
      <c r="N967" t="s">
        <v>484</v>
      </c>
      <c r="P967" t="s">
        <v>648</v>
      </c>
      <c r="X967" t="s">
        <v>3560</v>
      </c>
      <c r="Y967" t="s">
        <v>3561</v>
      </c>
      <c r="Z967">
        <v>610.47193279999999</v>
      </c>
    </row>
    <row r="968" spans="1:26" hidden="1">
      <c r="A968">
        <v>967</v>
      </c>
      <c r="B968" t="s">
        <v>3562</v>
      </c>
      <c r="C968" t="s">
        <v>28</v>
      </c>
      <c r="D968" s="1" t="b">
        <v>0</v>
      </c>
      <c r="E968">
        <v>7.6909999999999999E-4</v>
      </c>
      <c r="F968">
        <v>3.1140171890000001</v>
      </c>
      <c r="M968">
        <v>25</v>
      </c>
      <c r="N968" t="s">
        <v>484</v>
      </c>
      <c r="P968" t="s">
        <v>648</v>
      </c>
      <c r="X968" t="s">
        <v>3563</v>
      </c>
      <c r="Y968" t="s">
        <v>3564</v>
      </c>
      <c r="Z968">
        <v>668.50256420000005</v>
      </c>
    </row>
    <row r="969" spans="1:26" hidden="1">
      <c r="A969">
        <v>968</v>
      </c>
      <c r="B969" t="s">
        <v>3565</v>
      </c>
      <c r="C969" t="s">
        <v>54</v>
      </c>
      <c r="D969" s="1" t="b">
        <v>0</v>
      </c>
      <c r="G969">
        <v>31.8</v>
      </c>
      <c r="O969" t="s">
        <v>29</v>
      </c>
      <c r="Q969" t="s">
        <v>3566</v>
      </c>
      <c r="X969" t="s">
        <v>3567</v>
      </c>
      <c r="Y969" t="s">
        <v>3568</v>
      </c>
      <c r="Z969">
        <v>427.24497710000003</v>
      </c>
    </row>
    <row r="970" spans="1:26" hidden="1">
      <c r="A970">
        <v>969</v>
      </c>
      <c r="B970" t="s">
        <v>3569</v>
      </c>
      <c r="C970" t="s">
        <v>311</v>
      </c>
      <c r="D970" s="1" t="b">
        <v>0</v>
      </c>
      <c r="G970">
        <v>38.299999999999997</v>
      </c>
      <c r="O970" t="s">
        <v>29</v>
      </c>
      <c r="Q970" t="s">
        <v>578</v>
      </c>
      <c r="X970" t="s">
        <v>3570</v>
      </c>
      <c r="Y970" t="s">
        <v>3571</v>
      </c>
      <c r="Z970">
        <v>339.24432969999998</v>
      </c>
    </row>
    <row r="971" spans="1:26" hidden="1">
      <c r="A971">
        <v>970</v>
      </c>
      <c r="B971" t="s">
        <v>3572</v>
      </c>
      <c r="C971" t="s">
        <v>54</v>
      </c>
      <c r="D971" s="1" t="b">
        <v>0</v>
      </c>
      <c r="E971">
        <v>1.4E-2</v>
      </c>
      <c r="F971">
        <v>1.8538719640000001</v>
      </c>
      <c r="G971">
        <v>35.799999999999997</v>
      </c>
      <c r="H971">
        <v>3.4199999999999999E-6</v>
      </c>
      <c r="I971">
        <v>0.49</v>
      </c>
      <c r="J971">
        <v>36.17</v>
      </c>
      <c r="K971">
        <v>2.2687266269999999</v>
      </c>
      <c r="L971">
        <v>0.10344381900000001</v>
      </c>
      <c r="M971">
        <v>25</v>
      </c>
      <c r="N971" t="s">
        <v>2734</v>
      </c>
      <c r="O971" t="s">
        <v>2735</v>
      </c>
      <c r="P971" t="s">
        <v>103</v>
      </c>
      <c r="Q971" t="s">
        <v>2597</v>
      </c>
      <c r="R971" t="s">
        <v>2205</v>
      </c>
      <c r="S971" t="s">
        <v>31</v>
      </c>
      <c r="T971" t="s">
        <v>2205</v>
      </c>
      <c r="U971" t="s">
        <v>31</v>
      </c>
      <c r="V971" t="s">
        <v>31</v>
      </c>
      <c r="W971" t="s">
        <v>3573</v>
      </c>
      <c r="X971" t="s">
        <v>3574</v>
      </c>
      <c r="Y971" t="s">
        <v>3575</v>
      </c>
      <c r="Z971">
        <v>307.18746220000003</v>
      </c>
    </row>
    <row r="972" spans="1:26">
      <c r="A972">
        <v>971</v>
      </c>
      <c r="B972" t="s">
        <v>3576</v>
      </c>
      <c r="C972" t="s">
        <v>54</v>
      </c>
      <c r="D972" s="1" t="b">
        <v>1</v>
      </c>
      <c r="E972">
        <v>0.02</v>
      </c>
      <c r="F972">
        <v>1.698970004</v>
      </c>
      <c r="G972" s="6">
        <v>40.5</v>
      </c>
      <c r="H972" s="6">
        <v>4.3900000000000003E-6</v>
      </c>
      <c r="I972" s="6">
        <v>0.38</v>
      </c>
      <c r="J972" s="6">
        <v>31.5</v>
      </c>
      <c r="K972" s="6">
        <v>2.17</v>
      </c>
      <c r="L972" s="6">
        <v>6.7799999999999996E-3</v>
      </c>
      <c r="M972">
        <v>25</v>
      </c>
      <c r="N972" t="s">
        <v>3577</v>
      </c>
      <c r="O972" t="s">
        <v>29</v>
      </c>
      <c r="Q972" t="s">
        <v>3147</v>
      </c>
      <c r="R972" t="s">
        <v>137</v>
      </c>
      <c r="S972" t="s">
        <v>137</v>
      </c>
      <c r="W972" t="s">
        <v>3578</v>
      </c>
      <c r="X972" t="s">
        <v>3579</v>
      </c>
      <c r="Y972" t="s">
        <v>3580</v>
      </c>
      <c r="Z972">
        <v>263.23797780000001</v>
      </c>
    </row>
    <row r="973" spans="1:26" hidden="1">
      <c r="A973">
        <v>972</v>
      </c>
      <c r="B973" t="s">
        <v>3581</v>
      </c>
      <c r="C973" t="s">
        <v>28</v>
      </c>
      <c r="D973" s="1" t="b">
        <v>0</v>
      </c>
      <c r="G973">
        <v>45</v>
      </c>
      <c r="O973" t="s">
        <v>29</v>
      </c>
      <c r="Q973" t="s">
        <v>3582</v>
      </c>
      <c r="X973" t="s">
        <v>3583</v>
      </c>
      <c r="Y973" t="s">
        <v>3584</v>
      </c>
      <c r="Z973">
        <v>970.76267440000004</v>
      </c>
    </row>
    <row r="974" spans="1:26" hidden="1">
      <c r="A974">
        <v>973</v>
      </c>
      <c r="B974" t="s">
        <v>3585</v>
      </c>
      <c r="C974" t="s">
        <v>28</v>
      </c>
      <c r="D974" s="1" t="b">
        <v>0</v>
      </c>
      <c r="G974">
        <v>42</v>
      </c>
      <c r="O974" t="s">
        <v>29</v>
      </c>
      <c r="Q974" t="s">
        <v>3582</v>
      </c>
      <c r="X974" t="s">
        <v>3586</v>
      </c>
      <c r="Y974" t="s">
        <v>3587</v>
      </c>
      <c r="Z974">
        <v>1013.804874</v>
      </c>
    </row>
    <row r="975" spans="1:26" hidden="1">
      <c r="A975">
        <v>974</v>
      </c>
      <c r="B975" t="s">
        <v>3588</v>
      </c>
      <c r="C975" t="s">
        <v>28</v>
      </c>
      <c r="D975" s="1" t="b">
        <v>0</v>
      </c>
      <c r="E975">
        <v>9.0680000000000003E-4</v>
      </c>
      <c r="F975">
        <v>3.0424884890000001</v>
      </c>
      <c r="G975">
        <v>42.79</v>
      </c>
      <c r="H975">
        <v>1.68E-6</v>
      </c>
      <c r="I975">
        <v>1.48</v>
      </c>
      <c r="J975">
        <v>28.39</v>
      </c>
      <c r="K975">
        <v>3.47</v>
      </c>
      <c r="L975">
        <v>3.4299999999999999E-4</v>
      </c>
      <c r="M975">
        <v>29.85</v>
      </c>
      <c r="N975" t="s">
        <v>2214</v>
      </c>
      <c r="O975" t="s">
        <v>29</v>
      </c>
      <c r="Q975" t="s">
        <v>2214</v>
      </c>
      <c r="R975" t="s">
        <v>2214</v>
      </c>
      <c r="S975" t="s">
        <v>31</v>
      </c>
      <c r="T975" t="s">
        <v>2214</v>
      </c>
      <c r="U975" t="s">
        <v>2214</v>
      </c>
      <c r="W975" t="s">
        <v>3589</v>
      </c>
      <c r="X975" t="s">
        <v>3590</v>
      </c>
      <c r="Y975" t="s">
        <v>3591</v>
      </c>
      <c r="Z975">
        <v>638.50323289999994</v>
      </c>
    </row>
    <row r="976" spans="1:26" hidden="1">
      <c r="A976">
        <v>975</v>
      </c>
      <c r="B976" t="s">
        <v>3592</v>
      </c>
      <c r="C976" t="s">
        <v>54</v>
      </c>
      <c r="D976" s="1" t="b">
        <v>0</v>
      </c>
      <c r="E976">
        <v>1.1100000000000001E-3</v>
      </c>
      <c r="F976">
        <v>2.9546770210000002</v>
      </c>
      <c r="G976">
        <v>33.299999999999997</v>
      </c>
      <c r="H976">
        <v>2.0899999999999999E-6</v>
      </c>
      <c r="I976">
        <v>0.79</v>
      </c>
      <c r="J976">
        <v>38.700000000000003</v>
      </c>
      <c r="K976">
        <v>3.73</v>
      </c>
      <c r="L976">
        <v>1.8599999999999999E-4</v>
      </c>
      <c r="M976">
        <v>25</v>
      </c>
      <c r="N976" t="s">
        <v>3593</v>
      </c>
      <c r="O976" t="s">
        <v>29</v>
      </c>
      <c r="Q976" t="s">
        <v>3593</v>
      </c>
      <c r="R976" t="s">
        <v>3593</v>
      </c>
      <c r="S976" t="s">
        <v>3593</v>
      </c>
      <c r="T976" t="s">
        <v>3593</v>
      </c>
      <c r="U976" t="s">
        <v>3593</v>
      </c>
      <c r="W976" t="s">
        <v>3594</v>
      </c>
      <c r="X976" t="s">
        <v>3595</v>
      </c>
      <c r="Y976" t="s">
        <v>3596</v>
      </c>
      <c r="Z976">
        <v>382.27509149999997</v>
      </c>
    </row>
    <row r="977" spans="1:26" hidden="1">
      <c r="A977">
        <v>976</v>
      </c>
      <c r="B977" t="s">
        <v>3597</v>
      </c>
      <c r="C977" t="s">
        <v>54</v>
      </c>
      <c r="D977" s="1" t="b">
        <v>0</v>
      </c>
      <c r="E977">
        <v>2.3999999999999998E-3</v>
      </c>
      <c r="F977">
        <v>2.6197887579999999</v>
      </c>
      <c r="G977">
        <v>35.1</v>
      </c>
      <c r="H977">
        <v>1.4699999999999999E-6</v>
      </c>
      <c r="I977">
        <v>1.1299999999999999</v>
      </c>
      <c r="J977">
        <v>36.869999999999997</v>
      </c>
      <c r="K977">
        <v>3.63</v>
      </c>
      <c r="L977">
        <v>2.34E-4</v>
      </c>
      <c r="M977">
        <v>25</v>
      </c>
      <c r="N977" t="s">
        <v>3593</v>
      </c>
      <c r="O977" t="s">
        <v>29</v>
      </c>
      <c r="Q977" t="s">
        <v>3593</v>
      </c>
      <c r="R977" t="s">
        <v>3593</v>
      </c>
      <c r="S977" t="s">
        <v>3593</v>
      </c>
      <c r="T977" t="s">
        <v>3593</v>
      </c>
      <c r="U977" t="s">
        <v>3593</v>
      </c>
      <c r="W977" t="s">
        <v>3598</v>
      </c>
      <c r="X977" t="s">
        <v>3599</v>
      </c>
      <c r="Y977" t="s">
        <v>3600</v>
      </c>
      <c r="Z977">
        <v>389.22676150000001</v>
      </c>
    </row>
    <row r="978" spans="1:26">
      <c r="A978">
        <v>977</v>
      </c>
      <c r="B978" s="2" t="s">
        <v>3601</v>
      </c>
      <c r="C978" t="s">
        <v>54</v>
      </c>
      <c r="D978" s="1" t="b">
        <v>1</v>
      </c>
      <c r="E978">
        <v>6.0800000000000003E-3</v>
      </c>
      <c r="F978">
        <v>2.216096421</v>
      </c>
      <c r="G978">
        <v>39.6</v>
      </c>
      <c r="H978">
        <v>1.6700000000000001E-6</v>
      </c>
      <c r="I978">
        <v>0.99</v>
      </c>
      <c r="J978">
        <v>32.4</v>
      </c>
      <c r="K978">
        <v>2.87</v>
      </c>
      <c r="L978">
        <v>1.3500000000000001E-3</v>
      </c>
      <c r="M978">
        <v>25</v>
      </c>
      <c r="N978" t="s">
        <v>3593</v>
      </c>
      <c r="O978" t="s">
        <v>3593</v>
      </c>
      <c r="R978" t="s">
        <v>3593</v>
      </c>
      <c r="S978" t="s">
        <v>3593</v>
      </c>
      <c r="T978" t="s">
        <v>3593</v>
      </c>
      <c r="U978" t="s">
        <v>3593</v>
      </c>
      <c r="W978" t="s">
        <v>3602</v>
      </c>
      <c r="X978" t="s">
        <v>3603</v>
      </c>
      <c r="Y978" t="s">
        <v>3604</v>
      </c>
      <c r="Z978">
        <v>397.26083849999998</v>
      </c>
    </row>
    <row r="979" spans="1:26" hidden="1">
      <c r="A979">
        <v>978</v>
      </c>
      <c r="B979" t="s">
        <v>3605</v>
      </c>
      <c r="C979" t="s">
        <v>28</v>
      </c>
      <c r="D979" s="1" t="b">
        <v>0</v>
      </c>
      <c r="E979">
        <v>1.6490000000000001E-3</v>
      </c>
      <c r="F979">
        <v>2.7827793440000002</v>
      </c>
      <c r="G979">
        <v>47.87</v>
      </c>
      <c r="H979">
        <v>2.26E-6</v>
      </c>
      <c r="I979">
        <v>0.74</v>
      </c>
      <c r="J979">
        <v>24.12</v>
      </c>
      <c r="K979">
        <v>3.01</v>
      </c>
      <c r="L979">
        <v>9.7000000000000005E-4</v>
      </c>
      <c r="M979">
        <v>25</v>
      </c>
      <c r="N979" t="s">
        <v>2223</v>
      </c>
      <c r="O979" t="s">
        <v>29</v>
      </c>
      <c r="Q979" t="s">
        <v>2223</v>
      </c>
      <c r="R979" t="s">
        <v>2223</v>
      </c>
      <c r="T979" t="s">
        <v>2223</v>
      </c>
      <c r="U979" t="s">
        <v>2223</v>
      </c>
      <c r="W979" t="s">
        <v>3606</v>
      </c>
      <c r="X979" t="s">
        <v>3607</v>
      </c>
      <c r="Y979" t="s">
        <v>3608</v>
      </c>
      <c r="Z979">
        <v>654.48691410000004</v>
      </c>
    </row>
    <row r="980" spans="1:26" hidden="1">
      <c r="A980">
        <v>979</v>
      </c>
      <c r="B980" t="s">
        <v>3609</v>
      </c>
      <c r="C980" t="s">
        <v>28</v>
      </c>
      <c r="D980" s="1" t="b">
        <v>0</v>
      </c>
      <c r="E980">
        <v>1.2400000000000001E-4</v>
      </c>
      <c r="F980">
        <v>3.906578315</v>
      </c>
      <c r="G980">
        <v>41.8</v>
      </c>
      <c r="H980">
        <v>1.0699999999999999E-6</v>
      </c>
      <c r="I980">
        <v>1.55</v>
      </c>
      <c r="J980">
        <v>30.2</v>
      </c>
      <c r="K980">
        <v>4.3240177419999997</v>
      </c>
      <c r="L980">
        <v>1.3246555E-2</v>
      </c>
      <c r="M980">
        <v>25</v>
      </c>
      <c r="N980" t="s">
        <v>2205</v>
      </c>
      <c r="O980" t="s">
        <v>29</v>
      </c>
      <c r="Q980" t="s">
        <v>2205</v>
      </c>
      <c r="R980" t="s">
        <v>2205</v>
      </c>
      <c r="T980" t="s">
        <v>2205</v>
      </c>
      <c r="U980" t="s">
        <v>31</v>
      </c>
      <c r="V980" t="s">
        <v>31</v>
      </c>
      <c r="W980" t="s">
        <v>3610</v>
      </c>
      <c r="X980" t="s">
        <v>3611</v>
      </c>
      <c r="Y980" t="s">
        <v>3612</v>
      </c>
      <c r="Z980">
        <v>1092.5427729999999</v>
      </c>
    </row>
    <row r="981" spans="1:26" hidden="1">
      <c r="A981">
        <v>980</v>
      </c>
      <c r="B981" t="s">
        <v>3613</v>
      </c>
      <c r="C981" t="s">
        <v>28</v>
      </c>
      <c r="D981" s="1" t="b">
        <v>0</v>
      </c>
      <c r="G981">
        <v>29.1</v>
      </c>
      <c r="O981" t="s">
        <v>29</v>
      </c>
      <c r="Q981" t="s">
        <v>3614</v>
      </c>
      <c r="X981" t="s">
        <v>3615</v>
      </c>
      <c r="Y981" t="s">
        <v>3616</v>
      </c>
      <c r="Z981">
        <v>728.37023290000002</v>
      </c>
    </row>
    <row r="982" spans="1:26" hidden="1">
      <c r="A982">
        <v>981</v>
      </c>
      <c r="B982" t="s">
        <v>3617</v>
      </c>
      <c r="C982" t="s">
        <v>28</v>
      </c>
      <c r="D982" s="1" t="b">
        <v>0</v>
      </c>
      <c r="E982">
        <v>7.8950000000000005E-4</v>
      </c>
      <c r="F982">
        <v>3.1026478659999999</v>
      </c>
      <c r="G982">
        <v>40.4</v>
      </c>
      <c r="H982">
        <v>2.7800000000000001E-6</v>
      </c>
      <c r="I982">
        <v>0.9</v>
      </c>
      <c r="J982">
        <v>30.78</v>
      </c>
      <c r="K982">
        <v>3.35</v>
      </c>
      <c r="L982">
        <v>4.4700000000000002E-4</v>
      </c>
      <c r="M982">
        <v>29.85</v>
      </c>
      <c r="N982" t="s">
        <v>2214</v>
      </c>
      <c r="O982" t="s">
        <v>29</v>
      </c>
      <c r="Q982" t="s">
        <v>2214</v>
      </c>
      <c r="R982" t="s">
        <v>2214</v>
      </c>
      <c r="S982" t="s">
        <v>31</v>
      </c>
      <c r="T982" t="s">
        <v>2214</v>
      </c>
      <c r="U982" t="s">
        <v>2214</v>
      </c>
      <c r="W982" t="s">
        <v>3618</v>
      </c>
      <c r="X982" t="s">
        <v>3619</v>
      </c>
      <c r="Y982" t="s">
        <v>3620</v>
      </c>
      <c r="Z982">
        <v>640.47126409999998</v>
      </c>
    </row>
    <row r="983" spans="1:26" hidden="1">
      <c r="A983">
        <v>982</v>
      </c>
      <c r="B983" t="s">
        <v>3621</v>
      </c>
      <c r="C983" t="s">
        <v>28</v>
      </c>
      <c r="D983" s="1" t="b">
        <v>0</v>
      </c>
      <c r="G983">
        <v>30.7</v>
      </c>
      <c r="O983" t="s">
        <v>29</v>
      </c>
      <c r="Q983" t="s">
        <v>3614</v>
      </c>
      <c r="X983" t="s">
        <v>3622</v>
      </c>
      <c r="Y983" t="s">
        <v>3623</v>
      </c>
      <c r="Z983">
        <v>772.39644769999995</v>
      </c>
    </row>
    <row r="984" spans="1:26" hidden="1">
      <c r="A984">
        <v>983</v>
      </c>
      <c r="B984" t="s">
        <v>3624</v>
      </c>
      <c r="C984" t="s">
        <v>28</v>
      </c>
      <c r="D984" s="1" t="b">
        <v>0</v>
      </c>
      <c r="G984">
        <v>30.9</v>
      </c>
      <c r="O984" t="s">
        <v>29</v>
      </c>
      <c r="Q984" t="s">
        <v>3614</v>
      </c>
      <c r="X984" t="s">
        <v>3625</v>
      </c>
      <c r="Y984" t="s">
        <v>3626</v>
      </c>
      <c r="Z984">
        <v>816.42266240000004</v>
      </c>
    </row>
    <row r="985" spans="1:26" hidden="1">
      <c r="A985">
        <v>984</v>
      </c>
      <c r="B985" t="s">
        <v>3627</v>
      </c>
      <c r="C985" t="s">
        <v>28</v>
      </c>
      <c r="D985" s="1" t="b">
        <v>0</v>
      </c>
      <c r="E985">
        <v>5.8E-4</v>
      </c>
      <c r="F985">
        <v>3.2365720059999998</v>
      </c>
      <c r="G985">
        <v>41.1</v>
      </c>
      <c r="H985">
        <v>8.8999999999999995E-7</v>
      </c>
      <c r="I985">
        <v>1.86</v>
      </c>
      <c r="J985">
        <v>30.9</v>
      </c>
      <c r="K985">
        <v>3.24</v>
      </c>
      <c r="L985">
        <v>5.7499999999999999E-4</v>
      </c>
      <c r="M985">
        <v>25</v>
      </c>
      <c r="N985" t="s">
        <v>2760</v>
      </c>
      <c r="O985" t="s">
        <v>29</v>
      </c>
      <c r="Q985" t="s">
        <v>2760</v>
      </c>
      <c r="R985" t="s">
        <v>2760</v>
      </c>
      <c r="T985" t="s">
        <v>2760</v>
      </c>
      <c r="U985" t="s">
        <v>2760</v>
      </c>
      <c r="X985" t="s">
        <v>3628</v>
      </c>
      <c r="Y985" t="s">
        <v>3629</v>
      </c>
      <c r="Z985">
        <v>716.50256420000005</v>
      </c>
    </row>
    <row r="986" spans="1:26" hidden="1">
      <c r="A986">
        <v>985</v>
      </c>
      <c r="B986" t="s">
        <v>3630</v>
      </c>
      <c r="C986" t="s">
        <v>28</v>
      </c>
      <c r="D986" s="1" t="b">
        <v>0</v>
      </c>
      <c r="E986">
        <v>6.4999999999999997E-4</v>
      </c>
      <c r="F986">
        <v>3.1870866430000002</v>
      </c>
      <c r="G986">
        <v>37.799999999999997</v>
      </c>
      <c r="H986">
        <v>1.0899999999999999E-6</v>
      </c>
      <c r="I986">
        <v>1.51</v>
      </c>
      <c r="J986">
        <v>34.200000000000003</v>
      </c>
      <c r="K986">
        <v>3.19</v>
      </c>
      <c r="L986">
        <v>6.4599999999999998E-4</v>
      </c>
      <c r="M986">
        <v>25</v>
      </c>
      <c r="N986" t="s">
        <v>2760</v>
      </c>
      <c r="O986" t="s">
        <v>29</v>
      </c>
      <c r="Q986" t="s">
        <v>2760</v>
      </c>
      <c r="R986" t="s">
        <v>2760</v>
      </c>
      <c r="T986" t="s">
        <v>2760</v>
      </c>
      <c r="U986" t="s">
        <v>2760</v>
      </c>
      <c r="X986" t="s">
        <v>3631</v>
      </c>
      <c r="Y986" t="s">
        <v>3632</v>
      </c>
      <c r="Z986">
        <v>688.47126409999998</v>
      </c>
    </row>
    <row r="987" spans="1:26" hidden="1">
      <c r="A987">
        <v>986</v>
      </c>
      <c r="B987" t="s">
        <v>3633</v>
      </c>
      <c r="C987" t="s">
        <v>311</v>
      </c>
      <c r="D987" s="1" t="b">
        <v>0</v>
      </c>
      <c r="E987">
        <v>2E-3</v>
      </c>
      <c r="F987">
        <v>2.698970004</v>
      </c>
      <c r="G987">
        <v>33.24</v>
      </c>
      <c r="H987">
        <v>3.5700000000000001E-6</v>
      </c>
      <c r="I987">
        <v>0.46513699400000003</v>
      </c>
      <c r="J987">
        <v>36.299999999999997</v>
      </c>
      <c r="M987">
        <v>23</v>
      </c>
      <c r="N987" t="s">
        <v>89</v>
      </c>
      <c r="P987" t="s">
        <v>135</v>
      </c>
      <c r="R987" t="s">
        <v>137</v>
      </c>
      <c r="S987" t="s">
        <v>137</v>
      </c>
      <c r="T987" t="s">
        <v>31</v>
      </c>
      <c r="V987" t="s">
        <v>137</v>
      </c>
      <c r="W987" t="s">
        <v>3634</v>
      </c>
      <c r="X987" t="s">
        <v>3635</v>
      </c>
      <c r="Y987" t="s">
        <v>3636</v>
      </c>
      <c r="Z987">
        <v>271.2511293</v>
      </c>
    </row>
    <row r="988" spans="1:26" hidden="1">
      <c r="A988">
        <v>987</v>
      </c>
      <c r="B988" t="s">
        <v>3637</v>
      </c>
      <c r="C988" t="s">
        <v>28</v>
      </c>
      <c r="D988" s="1" t="b">
        <v>0</v>
      </c>
      <c r="E988">
        <v>6.9979999999999999E-4</v>
      </c>
      <c r="F988">
        <v>3.1550260620000001</v>
      </c>
      <c r="M988">
        <v>25</v>
      </c>
      <c r="N988" t="s">
        <v>484</v>
      </c>
      <c r="X988" t="s">
        <v>3638</v>
      </c>
      <c r="Y988" t="s">
        <v>3639</v>
      </c>
      <c r="Z988">
        <v>672.38040369999999</v>
      </c>
    </row>
    <row r="989" spans="1:26" hidden="1">
      <c r="A989">
        <v>988</v>
      </c>
      <c r="B989" t="s">
        <v>3640</v>
      </c>
      <c r="C989" t="s">
        <v>28</v>
      </c>
      <c r="D989" s="1" t="b">
        <v>0</v>
      </c>
      <c r="E989">
        <v>7.0000300000000004E-4</v>
      </c>
      <c r="F989">
        <v>3.1549</v>
      </c>
      <c r="M989">
        <v>25</v>
      </c>
      <c r="N989" t="s">
        <v>1849</v>
      </c>
      <c r="X989" t="s">
        <v>3641</v>
      </c>
      <c r="Y989" t="s">
        <v>3642</v>
      </c>
      <c r="Z989">
        <v>672.38040369999999</v>
      </c>
    </row>
    <row r="990" spans="1:26" hidden="1">
      <c r="A990">
        <v>989</v>
      </c>
      <c r="B990" t="s">
        <v>3643</v>
      </c>
      <c r="C990" t="s">
        <v>28</v>
      </c>
      <c r="D990" s="1" t="b">
        <v>0</v>
      </c>
      <c r="E990">
        <v>7.4470000000000005E-4</v>
      </c>
      <c r="F990">
        <v>3.1280186460000001</v>
      </c>
      <c r="G990">
        <v>38</v>
      </c>
      <c r="J990">
        <v>33.97</v>
      </c>
      <c r="M990">
        <v>25</v>
      </c>
      <c r="N990" t="s">
        <v>484</v>
      </c>
      <c r="O990" t="s">
        <v>29</v>
      </c>
      <c r="P990" t="s">
        <v>648</v>
      </c>
      <c r="Q990" t="s">
        <v>3644</v>
      </c>
      <c r="S990" t="s">
        <v>31</v>
      </c>
      <c r="W990" t="s">
        <v>3645</v>
      </c>
      <c r="X990" t="s">
        <v>3646</v>
      </c>
      <c r="Y990" t="s">
        <v>3647</v>
      </c>
      <c r="Z990">
        <v>655.55493409999997</v>
      </c>
    </row>
    <row r="991" spans="1:26" hidden="1">
      <c r="A991">
        <v>990</v>
      </c>
      <c r="B991" t="s">
        <v>3648</v>
      </c>
      <c r="C991" t="s">
        <v>28</v>
      </c>
      <c r="D991" s="1" t="b">
        <v>0</v>
      </c>
      <c r="E991">
        <v>6.2370000000000004E-4</v>
      </c>
      <c r="F991">
        <v>3.2050242560000002</v>
      </c>
      <c r="M991">
        <v>25</v>
      </c>
      <c r="N991" t="s">
        <v>484</v>
      </c>
      <c r="P991" t="s">
        <v>2484</v>
      </c>
      <c r="W991" t="s">
        <v>3649</v>
      </c>
      <c r="X991" t="s">
        <v>3650</v>
      </c>
      <c r="Y991" t="s">
        <v>3651</v>
      </c>
      <c r="Z991">
        <v>669.57058419999998</v>
      </c>
    </row>
    <row r="992" spans="1:26" hidden="1">
      <c r="A992">
        <v>991</v>
      </c>
      <c r="B992" t="s">
        <v>3652</v>
      </c>
      <c r="C992" t="s">
        <v>28</v>
      </c>
      <c r="D992" s="1" t="b">
        <v>0</v>
      </c>
      <c r="E992">
        <v>5.6099999999999998E-4</v>
      </c>
      <c r="F992">
        <v>3.2510371390000001</v>
      </c>
      <c r="M992">
        <v>25</v>
      </c>
      <c r="N992" t="s">
        <v>484</v>
      </c>
      <c r="P992" t="s">
        <v>648</v>
      </c>
      <c r="W992" t="s">
        <v>3653</v>
      </c>
      <c r="X992" t="s">
        <v>3654</v>
      </c>
      <c r="Y992" t="s">
        <v>3655</v>
      </c>
      <c r="Z992">
        <v>683.5862343</v>
      </c>
    </row>
    <row r="993" spans="1:26" hidden="1">
      <c r="A993">
        <v>992</v>
      </c>
      <c r="B993" t="s">
        <v>3656</v>
      </c>
      <c r="C993" t="s">
        <v>28</v>
      </c>
      <c r="D993" s="1" t="b">
        <v>0</v>
      </c>
      <c r="E993">
        <v>3.926E-4</v>
      </c>
      <c r="F993">
        <v>3.406049705</v>
      </c>
      <c r="M993">
        <v>25</v>
      </c>
      <c r="N993" t="s">
        <v>484</v>
      </c>
      <c r="P993" t="s">
        <v>648</v>
      </c>
      <c r="W993" t="s">
        <v>3657</v>
      </c>
      <c r="X993" t="s">
        <v>3658</v>
      </c>
      <c r="Y993" t="s">
        <v>3659</v>
      </c>
      <c r="Z993">
        <v>697.60188430000005</v>
      </c>
    </row>
    <row r="994" spans="1:26" hidden="1">
      <c r="A994">
        <v>993</v>
      </c>
      <c r="B994" t="s">
        <v>3660</v>
      </c>
      <c r="C994" t="s">
        <v>28</v>
      </c>
      <c r="D994" s="1" t="b">
        <v>0</v>
      </c>
      <c r="E994">
        <v>3.1480000000000001E-4</v>
      </c>
      <c r="F994">
        <v>3.501965276</v>
      </c>
      <c r="G994">
        <v>35</v>
      </c>
      <c r="J994">
        <v>36.97</v>
      </c>
      <c r="M994">
        <v>25</v>
      </c>
      <c r="N994" t="s">
        <v>484</v>
      </c>
      <c r="O994" t="s">
        <v>29</v>
      </c>
      <c r="P994" t="s">
        <v>648</v>
      </c>
      <c r="Q994" t="s">
        <v>3644</v>
      </c>
      <c r="S994" t="s">
        <v>31</v>
      </c>
      <c r="W994" t="s">
        <v>3661</v>
      </c>
      <c r="X994" t="s">
        <v>3662</v>
      </c>
      <c r="Y994" t="s">
        <v>3663</v>
      </c>
      <c r="Z994">
        <v>711.61753439999995</v>
      </c>
    </row>
    <row r="995" spans="1:26" hidden="1">
      <c r="A995">
        <v>994</v>
      </c>
      <c r="B995" t="s">
        <v>3664</v>
      </c>
      <c r="C995" t="s">
        <v>28</v>
      </c>
      <c r="D995" s="1" t="b">
        <v>0</v>
      </c>
      <c r="E995">
        <v>2.5179999999999999E-4</v>
      </c>
      <c r="F995">
        <v>3.5989442739999999</v>
      </c>
      <c r="M995">
        <v>25</v>
      </c>
      <c r="N995" t="s">
        <v>484</v>
      </c>
      <c r="P995" t="s">
        <v>648</v>
      </c>
      <c r="W995" t="s">
        <v>3665</v>
      </c>
      <c r="X995" t="s">
        <v>3666</v>
      </c>
      <c r="Y995" t="s">
        <v>3667</v>
      </c>
      <c r="Z995">
        <v>739.64883450000002</v>
      </c>
    </row>
    <row r="996" spans="1:26" hidden="1">
      <c r="A996">
        <v>995</v>
      </c>
      <c r="B996" t="s">
        <v>3668</v>
      </c>
      <c r="C996" t="s">
        <v>28</v>
      </c>
      <c r="D996" s="1" t="b">
        <v>0</v>
      </c>
      <c r="E996">
        <v>1.003E-3</v>
      </c>
      <c r="F996">
        <v>2.998699067</v>
      </c>
      <c r="G996">
        <v>37.6</v>
      </c>
      <c r="H996">
        <v>1.742E-6</v>
      </c>
      <c r="I996">
        <v>0.95</v>
      </c>
      <c r="J996">
        <v>34.369999999999997</v>
      </c>
      <c r="K996">
        <v>3.9340000000000002</v>
      </c>
      <c r="L996">
        <v>1.9565255E-2</v>
      </c>
      <c r="M996">
        <v>25</v>
      </c>
      <c r="N996" t="s">
        <v>1867</v>
      </c>
      <c r="O996" t="s">
        <v>29</v>
      </c>
      <c r="Q996" t="s">
        <v>1867</v>
      </c>
      <c r="R996" t="s">
        <v>1867</v>
      </c>
      <c r="S996" t="s">
        <v>31</v>
      </c>
      <c r="T996" t="s">
        <v>1867</v>
      </c>
      <c r="U996" t="s">
        <v>1867</v>
      </c>
      <c r="V996" t="s">
        <v>31</v>
      </c>
      <c r="W996" t="s">
        <v>3669</v>
      </c>
      <c r="X996" t="s">
        <v>3670</v>
      </c>
      <c r="Y996" t="s">
        <v>3671</v>
      </c>
      <c r="Z996">
        <v>696.58148319999998</v>
      </c>
    </row>
    <row r="997" spans="1:26" hidden="1">
      <c r="A997">
        <v>996</v>
      </c>
      <c r="B997" t="s">
        <v>3672</v>
      </c>
      <c r="C997" t="s">
        <v>28</v>
      </c>
      <c r="D997" s="1" t="b">
        <v>0</v>
      </c>
      <c r="G997">
        <v>31.4</v>
      </c>
      <c r="O997" t="s">
        <v>29</v>
      </c>
      <c r="Q997" t="s">
        <v>3673</v>
      </c>
      <c r="X997" t="s">
        <v>3674</v>
      </c>
      <c r="Y997" t="s">
        <v>3675</v>
      </c>
      <c r="Z997">
        <v>756.55499369999995</v>
      </c>
    </row>
    <row r="998" spans="1:26" hidden="1">
      <c r="A998">
        <v>997</v>
      </c>
      <c r="B998" t="s">
        <v>3676</v>
      </c>
      <c r="C998" t="s">
        <v>28</v>
      </c>
      <c r="D998" s="1" t="b">
        <v>0</v>
      </c>
      <c r="E998">
        <v>7.1100000000000004E-4</v>
      </c>
      <c r="F998">
        <v>3.1481303989999998</v>
      </c>
      <c r="G998">
        <v>30.6</v>
      </c>
      <c r="H998">
        <v>3.0000000000000001E-6</v>
      </c>
      <c r="I998">
        <v>0.55000000000000004</v>
      </c>
      <c r="J998">
        <v>41.4</v>
      </c>
      <c r="K998">
        <v>3.64</v>
      </c>
      <c r="L998">
        <v>2.2900000000000001E-4</v>
      </c>
      <c r="M998">
        <v>25</v>
      </c>
      <c r="N998" t="s">
        <v>2250</v>
      </c>
      <c r="O998" t="s">
        <v>29</v>
      </c>
      <c r="Q998" t="s">
        <v>2250</v>
      </c>
      <c r="R998" t="s">
        <v>2250</v>
      </c>
      <c r="T998" t="s">
        <v>2250</v>
      </c>
      <c r="U998" t="s">
        <v>2250</v>
      </c>
      <c r="W998" t="s">
        <v>3677</v>
      </c>
      <c r="X998" t="s">
        <v>3678</v>
      </c>
      <c r="Y998" t="s">
        <v>3679</v>
      </c>
      <c r="Z998">
        <v>760.4328332</v>
      </c>
    </row>
    <row r="999" spans="1:26" hidden="1">
      <c r="A999">
        <v>998</v>
      </c>
      <c r="B999" t="s">
        <v>3680</v>
      </c>
      <c r="C999" t="s">
        <v>28</v>
      </c>
      <c r="D999" s="1" t="b">
        <v>0</v>
      </c>
      <c r="E999">
        <v>1.2390000000000001E-3</v>
      </c>
      <c r="F999">
        <v>2.9069286939999999</v>
      </c>
      <c r="G999">
        <v>28.5</v>
      </c>
      <c r="H999">
        <v>1.06E-6</v>
      </c>
      <c r="I999">
        <v>1.57</v>
      </c>
      <c r="J999">
        <v>43.5</v>
      </c>
      <c r="K999">
        <v>4.12</v>
      </c>
      <c r="L999">
        <v>7.5199999999999998E-5</v>
      </c>
      <c r="M999">
        <v>25</v>
      </c>
      <c r="N999" t="s">
        <v>2250</v>
      </c>
      <c r="O999" t="s">
        <v>29</v>
      </c>
      <c r="Q999" t="s">
        <v>2250</v>
      </c>
      <c r="R999" t="s">
        <v>2250</v>
      </c>
      <c r="T999" t="s">
        <v>2250</v>
      </c>
      <c r="U999" t="s">
        <v>2250</v>
      </c>
      <c r="W999" t="s">
        <v>3681</v>
      </c>
      <c r="X999" t="s">
        <v>3682</v>
      </c>
      <c r="Y999" t="s">
        <v>3683</v>
      </c>
      <c r="Z999">
        <v>804.45904789999997</v>
      </c>
    </row>
    <row r="1000" spans="1:26" hidden="1">
      <c r="A1000">
        <v>999</v>
      </c>
      <c r="B1000" t="s">
        <v>3684</v>
      </c>
      <c r="C1000" t="s">
        <v>28</v>
      </c>
      <c r="D1000" s="1" t="b">
        <v>0</v>
      </c>
      <c r="E1000">
        <v>6.0700000000000001E-4</v>
      </c>
      <c r="F1000">
        <v>3.2168113090000001</v>
      </c>
      <c r="G1000">
        <v>33.799999999999997</v>
      </c>
      <c r="H1000">
        <v>8.2699999999999998E-7</v>
      </c>
      <c r="I1000">
        <v>1.19</v>
      </c>
      <c r="J1000">
        <v>38.200000000000003</v>
      </c>
      <c r="K1000">
        <v>4</v>
      </c>
      <c r="L1000">
        <v>1E-4</v>
      </c>
      <c r="M1000">
        <v>25</v>
      </c>
      <c r="N1000" t="s">
        <v>2250</v>
      </c>
      <c r="O1000" t="s">
        <v>29</v>
      </c>
      <c r="Q1000" t="s">
        <v>2250</v>
      </c>
      <c r="R1000" t="s">
        <v>2250</v>
      </c>
      <c r="T1000" t="s">
        <v>2250</v>
      </c>
      <c r="U1000" t="s">
        <v>2250</v>
      </c>
      <c r="W1000" t="s">
        <v>3685</v>
      </c>
      <c r="X1000" t="s">
        <v>3686</v>
      </c>
      <c r="Y1000" t="s">
        <v>3687</v>
      </c>
      <c r="Z1000">
        <v>848.48526270000002</v>
      </c>
    </row>
    <row r="1001" spans="1:26" hidden="1">
      <c r="A1001">
        <v>1000</v>
      </c>
      <c r="B1001" t="s">
        <v>3688</v>
      </c>
      <c r="C1001" t="s">
        <v>28</v>
      </c>
      <c r="D1001" s="1" t="b">
        <v>0</v>
      </c>
      <c r="E1001">
        <v>5.9999999999999995E-4</v>
      </c>
      <c r="F1001">
        <v>3.2218487499999999</v>
      </c>
      <c r="G1001">
        <v>40.200000000000003</v>
      </c>
      <c r="H1001">
        <v>1.1400000000000001E-6</v>
      </c>
      <c r="I1001">
        <v>1.46</v>
      </c>
      <c r="J1001">
        <v>31.8</v>
      </c>
      <c r="K1001">
        <v>3.83</v>
      </c>
      <c r="L1001">
        <v>1.4799999999999999E-4</v>
      </c>
      <c r="M1001">
        <v>25</v>
      </c>
      <c r="N1001" t="s">
        <v>2263</v>
      </c>
      <c r="O1001" t="s">
        <v>29</v>
      </c>
      <c r="Q1001" t="s">
        <v>2263</v>
      </c>
      <c r="R1001" t="s">
        <v>2263</v>
      </c>
      <c r="S1001" t="s">
        <v>2263</v>
      </c>
      <c r="T1001" t="s">
        <v>2263</v>
      </c>
      <c r="U1001" t="s">
        <v>2263</v>
      </c>
      <c r="V1001" t="s">
        <v>2263</v>
      </c>
      <c r="X1001" t="s">
        <v>3689</v>
      </c>
      <c r="Y1001" t="s">
        <v>3690</v>
      </c>
      <c r="Z1001">
        <v>720.5338643</v>
      </c>
    </row>
    <row r="1002" spans="1:26" hidden="1">
      <c r="A1002">
        <v>1001</v>
      </c>
      <c r="B1002" t="s">
        <v>3691</v>
      </c>
      <c r="C1002" t="s">
        <v>28</v>
      </c>
      <c r="D1002" s="1" t="b">
        <v>0</v>
      </c>
      <c r="E1002">
        <v>7.7999999999999999E-4</v>
      </c>
      <c r="F1002">
        <v>3.1079053970000001</v>
      </c>
      <c r="G1002">
        <v>37</v>
      </c>
      <c r="J1002">
        <v>35</v>
      </c>
      <c r="K1002">
        <v>3.2</v>
      </c>
      <c r="L1002">
        <v>6.3100000000000005E-4</v>
      </c>
      <c r="M1002">
        <v>25</v>
      </c>
      <c r="N1002" t="s">
        <v>2267</v>
      </c>
      <c r="O1002" t="s">
        <v>29</v>
      </c>
      <c r="Q1002" t="s">
        <v>2267</v>
      </c>
      <c r="U1002" t="s">
        <v>2267</v>
      </c>
      <c r="W1002" t="s">
        <v>3692</v>
      </c>
      <c r="X1002" t="s">
        <v>3693</v>
      </c>
      <c r="Y1002" t="s">
        <v>3694</v>
      </c>
      <c r="Z1002">
        <v>554.47087020000004</v>
      </c>
    </row>
    <row r="1003" spans="1:26" hidden="1">
      <c r="A1003">
        <v>1002</v>
      </c>
      <c r="B1003" t="s">
        <v>3695</v>
      </c>
      <c r="C1003" t="s">
        <v>28</v>
      </c>
      <c r="D1003" s="1" t="b">
        <v>0</v>
      </c>
      <c r="G1003">
        <v>34</v>
      </c>
      <c r="O1003" t="s">
        <v>29</v>
      </c>
      <c r="Q1003" t="s">
        <v>3644</v>
      </c>
      <c r="X1003" t="s">
        <v>3696</v>
      </c>
      <c r="Y1003" t="s">
        <v>3697</v>
      </c>
      <c r="Z1003">
        <v>719.56291199999998</v>
      </c>
    </row>
    <row r="1004" spans="1:26" hidden="1">
      <c r="A1004">
        <v>1003</v>
      </c>
      <c r="B1004" t="s">
        <v>3698</v>
      </c>
      <c r="C1004" t="s">
        <v>28</v>
      </c>
      <c r="D1004" s="1" t="b">
        <v>0</v>
      </c>
      <c r="G1004">
        <v>30</v>
      </c>
      <c r="O1004" t="s">
        <v>29</v>
      </c>
      <c r="Q1004" t="s">
        <v>3644</v>
      </c>
      <c r="X1004" t="s">
        <v>3699</v>
      </c>
      <c r="Y1004" t="s">
        <v>3700</v>
      </c>
      <c r="Z1004">
        <v>831.68811249999999</v>
      </c>
    </row>
    <row r="1005" spans="1:26" hidden="1">
      <c r="A1005">
        <v>1004</v>
      </c>
      <c r="B1005" t="s">
        <v>3701</v>
      </c>
      <c r="C1005" t="s">
        <v>54</v>
      </c>
      <c r="D1005" s="1" t="b">
        <v>0</v>
      </c>
      <c r="E1005">
        <v>1.4E-2</v>
      </c>
      <c r="F1005">
        <v>1.8538719640000001</v>
      </c>
      <c r="M1005">
        <v>25</v>
      </c>
      <c r="N1005" t="s">
        <v>89</v>
      </c>
      <c r="P1005" t="s">
        <v>103</v>
      </c>
      <c r="W1005" t="s">
        <v>3702</v>
      </c>
      <c r="X1005" t="s">
        <v>3703</v>
      </c>
      <c r="Y1005" t="s">
        <v>3704</v>
      </c>
      <c r="Z1005">
        <v>321.20311229999999</v>
      </c>
    </row>
    <row r="1006" spans="1:26" hidden="1">
      <c r="A1006">
        <v>1005</v>
      </c>
      <c r="B1006" t="s">
        <v>3705</v>
      </c>
      <c r="C1006" t="s">
        <v>28</v>
      </c>
      <c r="D1006" s="1" t="b">
        <v>0</v>
      </c>
      <c r="E1006">
        <v>9.3970000000000002E-4</v>
      </c>
      <c r="F1006">
        <v>3.0270107730000002</v>
      </c>
      <c r="M1006">
        <v>25</v>
      </c>
      <c r="N1006" t="s">
        <v>484</v>
      </c>
      <c r="X1006" t="s">
        <v>3706</v>
      </c>
      <c r="Y1006" t="s">
        <v>3707</v>
      </c>
      <c r="Z1006">
        <v>656.38548909999997</v>
      </c>
    </row>
    <row r="1007" spans="1:26" hidden="1">
      <c r="A1007">
        <v>1006</v>
      </c>
      <c r="B1007" t="s">
        <v>3708</v>
      </c>
      <c r="C1007" t="s">
        <v>28</v>
      </c>
      <c r="D1007" s="1" t="b">
        <v>0</v>
      </c>
      <c r="G1007">
        <v>40.9</v>
      </c>
      <c r="O1007" t="s">
        <v>29</v>
      </c>
      <c r="Q1007" t="s">
        <v>2267</v>
      </c>
      <c r="X1007" t="s">
        <v>3709</v>
      </c>
      <c r="Y1007" t="s">
        <v>3710</v>
      </c>
      <c r="Z1007">
        <v>568.48652019999997</v>
      </c>
    </row>
    <row r="1008" spans="1:26" hidden="1">
      <c r="A1008">
        <v>1007</v>
      </c>
      <c r="B1008" t="s">
        <v>3711</v>
      </c>
      <c r="C1008" t="s">
        <v>54</v>
      </c>
      <c r="D1008" s="1" t="b">
        <v>0</v>
      </c>
      <c r="G1008">
        <v>31.1</v>
      </c>
      <c r="O1008" t="s">
        <v>29</v>
      </c>
      <c r="Q1008" t="s">
        <v>2272</v>
      </c>
      <c r="X1008" t="s">
        <v>3712</v>
      </c>
      <c r="Y1008" t="s">
        <v>3713</v>
      </c>
      <c r="Z1008">
        <v>498.28209079999999</v>
      </c>
    </row>
    <row r="1009" spans="1:26" hidden="1">
      <c r="A1009">
        <v>1008</v>
      </c>
      <c r="B1009" t="s">
        <v>3714</v>
      </c>
      <c r="C1009" t="s">
        <v>311</v>
      </c>
      <c r="D1009" s="1" t="b">
        <v>0</v>
      </c>
      <c r="E1009">
        <v>4.5999999999999999E-3</v>
      </c>
      <c r="F1009">
        <v>2.337242168</v>
      </c>
      <c r="M1009">
        <v>25</v>
      </c>
      <c r="N1009" t="s">
        <v>89</v>
      </c>
      <c r="P1009" t="s">
        <v>103</v>
      </c>
      <c r="W1009" t="s">
        <v>3715</v>
      </c>
      <c r="X1009" t="s">
        <v>3716</v>
      </c>
      <c r="Y1009" t="s">
        <v>3717</v>
      </c>
      <c r="Z1009">
        <v>299.28242940000001</v>
      </c>
    </row>
    <row r="1010" spans="1:26">
      <c r="A1010">
        <v>1009</v>
      </c>
      <c r="B1010" t="s">
        <v>3718</v>
      </c>
      <c r="C1010" t="s">
        <v>54</v>
      </c>
      <c r="D1010" s="1" t="b">
        <v>1</v>
      </c>
      <c r="E1010">
        <v>7.4999999999999997E-3</v>
      </c>
      <c r="F1010">
        <v>2.1249387369999999</v>
      </c>
      <c r="G1010" s="2"/>
      <c r="H1010" s="2"/>
      <c r="I1010" s="2"/>
      <c r="J1010" s="2"/>
      <c r="K1010" s="2"/>
      <c r="L1010" s="2"/>
      <c r="M1010">
        <v>25</v>
      </c>
      <c r="N1010" t="s">
        <v>1574</v>
      </c>
      <c r="P1010" t="s">
        <v>103</v>
      </c>
      <c r="W1010" t="s">
        <v>3719</v>
      </c>
      <c r="X1010" t="s">
        <v>3720</v>
      </c>
      <c r="Y1010" t="s">
        <v>3721</v>
      </c>
      <c r="Z1010">
        <v>349.2344124</v>
      </c>
    </row>
    <row r="1011" spans="1:26" hidden="1">
      <c r="A1011">
        <v>1010</v>
      </c>
      <c r="B1011" t="s">
        <v>3722</v>
      </c>
      <c r="C1011" t="s">
        <v>311</v>
      </c>
      <c r="D1011" s="1" t="b">
        <v>0</v>
      </c>
      <c r="E1011">
        <v>2.5999999999999999E-3</v>
      </c>
      <c r="F1011">
        <v>2.5850266519999998</v>
      </c>
      <c r="M1011">
        <v>25</v>
      </c>
      <c r="N1011" t="s">
        <v>89</v>
      </c>
      <c r="P1011" t="s">
        <v>103</v>
      </c>
      <c r="W1011" t="s">
        <v>3723</v>
      </c>
      <c r="X1011" t="s">
        <v>3724</v>
      </c>
      <c r="Y1011" t="s">
        <v>3725</v>
      </c>
      <c r="Z1011">
        <v>327.31372959999999</v>
      </c>
    </row>
    <row r="1012" spans="1:26">
      <c r="A1012">
        <v>1011</v>
      </c>
      <c r="B1012" t="s">
        <v>3726</v>
      </c>
      <c r="C1012" t="s">
        <v>54</v>
      </c>
      <c r="D1012" s="1" t="b">
        <v>1</v>
      </c>
      <c r="E1012">
        <v>3.0999999999999999E-3</v>
      </c>
      <c r="F1012">
        <v>2.5086383059999999</v>
      </c>
      <c r="G1012" s="2"/>
      <c r="H1012" s="2"/>
      <c r="I1012" s="2"/>
      <c r="J1012" s="2"/>
      <c r="K1012" s="2"/>
      <c r="L1012" s="2"/>
      <c r="M1012">
        <v>25</v>
      </c>
      <c r="N1012" t="s">
        <v>1574</v>
      </c>
      <c r="P1012" t="s">
        <v>103</v>
      </c>
      <c r="W1012" t="s">
        <v>3727</v>
      </c>
      <c r="X1012" t="s">
        <v>3728</v>
      </c>
      <c r="Y1012" t="s">
        <v>3729</v>
      </c>
      <c r="Z1012">
        <v>377.26571250000001</v>
      </c>
    </row>
    <row r="1013" spans="1:26" hidden="1">
      <c r="A1013">
        <v>1012</v>
      </c>
      <c r="B1013" t="s">
        <v>3730</v>
      </c>
      <c r="C1013" t="s">
        <v>54</v>
      </c>
      <c r="D1013" s="1" t="b">
        <v>0</v>
      </c>
      <c r="E1013">
        <v>1.1000000000000001E-3</v>
      </c>
      <c r="F1013">
        <v>2.9586073150000001</v>
      </c>
      <c r="M1013">
        <v>25</v>
      </c>
      <c r="N1013" t="s">
        <v>89</v>
      </c>
      <c r="P1013" t="s">
        <v>103</v>
      </c>
      <c r="W1013" t="s">
        <v>3731</v>
      </c>
      <c r="X1013" t="s">
        <v>3732</v>
      </c>
      <c r="Y1013" t="s">
        <v>3733</v>
      </c>
      <c r="Z1013">
        <v>405.29701260000002</v>
      </c>
    </row>
    <row r="1014" spans="1:26" hidden="1">
      <c r="A1014">
        <v>1013</v>
      </c>
      <c r="B1014" t="s">
        <v>3734</v>
      </c>
      <c r="C1014" t="s">
        <v>54</v>
      </c>
      <c r="D1014" s="1" t="b">
        <v>0</v>
      </c>
      <c r="E1014">
        <v>6.9999999999999994E-5</v>
      </c>
      <c r="F1014">
        <v>4.1549019600000001</v>
      </c>
      <c r="G1014">
        <v>25</v>
      </c>
      <c r="H1014">
        <v>2.9000000000000002E-6</v>
      </c>
      <c r="I1014">
        <v>0.56999999999999995</v>
      </c>
      <c r="J1014">
        <v>46</v>
      </c>
      <c r="K1014">
        <v>4.9703059530000004</v>
      </c>
      <c r="L1014">
        <v>6.9410239999999996E-3</v>
      </c>
      <c r="M1014">
        <v>25</v>
      </c>
      <c r="N1014" t="s">
        <v>3735</v>
      </c>
      <c r="O1014" t="s">
        <v>29</v>
      </c>
      <c r="P1014" t="s">
        <v>103</v>
      </c>
      <c r="Q1014" t="s">
        <v>1769</v>
      </c>
      <c r="R1014" t="s">
        <v>3736</v>
      </c>
      <c r="S1014" t="s">
        <v>3736</v>
      </c>
      <c r="T1014" t="s">
        <v>3736</v>
      </c>
      <c r="U1014" t="s">
        <v>31</v>
      </c>
      <c r="V1014" t="s">
        <v>31</v>
      </c>
      <c r="W1014" t="s">
        <v>3737</v>
      </c>
      <c r="X1014" t="s">
        <v>3738</v>
      </c>
      <c r="Y1014" t="s">
        <v>3739</v>
      </c>
      <c r="Z1014">
        <v>461.3596129</v>
      </c>
    </row>
    <row r="1015" spans="1:26" hidden="1">
      <c r="A1015">
        <v>1014</v>
      </c>
      <c r="B1015" t="s">
        <v>3740</v>
      </c>
      <c r="C1015" t="s">
        <v>28</v>
      </c>
      <c r="D1015" s="1" t="b">
        <v>0</v>
      </c>
      <c r="E1015">
        <v>1.20005E-4</v>
      </c>
      <c r="F1015">
        <v>3.9207999999999998</v>
      </c>
      <c r="G1015">
        <v>39.4</v>
      </c>
      <c r="J1015">
        <v>32.57</v>
      </c>
      <c r="M1015">
        <v>25</v>
      </c>
      <c r="N1015" t="s">
        <v>1849</v>
      </c>
      <c r="O1015" t="s">
        <v>29</v>
      </c>
      <c r="Q1015" t="s">
        <v>3741</v>
      </c>
      <c r="S1015" t="s">
        <v>31</v>
      </c>
      <c r="X1015" t="s">
        <v>3742</v>
      </c>
      <c r="Y1015" t="s">
        <v>3743</v>
      </c>
      <c r="Z1015">
        <v>808.57837519999998</v>
      </c>
    </row>
    <row r="1016" spans="1:26" hidden="1">
      <c r="A1016">
        <v>1015</v>
      </c>
      <c r="B1016" t="s">
        <v>3744</v>
      </c>
      <c r="C1016" t="s">
        <v>28</v>
      </c>
      <c r="D1016" s="1" t="b">
        <v>0</v>
      </c>
      <c r="E1016">
        <v>1.9998600000000001E-4</v>
      </c>
      <c r="F1016">
        <v>3.6989999999999998</v>
      </c>
      <c r="G1016">
        <v>39.5</v>
      </c>
      <c r="J1016">
        <v>32.47</v>
      </c>
      <c r="M1016">
        <v>25</v>
      </c>
      <c r="N1016" t="s">
        <v>1849</v>
      </c>
      <c r="O1016" t="s">
        <v>29</v>
      </c>
      <c r="Q1016" t="s">
        <v>3741</v>
      </c>
      <c r="S1016" t="s">
        <v>31</v>
      </c>
      <c r="X1016" t="s">
        <v>3745</v>
      </c>
      <c r="Y1016" t="s">
        <v>3746</v>
      </c>
      <c r="Z1016">
        <v>780.54707510000003</v>
      </c>
    </row>
    <row r="1017" spans="1:26" hidden="1">
      <c r="A1017">
        <v>1016</v>
      </c>
      <c r="B1017" t="s">
        <v>3747</v>
      </c>
      <c r="C1017" t="s">
        <v>28</v>
      </c>
      <c r="D1017" s="1" t="b">
        <v>0</v>
      </c>
      <c r="E1017">
        <v>3.6999899999999998E-4</v>
      </c>
      <c r="F1017">
        <v>3.4318</v>
      </c>
      <c r="G1017">
        <v>41.5</v>
      </c>
      <c r="J1017">
        <v>30.47</v>
      </c>
      <c r="M1017">
        <v>25</v>
      </c>
      <c r="N1017" t="s">
        <v>1849</v>
      </c>
      <c r="O1017" t="s">
        <v>29</v>
      </c>
      <c r="Q1017" t="s">
        <v>3741</v>
      </c>
      <c r="S1017" t="s">
        <v>31</v>
      </c>
      <c r="X1017" t="s">
        <v>3748</v>
      </c>
      <c r="Y1017" t="s">
        <v>3749</v>
      </c>
      <c r="Z1017">
        <v>752.51577499999996</v>
      </c>
    </row>
    <row r="1018" spans="1:26" hidden="1">
      <c r="A1018">
        <v>1017</v>
      </c>
      <c r="B1018" t="s">
        <v>3750</v>
      </c>
      <c r="C1018" t="s">
        <v>28</v>
      </c>
      <c r="D1018" s="1" t="b">
        <v>0</v>
      </c>
      <c r="E1018">
        <v>6.2994099999999996E-4</v>
      </c>
      <c r="F1018">
        <v>3.2006999999999999</v>
      </c>
      <c r="G1018">
        <v>43</v>
      </c>
      <c r="J1018">
        <v>28.97</v>
      </c>
      <c r="M1018">
        <v>25</v>
      </c>
      <c r="N1018" t="s">
        <v>1849</v>
      </c>
      <c r="O1018" t="s">
        <v>29</v>
      </c>
      <c r="Q1018" t="s">
        <v>3751</v>
      </c>
      <c r="S1018" t="s">
        <v>31</v>
      </c>
      <c r="X1018" t="s">
        <v>3752</v>
      </c>
      <c r="Y1018" t="s">
        <v>3753</v>
      </c>
      <c r="Z1018">
        <v>724.48447480000004</v>
      </c>
    </row>
    <row r="1019" spans="1:26" hidden="1">
      <c r="A1019">
        <v>1018</v>
      </c>
      <c r="B1019" t="s">
        <v>3754</v>
      </c>
      <c r="C1019" t="s">
        <v>28</v>
      </c>
      <c r="D1019" s="1" t="b">
        <v>0</v>
      </c>
      <c r="E1019">
        <v>8.3004200000000002E-4</v>
      </c>
      <c r="F1019">
        <v>3.0809000000000002</v>
      </c>
      <c r="G1019">
        <v>42.8</v>
      </c>
      <c r="J1019">
        <v>29.17</v>
      </c>
      <c r="M1019">
        <v>25</v>
      </c>
      <c r="N1019" t="s">
        <v>1849</v>
      </c>
      <c r="O1019" t="s">
        <v>29</v>
      </c>
      <c r="Q1019" t="s">
        <v>3741</v>
      </c>
      <c r="S1019" t="s">
        <v>31</v>
      </c>
      <c r="X1019" t="s">
        <v>3755</v>
      </c>
      <c r="Y1019" t="s">
        <v>3756</v>
      </c>
      <c r="Z1019">
        <v>696.45317469999998</v>
      </c>
    </row>
    <row r="1020" spans="1:26" hidden="1">
      <c r="A1020">
        <v>1019</v>
      </c>
      <c r="B1020" t="s">
        <v>3757</v>
      </c>
      <c r="C1020" t="s">
        <v>28</v>
      </c>
      <c r="D1020" s="1" t="b">
        <v>0</v>
      </c>
      <c r="E1020">
        <v>8.9950000000000002E-4</v>
      </c>
      <c r="F1020">
        <v>3.045998832</v>
      </c>
      <c r="M1020">
        <v>25</v>
      </c>
      <c r="N1020" t="s">
        <v>484</v>
      </c>
      <c r="W1020" t="s">
        <v>3758</v>
      </c>
      <c r="X1020" t="s">
        <v>3759</v>
      </c>
      <c r="Y1020" t="s">
        <v>3760</v>
      </c>
      <c r="Z1020">
        <v>682.43752459999996</v>
      </c>
    </row>
    <row r="1021" spans="1:26" hidden="1">
      <c r="A1021">
        <v>1020</v>
      </c>
      <c r="B1021" t="s">
        <v>3761</v>
      </c>
      <c r="C1021" t="s">
        <v>28</v>
      </c>
      <c r="D1021" s="1" t="b">
        <v>0</v>
      </c>
      <c r="E1021">
        <v>1.6219999999999998E-2</v>
      </c>
      <c r="F1021">
        <v>1.78994915</v>
      </c>
      <c r="M1021">
        <v>25</v>
      </c>
      <c r="N1021" t="s">
        <v>484</v>
      </c>
      <c r="X1021" t="s">
        <v>3762</v>
      </c>
      <c r="Y1021" t="s">
        <v>3763</v>
      </c>
      <c r="Z1021">
        <v>584.32797419999997</v>
      </c>
    </row>
    <row r="1022" spans="1:26" hidden="1">
      <c r="A1022">
        <v>1021</v>
      </c>
      <c r="B1022" t="s">
        <v>3764</v>
      </c>
      <c r="C1022" t="s">
        <v>28</v>
      </c>
      <c r="D1022" s="1" t="b">
        <v>0</v>
      </c>
      <c r="E1022">
        <v>1.029912E-3</v>
      </c>
      <c r="F1022">
        <v>2.9872000000000001</v>
      </c>
      <c r="G1022">
        <v>30.6</v>
      </c>
      <c r="H1022">
        <v>1.8899999999999999E-6</v>
      </c>
      <c r="I1022">
        <v>0.88</v>
      </c>
      <c r="J1022">
        <v>42.2</v>
      </c>
      <c r="K1022">
        <v>3.78</v>
      </c>
      <c r="L1022">
        <v>1.6000000000000001E-4</v>
      </c>
      <c r="M1022">
        <v>25</v>
      </c>
      <c r="N1022" t="s">
        <v>1849</v>
      </c>
      <c r="O1022" t="s">
        <v>3765</v>
      </c>
      <c r="Q1022" t="s">
        <v>3751</v>
      </c>
      <c r="R1022" t="s">
        <v>2295</v>
      </c>
      <c r="S1022" t="s">
        <v>2295</v>
      </c>
      <c r="T1022" t="s">
        <v>2295</v>
      </c>
      <c r="U1022" t="s">
        <v>2295</v>
      </c>
      <c r="V1022" t="s">
        <v>2295</v>
      </c>
      <c r="W1022" t="s">
        <v>3766</v>
      </c>
      <c r="X1022" t="s">
        <v>3767</v>
      </c>
      <c r="Y1022" t="s">
        <v>3768</v>
      </c>
      <c r="Z1022">
        <v>668.42187460000002</v>
      </c>
    </row>
    <row r="1023" spans="1:26" hidden="1">
      <c r="A1023">
        <v>1022</v>
      </c>
      <c r="B1023" t="s">
        <v>3769</v>
      </c>
      <c r="C1023" t="s">
        <v>28</v>
      </c>
      <c r="D1023" s="1" t="b">
        <v>0</v>
      </c>
      <c r="E1023">
        <v>1.100019E-3</v>
      </c>
      <c r="F1023">
        <v>2.9586000000000001</v>
      </c>
      <c r="G1023">
        <v>40.1</v>
      </c>
      <c r="H1023">
        <v>1.66E-6</v>
      </c>
      <c r="I1023">
        <v>1</v>
      </c>
      <c r="J1023">
        <v>31.9</v>
      </c>
      <c r="K1023">
        <v>3.37715707</v>
      </c>
      <c r="L1023">
        <v>3.4144386999999998E-2</v>
      </c>
      <c r="M1023">
        <v>25</v>
      </c>
      <c r="N1023" t="s">
        <v>1911</v>
      </c>
      <c r="O1023" t="s">
        <v>29</v>
      </c>
      <c r="Q1023" t="s">
        <v>1912</v>
      </c>
      <c r="R1023" t="s">
        <v>1912</v>
      </c>
      <c r="U1023" t="s">
        <v>31</v>
      </c>
      <c r="V1023" t="s">
        <v>31</v>
      </c>
      <c r="W1023" t="s">
        <v>3770</v>
      </c>
      <c r="X1023" t="s">
        <v>3771</v>
      </c>
      <c r="Y1023" t="s">
        <v>3772</v>
      </c>
      <c r="Z1023">
        <v>654.40622450000001</v>
      </c>
    </row>
    <row r="1024" spans="1:26" hidden="1">
      <c r="A1024">
        <v>1023</v>
      </c>
      <c r="B1024" t="s">
        <v>3773</v>
      </c>
      <c r="C1024" t="s">
        <v>28</v>
      </c>
      <c r="D1024" s="1" t="b">
        <v>0</v>
      </c>
      <c r="E1024">
        <v>1.100019E-3</v>
      </c>
      <c r="F1024">
        <v>2.9586000000000001</v>
      </c>
      <c r="M1024">
        <v>25</v>
      </c>
      <c r="N1024" t="s">
        <v>1849</v>
      </c>
      <c r="X1024" t="s">
        <v>3774</v>
      </c>
      <c r="Y1024" t="s">
        <v>3775</v>
      </c>
      <c r="Z1024">
        <v>669.4171235</v>
      </c>
    </row>
    <row r="1025" spans="1:26" hidden="1">
      <c r="A1025">
        <v>1024</v>
      </c>
      <c r="B1025" t="s">
        <v>3776</v>
      </c>
      <c r="C1025" t="s">
        <v>28</v>
      </c>
      <c r="D1025" s="1" t="b">
        <v>0</v>
      </c>
      <c r="E1025">
        <v>1E-3</v>
      </c>
      <c r="F1025">
        <v>3</v>
      </c>
      <c r="M1025">
        <v>25</v>
      </c>
      <c r="N1025" t="s">
        <v>1849</v>
      </c>
      <c r="X1025" t="s">
        <v>3777</v>
      </c>
      <c r="Y1025" t="s">
        <v>3778</v>
      </c>
      <c r="Z1025">
        <v>656.38548909999997</v>
      </c>
    </row>
    <row r="1026" spans="1:26" hidden="1">
      <c r="A1026">
        <v>1025</v>
      </c>
      <c r="B1026" t="s">
        <v>3779</v>
      </c>
      <c r="C1026" t="s">
        <v>28</v>
      </c>
      <c r="D1026" s="1" t="b">
        <v>0</v>
      </c>
      <c r="E1026">
        <v>1.1689999999999999E-3</v>
      </c>
      <c r="F1026">
        <v>2.9321854890000001</v>
      </c>
      <c r="G1026">
        <v>38</v>
      </c>
      <c r="H1026">
        <v>1.4100000000000001E-6</v>
      </c>
      <c r="I1026">
        <v>0.94</v>
      </c>
      <c r="J1026">
        <v>34</v>
      </c>
      <c r="K1026">
        <v>3.59</v>
      </c>
      <c r="L1026">
        <v>2.5999999999999998E-4</v>
      </c>
      <c r="M1026">
        <v>25</v>
      </c>
      <c r="N1026" t="s">
        <v>3780</v>
      </c>
      <c r="O1026" t="s">
        <v>3781</v>
      </c>
      <c r="Q1026" t="s">
        <v>3736</v>
      </c>
      <c r="R1026" t="s">
        <v>3782</v>
      </c>
      <c r="S1026" t="s">
        <v>3782</v>
      </c>
      <c r="T1026" t="s">
        <v>3782</v>
      </c>
      <c r="U1026" t="s">
        <v>2295</v>
      </c>
      <c r="V1026" t="s">
        <v>2295</v>
      </c>
      <c r="W1026" t="s">
        <v>3783</v>
      </c>
      <c r="X1026" t="s">
        <v>3784</v>
      </c>
      <c r="Y1026" t="s">
        <v>3785</v>
      </c>
      <c r="Z1026">
        <v>640.39057439999999</v>
      </c>
    </row>
    <row r="1027" spans="1:26" hidden="1">
      <c r="A1027">
        <v>1026</v>
      </c>
      <c r="B1027" t="s">
        <v>3786</v>
      </c>
      <c r="C1027" t="s">
        <v>28</v>
      </c>
      <c r="D1027" s="1" t="b">
        <v>0</v>
      </c>
      <c r="G1027">
        <v>41</v>
      </c>
      <c r="O1027" t="s">
        <v>29</v>
      </c>
      <c r="Q1027" t="s">
        <v>2313</v>
      </c>
      <c r="X1027" t="s">
        <v>3787</v>
      </c>
      <c r="Y1027" t="s">
        <v>3788</v>
      </c>
      <c r="Z1027">
        <v>552.49160559999996</v>
      </c>
    </row>
    <row r="1028" spans="1:26" hidden="1">
      <c r="A1028">
        <v>1027</v>
      </c>
      <c r="B1028" t="s">
        <v>3789</v>
      </c>
      <c r="C1028" t="s">
        <v>54</v>
      </c>
      <c r="D1028" s="1" t="b">
        <v>0</v>
      </c>
      <c r="G1028">
        <v>31.4</v>
      </c>
      <c r="O1028" t="s">
        <v>29</v>
      </c>
      <c r="Q1028" t="s">
        <v>2317</v>
      </c>
      <c r="X1028" t="s">
        <v>3790</v>
      </c>
      <c r="Y1028" t="s">
        <v>3791</v>
      </c>
      <c r="Z1028">
        <v>438.26096150000001</v>
      </c>
    </row>
    <row r="1029" spans="1:26" hidden="1">
      <c r="A1029">
        <v>1028</v>
      </c>
      <c r="B1029" t="s">
        <v>3792</v>
      </c>
      <c r="C1029" t="s">
        <v>28</v>
      </c>
      <c r="D1029" s="1" t="b">
        <v>0</v>
      </c>
      <c r="E1029">
        <v>1.17E-3</v>
      </c>
      <c r="F1029">
        <v>2.931814138</v>
      </c>
      <c r="G1029">
        <v>36.299999999999997</v>
      </c>
      <c r="H1029">
        <v>1.48E-6</v>
      </c>
      <c r="I1029">
        <v>1.1200000000000001</v>
      </c>
      <c r="J1029">
        <v>35.700000000000003</v>
      </c>
      <c r="K1029">
        <v>3.57</v>
      </c>
      <c r="L1029">
        <v>2.6899999999999998E-4</v>
      </c>
      <c r="M1029">
        <v>25</v>
      </c>
      <c r="N1029" t="s">
        <v>2325</v>
      </c>
      <c r="O1029" t="s">
        <v>29</v>
      </c>
      <c r="Q1029" t="s">
        <v>2325</v>
      </c>
      <c r="R1029" t="s">
        <v>2325</v>
      </c>
      <c r="S1029" t="s">
        <v>2325</v>
      </c>
      <c r="T1029" t="s">
        <v>2325</v>
      </c>
      <c r="U1029" t="s">
        <v>2325</v>
      </c>
      <c r="X1029" t="s">
        <v>3793</v>
      </c>
      <c r="Y1029" t="s">
        <v>3794</v>
      </c>
      <c r="Z1029">
        <v>830.46480199999996</v>
      </c>
    </row>
    <row r="1030" spans="1:26">
      <c r="A1030">
        <v>1029</v>
      </c>
      <c r="B1030" s="2" t="s">
        <v>3795</v>
      </c>
      <c r="C1030" t="s">
        <v>28</v>
      </c>
      <c r="D1030" s="1" t="b">
        <v>1</v>
      </c>
      <c r="G1030">
        <v>31.9</v>
      </c>
      <c r="O1030" t="s">
        <v>29</v>
      </c>
      <c r="Q1030" t="s">
        <v>3796</v>
      </c>
      <c r="X1030" t="s">
        <v>3797</v>
      </c>
      <c r="Y1030" t="s">
        <v>3798</v>
      </c>
      <c r="Z1030">
        <v>498.1932716</v>
      </c>
    </row>
    <row r="1031" spans="1:26" hidden="1">
      <c r="A1031">
        <v>1030</v>
      </c>
      <c r="B1031" t="s">
        <v>3799</v>
      </c>
      <c r="C1031" t="s">
        <v>28</v>
      </c>
      <c r="D1031" s="1" t="b">
        <v>0</v>
      </c>
      <c r="E1031">
        <v>1.1689999999999999E-3</v>
      </c>
      <c r="F1031">
        <v>2.9321854890000001</v>
      </c>
      <c r="M1031">
        <v>25</v>
      </c>
      <c r="N1031" t="s">
        <v>484</v>
      </c>
      <c r="X1031" t="s">
        <v>3800</v>
      </c>
      <c r="Y1031" t="s">
        <v>3801</v>
      </c>
      <c r="Z1031">
        <v>683.43277360000002</v>
      </c>
    </row>
    <row r="1032" spans="1:26" hidden="1">
      <c r="A1032">
        <v>1031</v>
      </c>
      <c r="B1032" t="s">
        <v>3802</v>
      </c>
      <c r="C1032" t="s">
        <v>311</v>
      </c>
      <c r="D1032" s="1" t="b">
        <v>0</v>
      </c>
      <c r="E1032">
        <v>3.0000000000000001E-3</v>
      </c>
      <c r="F1032">
        <v>2.5228787449999999</v>
      </c>
      <c r="M1032">
        <v>25</v>
      </c>
      <c r="N1032" t="s">
        <v>89</v>
      </c>
      <c r="P1032" t="s">
        <v>103</v>
      </c>
      <c r="W1032" t="s">
        <v>3803</v>
      </c>
      <c r="X1032" t="s">
        <v>3804</v>
      </c>
      <c r="Y1032" t="s">
        <v>3805</v>
      </c>
      <c r="Z1032">
        <v>335.249415</v>
      </c>
    </row>
    <row r="1033" spans="1:26" hidden="1">
      <c r="A1033">
        <v>1032</v>
      </c>
      <c r="B1033" t="s">
        <v>3806</v>
      </c>
      <c r="C1033" t="s">
        <v>28</v>
      </c>
      <c r="D1033" s="1" t="b">
        <v>0</v>
      </c>
      <c r="E1033">
        <v>9.3994E-4</v>
      </c>
      <c r="F1033">
        <v>3.0268999999999999</v>
      </c>
      <c r="G1033">
        <v>34</v>
      </c>
      <c r="H1033">
        <v>2.0200000000000001E-6</v>
      </c>
      <c r="I1033">
        <v>0.82</v>
      </c>
      <c r="J1033">
        <v>38</v>
      </c>
      <c r="K1033">
        <v>3.5471797760000001</v>
      </c>
      <c r="L1033">
        <v>2.8805764000000001E-2</v>
      </c>
      <c r="M1033">
        <v>25</v>
      </c>
      <c r="N1033" t="s">
        <v>3780</v>
      </c>
      <c r="O1033" t="s">
        <v>29</v>
      </c>
      <c r="Q1033" t="s">
        <v>3736</v>
      </c>
      <c r="R1033" t="s">
        <v>3736</v>
      </c>
      <c r="S1033" t="s">
        <v>3736</v>
      </c>
      <c r="T1033" t="s">
        <v>3736</v>
      </c>
      <c r="U1033" t="s">
        <v>31</v>
      </c>
      <c r="V1033" t="s">
        <v>31</v>
      </c>
      <c r="W1033" t="s">
        <v>3807</v>
      </c>
      <c r="X1033" t="s">
        <v>3808</v>
      </c>
      <c r="Y1033" t="s">
        <v>3809</v>
      </c>
      <c r="Z1033">
        <v>626.37492440000005</v>
      </c>
    </row>
    <row r="1034" spans="1:26" hidden="1">
      <c r="A1034">
        <v>1033</v>
      </c>
      <c r="B1034" t="s">
        <v>3810</v>
      </c>
      <c r="C1034" t="s">
        <v>28</v>
      </c>
      <c r="D1034" s="1" t="b">
        <v>0</v>
      </c>
      <c r="E1034">
        <v>1.3899999999999999E-4</v>
      </c>
      <c r="F1034">
        <v>3.8569852</v>
      </c>
      <c r="G1034">
        <v>32.299999999999997</v>
      </c>
      <c r="H1034">
        <v>8.1999999999999998E-7</v>
      </c>
      <c r="I1034">
        <v>2.0299999999999998</v>
      </c>
      <c r="J1034">
        <v>39.700000000000003</v>
      </c>
      <c r="K1034">
        <v>4.9090183999999999</v>
      </c>
      <c r="L1034">
        <v>7.3797289999999998E-3</v>
      </c>
      <c r="M1034">
        <v>25</v>
      </c>
      <c r="N1034" t="s">
        <v>2842</v>
      </c>
      <c r="O1034" t="s">
        <v>29</v>
      </c>
      <c r="Q1034" t="s">
        <v>2842</v>
      </c>
      <c r="R1034" t="s">
        <v>2842</v>
      </c>
      <c r="T1034" t="s">
        <v>2842</v>
      </c>
      <c r="U1034" t="s">
        <v>31</v>
      </c>
      <c r="V1034" t="s">
        <v>31</v>
      </c>
      <c r="W1034" t="s">
        <v>3811</v>
      </c>
      <c r="X1034" t="s">
        <v>3812</v>
      </c>
      <c r="Y1034" t="s">
        <v>3813</v>
      </c>
      <c r="Z1034">
        <v>974.58893569999998</v>
      </c>
    </row>
    <row r="1035" spans="1:26" hidden="1">
      <c r="A1035">
        <v>1034</v>
      </c>
      <c r="B1035" t="s">
        <v>3814</v>
      </c>
      <c r="C1035" t="s">
        <v>54</v>
      </c>
      <c r="D1035" s="1" t="b">
        <v>0</v>
      </c>
      <c r="E1035">
        <v>4.6799999999999999E-4</v>
      </c>
      <c r="F1035">
        <v>3.3297541470000001</v>
      </c>
      <c r="G1035">
        <v>32.799999999999997</v>
      </c>
      <c r="H1035">
        <v>9.9000000000000005E-7</v>
      </c>
      <c r="I1035">
        <v>1.68</v>
      </c>
      <c r="J1035">
        <v>38.97</v>
      </c>
      <c r="K1035">
        <v>4.93</v>
      </c>
      <c r="L1035">
        <v>1.17E-5</v>
      </c>
      <c r="M1035">
        <v>25</v>
      </c>
      <c r="N1035" t="s">
        <v>2342</v>
      </c>
      <c r="O1035" t="s">
        <v>29</v>
      </c>
      <c r="Q1035" t="s">
        <v>2342</v>
      </c>
      <c r="R1035" t="s">
        <v>2342</v>
      </c>
      <c r="S1035" t="s">
        <v>2342</v>
      </c>
      <c r="T1035" t="s">
        <v>2342</v>
      </c>
      <c r="V1035" t="s">
        <v>2342</v>
      </c>
      <c r="W1035" t="s">
        <v>3815</v>
      </c>
      <c r="X1035" t="s">
        <v>3816</v>
      </c>
      <c r="Y1035" t="s">
        <v>3817</v>
      </c>
      <c r="Z1035">
        <v>484.2664408</v>
      </c>
    </row>
    <row r="1036" spans="1:26" hidden="1">
      <c r="A1036">
        <v>1035</v>
      </c>
      <c r="B1036" t="s">
        <v>3818</v>
      </c>
      <c r="C1036" t="s">
        <v>28</v>
      </c>
      <c r="D1036" s="1" t="b">
        <v>0</v>
      </c>
      <c r="G1036">
        <v>47.6</v>
      </c>
      <c r="O1036" t="s">
        <v>29</v>
      </c>
      <c r="Q1036" t="s">
        <v>3819</v>
      </c>
      <c r="X1036" t="s">
        <v>3820</v>
      </c>
      <c r="Y1036" t="s">
        <v>3821</v>
      </c>
      <c r="Z1036">
        <v>1620.967052</v>
      </c>
    </row>
    <row r="1037" spans="1:26" hidden="1">
      <c r="A1037">
        <v>1036</v>
      </c>
      <c r="B1037" t="s">
        <v>3822</v>
      </c>
      <c r="C1037" t="s">
        <v>54</v>
      </c>
      <c r="D1037" s="1" t="b">
        <v>0</v>
      </c>
      <c r="G1037">
        <v>32.4</v>
      </c>
      <c r="O1037" t="s">
        <v>29</v>
      </c>
      <c r="Q1037" t="s">
        <v>3823</v>
      </c>
      <c r="X1037" t="s">
        <v>3824</v>
      </c>
      <c r="Y1037" t="s">
        <v>3825</v>
      </c>
      <c r="Z1037">
        <v>337.1980269</v>
      </c>
    </row>
    <row r="1038" spans="1:26" hidden="1">
      <c r="A1038">
        <v>1037</v>
      </c>
      <c r="B1038" t="s">
        <v>3826</v>
      </c>
      <c r="C1038" t="s">
        <v>28</v>
      </c>
      <c r="D1038" s="1" t="b">
        <v>0</v>
      </c>
      <c r="G1038">
        <v>24.9</v>
      </c>
      <c r="O1038" t="s">
        <v>29</v>
      </c>
      <c r="Q1038" t="s">
        <v>3827</v>
      </c>
      <c r="X1038" t="s">
        <v>3828</v>
      </c>
      <c r="Y1038" t="s">
        <v>3829</v>
      </c>
      <c r="Z1038">
        <v>728.37023290000002</v>
      </c>
    </row>
    <row r="1039" spans="1:26" hidden="1">
      <c r="A1039">
        <v>1038</v>
      </c>
      <c r="B1039" t="s">
        <v>3830</v>
      </c>
      <c r="C1039" t="s">
        <v>28</v>
      </c>
      <c r="D1039" s="1" t="b">
        <v>0</v>
      </c>
      <c r="E1039">
        <v>5.4000000000000001E-4</v>
      </c>
      <c r="F1039">
        <v>3.2676062400000001</v>
      </c>
      <c r="G1039">
        <v>37.799999999999997</v>
      </c>
      <c r="H1039">
        <v>1.4100000000000001E-6</v>
      </c>
      <c r="I1039">
        <v>1.17</v>
      </c>
      <c r="J1039">
        <v>34.200000000000003</v>
      </c>
      <c r="K1039">
        <v>3.83</v>
      </c>
      <c r="L1039">
        <v>1.4799999999999999E-4</v>
      </c>
      <c r="M1039">
        <v>25</v>
      </c>
      <c r="N1039" t="s">
        <v>3831</v>
      </c>
      <c r="O1039" t="s">
        <v>29</v>
      </c>
      <c r="Q1039" t="s">
        <v>3831</v>
      </c>
      <c r="R1039" t="s">
        <v>3831</v>
      </c>
      <c r="T1039" t="s">
        <v>3831</v>
      </c>
      <c r="U1039" t="s">
        <v>3831</v>
      </c>
      <c r="W1039" t="s">
        <v>3832</v>
      </c>
      <c r="X1039" t="s">
        <v>3833</v>
      </c>
      <c r="Y1039" t="s">
        <v>3834</v>
      </c>
      <c r="Z1039">
        <v>756.40153299999997</v>
      </c>
    </row>
    <row r="1040" spans="1:26" hidden="1">
      <c r="A1040">
        <v>1039</v>
      </c>
      <c r="B1040" t="s">
        <v>3835</v>
      </c>
      <c r="C1040" t="s">
        <v>28</v>
      </c>
      <c r="D1040" s="1" t="b">
        <v>0</v>
      </c>
      <c r="G1040">
        <v>34.9</v>
      </c>
      <c r="O1040" t="s">
        <v>29</v>
      </c>
      <c r="Q1040" t="s">
        <v>1895</v>
      </c>
      <c r="X1040" t="s">
        <v>3836</v>
      </c>
      <c r="Y1040" t="s">
        <v>3837</v>
      </c>
      <c r="Z1040">
        <v>668.50256420000005</v>
      </c>
    </row>
    <row r="1041" spans="1:26" hidden="1">
      <c r="A1041">
        <v>1040</v>
      </c>
      <c r="B1041" t="s">
        <v>3838</v>
      </c>
      <c r="C1041" t="s">
        <v>28</v>
      </c>
      <c r="D1041" s="1" t="b">
        <v>0</v>
      </c>
      <c r="G1041">
        <v>39.200000000000003</v>
      </c>
      <c r="O1041" t="s">
        <v>29</v>
      </c>
      <c r="Q1041" t="s">
        <v>1895</v>
      </c>
      <c r="X1041" t="s">
        <v>3839</v>
      </c>
      <c r="Y1041" t="s">
        <v>3840</v>
      </c>
      <c r="Z1041">
        <v>724.56516450000004</v>
      </c>
    </row>
    <row r="1042" spans="1:26" hidden="1">
      <c r="A1042">
        <v>1041</v>
      </c>
      <c r="B1042" t="s">
        <v>3841</v>
      </c>
      <c r="C1042" t="s">
        <v>28</v>
      </c>
      <c r="D1042" s="1" t="b">
        <v>0</v>
      </c>
      <c r="G1042">
        <v>30.8</v>
      </c>
      <c r="O1042" t="s">
        <v>29</v>
      </c>
      <c r="Q1042" t="s">
        <v>3823</v>
      </c>
      <c r="X1042" t="s">
        <v>3842</v>
      </c>
      <c r="Y1042" t="s">
        <v>3843</v>
      </c>
      <c r="Z1042">
        <v>670.36475359999997</v>
      </c>
    </row>
    <row r="1043" spans="1:26" hidden="1">
      <c r="A1043">
        <v>1042</v>
      </c>
      <c r="B1043" t="s">
        <v>3844</v>
      </c>
      <c r="C1043" t="s">
        <v>54</v>
      </c>
      <c r="D1043" s="1" t="b">
        <v>0</v>
      </c>
      <c r="E1043">
        <v>1.189E-2</v>
      </c>
      <c r="F1043">
        <v>1.9248181449999999</v>
      </c>
      <c r="G1043">
        <v>37.299999999999997</v>
      </c>
      <c r="H1043">
        <v>2.0099999999999998E-6</v>
      </c>
      <c r="I1043">
        <v>0.83</v>
      </c>
      <c r="J1043">
        <v>34.700000000000003</v>
      </c>
      <c r="K1043">
        <v>2.9</v>
      </c>
      <c r="L1043">
        <v>1.2600000000000001E-3</v>
      </c>
      <c r="M1043">
        <v>25</v>
      </c>
      <c r="N1043" t="s">
        <v>3831</v>
      </c>
      <c r="O1043" t="s">
        <v>29</v>
      </c>
      <c r="Q1043" t="s">
        <v>3831</v>
      </c>
      <c r="R1043" t="s">
        <v>3831</v>
      </c>
      <c r="T1043" t="s">
        <v>3831</v>
      </c>
      <c r="U1043" t="s">
        <v>3831</v>
      </c>
      <c r="W1043" t="s">
        <v>3845</v>
      </c>
      <c r="X1043" t="s">
        <v>3846</v>
      </c>
      <c r="Y1043" t="s">
        <v>3847</v>
      </c>
      <c r="Z1043">
        <v>379.20859159999998</v>
      </c>
    </row>
    <row r="1044" spans="1:26" hidden="1">
      <c r="A1044">
        <v>1043</v>
      </c>
      <c r="B1044" t="s">
        <v>3848</v>
      </c>
      <c r="C1044" t="s">
        <v>54</v>
      </c>
      <c r="D1044" s="1" t="b">
        <v>0</v>
      </c>
      <c r="E1044">
        <v>2.82E-3</v>
      </c>
      <c r="F1044">
        <v>2.549750892</v>
      </c>
      <c r="G1044">
        <v>39</v>
      </c>
      <c r="H1044">
        <v>1.28E-6</v>
      </c>
      <c r="I1044">
        <v>1.3</v>
      </c>
      <c r="J1044">
        <v>33</v>
      </c>
      <c r="K1044">
        <v>3.41</v>
      </c>
      <c r="L1044">
        <v>3.86E-4</v>
      </c>
      <c r="M1044">
        <v>25</v>
      </c>
      <c r="N1044" t="s">
        <v>2353</v>
      </c>
      <c r="O1044" t="s">
        <v>29</v>
      </c>
      <c r="Q1044" t="s">
        <v>2353</v>
      </c>
      <c r="T1044" t="s">
        <v>2353</v>
      </c>
      <c r="U1044" t="s">
        <v>2353</v>
      </c>
      <c r="W1044" t="s">
        <v>3849</v>
      </c>
      <c r="X1044" t="s">
        <v>3850</v>
      </c>
      <c r="Y1044" t="s">
        <v>3851</v>
      </c>
      <c r="Z1044">
        <v>499.25085030000002</v>
      </c>
    </row>
    <row r="1045" spans="1:26" hidden="1">
      <c r="A1045">
        <v>1044</v>
      </c>
      <c r="B1045" t="s">
        <v>3852</v>
      </c>
      <c r="C1045" t="s">
        <v>54</v>
      </c>
      <c r="D1045" s="1" t="b">
        <v>0</v>
      </c>
      <c r="E1045">
        <v>2.63E-3</v>
      </c>
      <c r="F1045">
        <v>2.580044252</v>
      </c>
      <c r="G1045">
        <v>37</v>
      </c>
      <c r="H1045">
        <v>9.02E-7</v>
      </c>
      <c r="I1045">
        <v>1.84</v>
      </c>
      <c r="J1045">
        <v>35</v>
      </c>
      <c r="K1045">
        <v>4.0599999999999996</v>
      </c>
      <c r="L1045">
        <v>8.6799999999999996E-5</v>
      </c>
      <c r="M1045">
        <v>25</v>
      </c>
      <c r="N1045" t="s">
        <v>2353</v>
      </c>
      <c r="O1045" t="s">
        <v>29</v>
      </c>
      <c r="Q1045" t="s">
        <v>2353</v>
      </c>
      <c r="T1045" t="s">
        <v>2353</v>
      </c>
      <c r="U1045" t="s">
        <v>2353</v>
      </c>
      <c r="W1045" t="s">
        <v>3853</v>
      </c>
      <c r="X1045" t="s">
        <v>3854</v>
      </c>
      <c r="Y1045" t="s">
        <v>3855</v>
      </c>
      <c r="Z1045">
        <v>555.31345050000004</v>
      </c>
    </row>
    <row r="1046" spans="1:26" hidden="1">
      <c r="A1046">
        <v>1045</v>
      </c>
      <c r="B1046" t="s">
        <v>3856</v>
      </c>
      <c r="C1046" t="s">
        <v>54</v>
      </c>
      <c r="D1046" s="1" t="b">
        <v>0</v>
      </c>
      <c r="E1046">
        <v>3.9810000000000002E-3</v>
      </c>
      <c r="F1046">
        <v>2.4000078220000001</v>
      </c>
      <c r="G1046">
        <v>35</v>
      </c>
      <c r="H1046">
        <v>8.1999999999999998E-7</v>
      </c>
      <c r="I1046">
        <v>2.08</v>
      </c>
      <c r="J1046">
        <v>36.83</v>
      </c>
      <c r="K1046">
        <v>3.2</v>
      </c>
      <c r="L1046">
        <v>6.3100000000000005E-4</v>
      </c>
      <c r="M1046">
        <v>25</v>
      </c>
      <c r="N1046" t="s">
        <v>2362</v>
      </c>
      <c r="O1046" t="s">
        <v>29</v>
      </c>
      <c r="Q1046" t="s">
        <v>2362</v>
      </c>
      <c r="R1046" t="s">
        <v>2362</v>
      </c>
      <c r="S1046" t="s">
        <v>2362</v>
      </c>
      <c r="T1046" t="s">
        <v>2362</v>
      </c>
      <c r="V1046" t="s">
        <v>2362</v>
      </c>
      <c r="W1046" t="s">
        <v>3857</v>
      </c>
      <c r="X1046" t="s">
        <v>3858</v>
      </c>
      <c r="Y1046" t="s">
        <v>3859</v>
      </c>
      <c r="Z1046">
        <v>381.22424160000003</v>
      </c>
    </row>
    <row r="1047" spans="1:26" hidden="1">
      <c r="A1047">
        <v>1046</v>
      </c>
      <c r="B1047" t="s">
        <v>3860</v>
      </c>
      <c r="C1047" t="s">
        <v>28</v>
      </c>
      <c r="D1047" s="1" t="b">
        <v>0</v>
      </c>
      <c r="E1047">
        <v>1.229986E-3</v>
      </c>
      <c r="F1047">
        <v>2.9100999999999999</v>
      </c>
      <c r="M1047">
        <v>25</v>
      </c>
      <c r="N1047" t="s">
        <v>1849</v>
      </c>
      <c r="X1047" t="s">
        <v>3861</v>
      </c>
      <c r="Y1047" t="s">
        <v>3862</v>
      </c>
      <c r="Z1047">
        <v>832.49034810000001</v>
      </c>
    </row>
    <row r="1048" spans="1:26" hidden="1">
      <c r="A1048">
        <v>1047</v>
      </c>
      <c r="B1048" t="s">
        <v>3863</v>
      </c>
      <c r="C1048" t="s">
        <v>28</v>
      </c>
      <c r="D1048" s="1" t="b">
        <v>0</v>
      </c>
      <c r="E1048">
        <v>8.99912E-4</v>
      </c>
      <c r="F1048">
        <v>3.0457999999999998</v>
      </c>
      <c r="M1048">
        <v>25</v>
      </c>
      <c r="N1048" t="s">
        <v>1849</v>
      </c>
      <c r="X1048" t="s">
        <v>3864</v>
      </c>
      <c r="Y1048" t="s">
        <v>3865</v>
      </c>
      <c r="Z1048">
        <v>788.46413329999996</v>
      </c>
    </row>
    <row r="1049" spans="1:26" hidden="1">
      <c r="A1049">
        <v>1048</v>
      </c>
      <c r="B1049" t="s">
        <v>3866</v>
      </c>
      <c r="C1049" t="s">
        <v>28</v>
      </c>
      <c r="D1049" s="1" t="b">
        <v>0</v>
      </c>
      <c r="E1049">
        <v>8.6000300000000003E-4</v>
      </c>
      <c r="F1049">
        <v>3.0655000000000001</v>
      </c>
      <c r="M1049">
        <v>25</v>
      </c>
      <c r="N1049" t="s">
        <v>1849</v>
      </c>
      <c r="X1049" t="s">
        <v>3867</v>
      </c>
      <c r="Y1049" t="s">
        <v>3868</v>
      </c>
      <c r="Z1049">
        <v>744.43791859999999</v>
      </c>
    </row>
    <row r="1050" spans="1:26" hidden="1">
      <c r="A1050">
        <v>1049</v>
      </c>
      <c r="B1050" t="s">
        <v>3869</v>
      </c>
      <c r="C1050" t="s">
        <v>28</v>
      </c>
      <c r="D1050" s="1" t="b">
        <v>0</v>
      </c>
      <c r="E1050">
        <v>9.20026E-4</v>
      </c>
      <c r="F1050">
        <v>3.0362</v>
      </c>
      <c r="M1050">
        <v>25</v>
      </c>
      <c r="N1050" t="s">
        <v>1849</v>
      </c>
      <c r="X1050" t="s">
        <v>3870</v>
      </c>
      <c r="Y1050" t="s">
        <v>3871</v>
      </c>
      <c r="Z1050">
        <v>700.41170380000005</v>
      </c>
    </row>
    <row r="1051" spans="1:26" hidden="1">
      <c r="A1051">
        <v>1050</v>
      </c>
      <c r="B1051" t="s">
        <v>3872</v>
      </c>
      <c r="C1051" t="s">
        <v>28</v>
      </c>
      <c r="D1051" s="1" t="b">
        <v>0</v>
      </c>
      <c r="E1051">
        <v>5.1999999999999995E-4</v>
      </c>
      <c r="F1051">
        <v>3.2839966559999998</v>
      </c>
      <c r="G1051">
        <v>40</v>
      </c>
      <c r="H1051">
        <v>9.7000000000000003E-7</v>
      </c>
      <c r="I1051">
        <v>5.2</v>
      </c>
      <c r="J1051">
        <v>32</v>
      </c>
      <c r="K1051">
        <v>4</v>
      </c>
      <c r="L1051">
        <v>1E-4</v>
      </c>
      <c r="M1051">
        <v>25</v>
      </c>
      <c r="N1051" t="s">
        <v>1902</v>
      </c>
      <c r="O1051" t="s">
        <v>29</v>
      </c>
      <c r="Q1051" t="s">
        <v>1903</v>
      </c>
      <c r="R1051" t="s">
        <v>1903</v>
      </c>
      <c r="T1051" t="s">
        <v>1903</v>
      </c>
      <c r="U1051" t="s">
        <v>1903</v>
      </c>
      <c r="W1051" t="s">
        <v>3873</v>
      </c>
      <c r="X1051" t="s">
        <v>3874</v>
      </c>
      <c r="Y1051" t="s">
        <v>3875</v>
      </c>
      <c r="Z1051">
        <v>656.38548909999997</v>
      </c>
    </row>
    <row r="1052" spans="1:26" hidden="1">
      <c r="A1052">
        <v>1051</v>
      </c>
      <c r="B1052" t="s">
        <v>3876</v>
      </c>
      <c r="C1052" t="s">
        <v>1848</v>
      </c>
      <c r="D1052" s="1" t="b">
        <v>0</v>
      </c>
      <c r="E1052" s="4">
        <v>1.4E-5</v>
      </c>
      <c r="F1052">
        <v>4.8539000000000003</v>
      </c>
      <c r="M1052">
        <v>25</v>
      </c>
      <c r="N1052" t="s">
        <v>1849</v>
      </c>
      <c r="X1052" t="s">
        <v>3877</v>
      </c>
      <c r="Y1052" t="s">
        <v>3878</v>
      </c>
      <c r="Z1052">
        <v>449.36339579999998</v>
      </c>
    </row>
    <row r="1053" spans="1:26" hidden="1">
      <c r="A1053">
        <v>1052</v>
      </c>
      <c r="B1053" t="s">
        <v>3879</v>
      </c>
      <c r="C1053" t="s">
        <v>1848</v>
      </c>
      <c r="D1053" s="1" t="b">
        <v>0</v>
      </c>
      <c r="E1053" s="4">
        <v>1.2999999999999999E-5</v>
      </c>
      <c r="F1053">
        <v>4.8860999999999999</v>
      </c>
      <c r="M1053">
        <v>25</v>
      </c>
      <c r="N1053" t="s">
        <v>1849</v>
      </c>
      <c r="X1053" t="s">
        <v>3880</v>
      </c>
      <c r="Y1053" t="s">
        <v>3881</v>
      </c>
      <c r="Z1053">
        <v>477.39469589999999</v>
      </c>
    </row>
    <row r="1054" spans="1:26" hidden="1">
      <c r="A1054">
        <v>1053</v>
      </c>
      <c r="B1054" t="s">
        <v>3882</v>
      </c>
      <c r="C1054" t="s">
        <v>28</v>
      </c>
      <c r="D1054" s="1" t="b">
        <v>0</v>
      </c>
      <c r="G1054">
        <v>32.6</v>
      </c>
      <c r="O1054" t="s">
        <v>29</v>
      </c>
      <c r="Q1054" t="s">
        <v>2374</v>
      </c>
      <c r="X1054" t="s">
        <v>3883</v>
      </c>
      <c r="Y1054" t="s">
        <v>3884</v>
      </c>
      <c r="Z1054">
        <v>876.57746050000003</v>
      </c>
    </row>
    <row r="1055" spans="1:26" hidden="1">
      <c r="A1055">
        <v>1054</v>
      </c>
      <c r="B1055" t="s">
        <v>3885</v>
      </c>
      <c r="C1055" t="s">
        <v>28</v>
      </c>
      <c r="D1055" s="1" t="b">
        <v>0</v>
      </c>
      <c r="E1055">
        <v>8.4000000000000003E-4</v>
      </c>
      <c r="F1055">
        <v>3.075720714</v>
      </c>
      <c r="G1055">
        <v>34.5</v>
      </c>
      <c r="H1055">
        <v>1.19E-6</v>
      </c>
      <c r="I1055">
        <v>1.4</v>
      </c>
      <c r="J1055">
        <v>37.5</v>
      </c>
      <c r="K1055">
        <v>3.93435237</v>
      </c>
      <c r="L1055">
        <v>1.9558361999999999E-2</v>
      </c>
      <c r="M1055">
        <v>25</v>
      </c>
      <c r="N1055" t="s">
        <v>1911</v>
      </c>
      <c r="O1055" t="s">
        <v>29</v>
      </c>
      <c r="Q1055" t="s">
        <v>1912</v>
      </c>
      <c r="R1055" t="s">
        <v>1912</v>
      </c>
      <c r="U1055" t="s">
        <v>31</v>
      </c>
      <c r="V1055" t="s">
        <v>31</v>
      </c>
      <c r="W1055" t="s">
        <v>3886</v>
      </c>
      <c r="X1055" t="s">
        <v>3887</v>
      </c>
      <c r="Y1055" t="s">
        <v>3888</v>
      </c>
      <c r="Z1055">
        <v>672.36264540000002</v>
      </c>
    </row>
    <row r="1056" spans="1:26" hidden="1">
      <c r="A1056">
        <v>1055</v>
      </c>
      <c r="B1056" t="s">
        <v>3889</v>
      </c>
      <c r="C1056" t="s">
        <v>28</v>
      </c>
      <c r="D1056" s="1" t="b">
        <v>0</v>
      </c>
      <c r="E1056">
        <v>8.00018E-4</v>
      </c>
      <c r="F1056">
        <v>3.0969000000000002</v>
      </c>
      <c r="G1056">
        <v>31.5</v>
      </c>
      <c r="H1056">
        <v>2.0999999999999998E-6</v>
      </c>
      <c r="I1056">
        <v>0.72</v>
      </c>
      <c r="J1056">
        <v>32</v>
      </c>
      <c r="K1056">
        <v>3.666867871</v>
      </c>
      <c r="L1056">
        <v>2.5556391000000001E-2</v>
      </c>
      <c r="M1056">
        <v>25</v>
      </c>
      <c r="N1056" t="s">
        <v>3890</v>
      </c>
      <c r="O1056" t="s">
        <v>29</v>
      </c>
      <c r="Q1056" t="s">
        <v>3891</v>
      </c>
      <c r="R1056" t="s">
        <v>3892</v>
      </c>
      <c r="T1056" t="s">
        <v>3892</v>
      </c>
      <c r="U1056" t="s">
        <v>31</v>
      </c>
      <c r="V1056" t="s">
        <v>31</v>
      </c>
      <c r="W1056" t="s">
        <v>3893</v>
      </c>
      <c r="X1056" t="s">
        <v>3894</v>
      </c>
      <c r="Y1056" t="s">
        <v>3895</v>
      </c>
      <c r="Z1056">
        <v>612.35927430000004</v>
      </c>
    </row>
    <row r="1057" spans="1:26" hidden="1">
      <c r="A1057">
        <v>1056</v>
      </c>
      <c r="B1057" t="s">
        <v>3896</v>
      </c>
      <c r="C1057" t="s">
        <v>28</v>
      </c>
      <c r="D1057" s="1" t="b">
        <v>0</v>
      </c>
      <c r="E1057">
        <v>6.4999999999999994E-5</v>
      </c>
      <c r="F1057">
        <v>4.1870866429999998</v>
      </c>
      <c r="G1057">
        <v>36.4</v>
      </c>
      <c r="H1057">
        <v>1.11E-6</v>
      </c>
      <c r="I1057">
        <v>1.49</v>
      </c>
      <c r="J1057">
        <v>35.6</v>
      </c>
      <c r="K1057">
        <v>4.8025166840000004</v>
      </c>
      <c r="L1057">
        <v>8.2090610000000001E-3</v>
      </c>
      <c r="M1057">
        <v>25</v>
      </c>
      <c r="N1057" t="s">
        <v>3891</v>
      </c>
      <c r="O1057" t="s">
        <v>29</v>
      </c>
      <c r="Q1057" t="s">
        <v>3891</v>
      </c>
      <c r="R1057" t="s">
        <v>3891</v>
      </c>
      <c r="T1057" t="s">
        <v>3891</v>
      </c>
      <c r="U1057" t="s">
        <v>31</v>
      </c>
      <c r="V1057" t="s">
        <v>31</v>
      </c>
      <c r="W1057" t="s">
        <v>3897</v>
      </c>
      <c r="X1057" t="s">
        <v>3898</v>
      </c>
      <c r="Y1057" t="s">
        <v>3899</v>
      </c>
      <c r="Z1057">
        <v>917.53108640000005</v>
      </c>
    </row>
    <row r="1058" spans="1:26" hidden="1">
      <c r="A1058">
        <v>1057</v>
      </c>
      <c r="B1058" t="s">
        <v>3900</v>
      </c>
      <c r="C1058" t="s">
        <v>54</v>
      </c>
      <c r="D1058" s="1" t="b">
        <v>0</v>
      </c>
      <c r="E1058">
        <v>4.5999999999999999E-3</v>
      </c>
      <c r="F1058">
        <v>2.337242168</v>
      </c>
      <c r="G1058">
        <v>40.700000000000003</v>
      </c>
      <c r="H1058">
        <v>2.1399999999999998E-6</v>
      </c>
      <c r="I1058">
        <v>0.78</v>
      </c>
      <c r="J1058">
        <v>31.3</v>
      </c>
      <c r="K1058">
        <v>2.82</v>
      </c>
      <c r="L1058">
        <v>1.5100000000000001E-3</v>
      </c>
      <c r="M1058">
        <v>25</v>
      </c>
      <c r="N1058" t="s">
        <v>1917</v>
      </c>
      <c r="O1058" t="s">
        <v>29</v>
      </c>
      <c r="Q1058" t="s">
        <v>1917</v>
      </c>
      <c r="R1058" t="s">
        <v>1917</v>
      </c>
      <c r="T1058" t="s">
        <v>1917</v>
      </c>
      <c r="U1058" t="s">
        <v>1917</v>
      </c>
      <c r="W1058" t="s">
        <v>3901</v>
      </c>
      <c r="X1058" t="s">
        <v>3902</v>
      </c>
      <c r="Y1058" t="s">
        <v>3903</v>
      </c>
      <c r="Z1058">
        <v>369.27984259999999</v>
      </c>
    </row>
    <row r="1059" spans="1:26" hidden="1">
      <c r="A1059">
        <v>1058</v>
      </c>
      <c r="B1059" t="s">
        <v>3904</v>
      </c>
      <c r="C1059" t="s">
        <v>54</v>
      </c>
      <c r="D1059" s="1" t="b">
        <v>0</v>
      </c>
      <c r="E1059">
        <v>8.8000000000000005E-3</v>
      </c>
      <c r="F1059">
        <v>2.0555173280000001</v>
      </c>
      <c r="G1059">
        <v>38</v>
      </c>
      <c r="H1059">
        <v>1.64E-6</v>
      </c>
      <c r="I1059">
        <v>1.01</v>
      </c>
      <c r="J1059">
        <v>34</v>
      </c>
      <c r="K1059">
        <v>2.85</v>
      </c>
      <c r="L1059">
        <v>1.41E-3</v>
      </c>
      <c r="M1059">
        <v>25</v>
      </c>
      <c r="N1059" t="s">
        <v>3905</v>
      </c>
      <c r="O1059" t="s">
        <v>29</v>
      </c>
      <c r="P1059" t="s">
        <v>103</v>
      </c>
      <c r="Q1059" t="s">
        <v>1917</v>
      </c>
      <c r="R1059" t="s">
        <v>1917</v>
      </c>
      <c r="T1059" t="s">
        <v>1917</v>
      </c>
      <c r="U1059" t="s">
        <v>1917</v>
      </c>
      <c r="W1059" t="s">
        <v>3906</v>
      </c>
      <c r="X1059" t="s">
        <v>3907</v>
      </c>
      <c r="Y1059" t="s">
        <v>3908</v>
      </c>
      <c r="Z1059">
        <v>339.26927790000002</v>
      </c>
    </row>
    <row r="1060" spans="1:26" hidden="1">
      <c r="A1060">
        <v>1059</v>
      </c>
      <c r="B1060" t="s">
        <v>3909</v>
      </c>
      <c r="C1060" t="s">
        <v>54</v>
      </c>
      <c r="D1060" s="1" t="b">
        <v>0</v>
      </c>
      <c r="E1060">
        <v>8.3899999999999999E-3</v>
      </c>
      <c r="F1060">
        <v>2.0762380390000001</v>
      </c>
      <c r="G1060">
        <v>42</v>
      </c>
      <c r="H1060">
        <v>2.1900000000000002E-6</v>
      </c>
      <c r="I1060">
        <v>0.76</v>
      </c>
      <c r="J1060">
        <v>30</v>
      </c>
      <c r="K1060">
        <v>2.5099999999999998</v>
      </c>
      <c r="L1060">
        <v>3.13E-3</v>
      </c>
      <c r="M1060">
        <v>25</v>
      </c>
      <c r="N1060" t="s">
        <v>1926</v>
      </c>
      <c r="O1060" t="s">
        <v>29</v>
      </c>
      <c r="Q1060" t="s">
        <v>1926</v>
      </c>
      <c r="R1060" t="s">
        <v>1926</v>
      </c>
      <c r="T1060" t="s">
        <v>1926</v>
      </c>
      <c r="U1060" t="s">
        <v>1926</v>
      </c>
      <c r="W1060" t="s">
        <v>3910</v>
      </c>
      <c r="X1060" t="s">
        <v>3911</v>
      </c>
      <c r="Y1060" t="s">
        <v>3912</v>
      </c>
      <c r="Z1060">
        <v>369.27984259999999</v>
      </c>
    </row>
    <row r="1061" spans="1:26" hidden="1">
      <c r="A1061">
        <v>1060</v>
      </c>
      <c r="B1061" t="s">
        <v>3913</v>
      </c>
      <c r="C1061" t="s">
        <v>54</v>
      </c>
      <c r="D1061" s="1" t="b">
        <v>0</v>
      </c>
      <c r="E1061">
        <v>4.0000000000000002E-4</v>
      </c>
      <c r="F1061">
        <v>3.397940009</v>
      </c>
      <c r="G1061">
        <v>38.9</v>
      </c>
      <c r="H1061">
        <v>1.9800000000000001E-6</v>
      </c>
      <c r="I1061">
        <v>0.84</v>
      </c>
      <c r="J1061">
        <v>32.880000000000003</v>
      </c>
      <c r="K1061">
        <v>3.67</v>
      </c>
      <c r="L1061">
        <v>2.14E-4</v>
      </c>
      <c r="M1061">
        <v>25</v>
      </c>
      <c r="N1061" t="s">
        <v>2398</v>
      </c>
      <c r="O1061" t="s">
        <v>29</v>
      </c>
      <c r="Q1061" t="s">
        <v>2398</v>
      </c>
      <c r="R1061" t="s">
        <v>2398</v>
      </c>
      <c r="S1061" t="s">
        <v>2398</v>
      </c>
      <c r="T1061" t="s">
        <v>2398</v>
      </c>
      <c r="U1061" t="s">
        <v>2398</v>
      </c>
      <c r="V1061" t="s">
        <v>2398</v>
      </c>
      <c r="W1061" t="s">
        <v>3914</v>
      </c>
      <c r="X1061" t="s">
        <v>3915</v>
      </c>
      <c r="Y1061" t="s">
        <v>3916</v>
      </c>
      <c r="Z1061">
        <v>523.26347569999996</v>
      </c>
    </row>
    <row r="1062" spans="1:26" hidden="1">
      <c r="A1062">
        <v>1061</v>
      </c>
      <c r="B1062" t="s">
        <v>3917</v>
      </c>
      <c r="C1062" t="s">
        <v>54</v>
      </c>
      <c r="D1062" s="1" t="b">
        <v>0</v>
      </c>
      <c r="E1062">
        <v>8.8999999999999995E-4</v>
      </c>
      <c r="F1062">
        <v>3.0506099930000001</v>
      </c>
      <c r="G1062">
        <v>40.200000000000003</v>
      </c>
      <c r="H1062">
        <v>1.8700000000000001E-6</v>
      </c>
      <c r="I1062">
        <v>0.89</v>
      </c>
      <c r="J1062">
        <v>31.58</v>
      </c>
      <c r="K1062">
        <v>3.52</v>
      </c>
      <c r="L1062">
        <v>3.0200000000000002E-4</v>
      </c>
      <c r="M1062">
        <v>25</v>
      </c>
      <c r="N1062" t="s">
        <v>2398</v>
      </c>
      <c r="O1062" t="s">
        <v>29</v>
      </c>
      <c r="Q1062" t="s">
        <v>2398</v>
      </c>
      <c r="R1062" t="s">
        <v>2398</v>
      </c>
      <c r="S1062" t="s">
        <v>2398</v>
      </c>
      <c r="T1062" t="s">
        <v>2398</v>
      </c>
      <c r="U1062" t="s">
        <v>2398</v>
      </c>
      <c r="V1062" t="s">
        <v>2398</v>
      </c>
      <c r="W1062" t="s">
        <v>3918</v>
      </c>
      <c r="X1062" t="s">
        <v>3919</v>
      </c>
      <c r="Y1062" t="s">
        <v>3920</v>
      </c>
      <c r="Z1062">
        <v>525.24274030000004</v>
      </c>
    </row>
    <row r="1063" spans="1:26">
      <c r="A1063">
        <v>1062</v>
      </c>
      <c r="B1063" t="s">
        <v>3921</v>
      </c>
      <c r="C1063" t="s">
        <v>311</v>
      </c>
      <c r="D1063" s="1" t="b">
        <v>1</v>
      </c>
      <c r="E1063">
        <v>2.0999999999999999E-3</v>
      </c>
      <c r="F1063">
        <v>2.677780705</v>
      </c>
      <c r="G1063" s="2"/>
      <c r="H1063" s="2"/>
      <c r="I1063" s="2"/>
      <c r="J1063" s="2"/>
      <c r="K1063" s="2"/>
      <c r="L1063" s="2"/>
      <c r="M1063">
        <v>27</v>
      </c>
      <c r="N1063" t="s">
        <v>135</v>
      </c>
      <c r="W1063" t="s">
        <v>3922</v>
      </c>
      <c r="X1063" t="s">
        <v>3923</v>
      </c>
      <c r="Y1063" t="s">
        <v>3924</v>
      </c>
      <c r="Z1063">
        <v>229.2405646</v>
      </c>
    </row>
    <row r="1064" spans="1:26" hidden="1">
      <c r="A1064">
        <v>1063</v>
      </c>
      <c r="B1064" t="s">
        <v>3925</v>
      </c>
      <c r="C1064" t="s">
        <v>54</v>
      </c>
      <c r="D1064" s="1" t="b">
        <v>0</v>
      </c>
      <c r="E1064">
        <v>4.08E-4</v>
      </c>
      <c r="F1064">
        <v>3.3893398370000001</v>
      </c>
      <c r="G1064">
        <v>39</v>
      </c>
      <c r="H1064">
        <v>9.1999999999999998E-7</v>
      </c>
      <c r="I1064">
        <v>0.18</v>
      </c>
      <c r="J1064">
        <v>33</v>
      </c>
      <c r="K1064">
        <v>4.8</v>
      </c>
      <c r="L1064">
        <v>1.5800000000000001E-5</v>
      </c>
      <c r="M1064">
        <v>20</v>
      </c>
      <c r="N1064" t="s">
        <v>2317</v>
      </c>
      <c r="O1064" t="s">
        <v>29</v>
      </c>
      <c r="Q1064" t="s">
        <v>2317</v>
      </c>
      <c r="R1064" t="s">
        <v>2317</v>
      </c>
      <c r="S1064" t="s">
        <v>2317</v>
      </c>
      <c r="T1064" t="s">
        <v>2317</v>
      </c>
      <c r="U1064" t="s">
        <v>2317</v>
      </c>
      <c r="W1064" t="s">
        <v>3926</v>
      </c>
      <c r="X1064" t="s">
        <v>3927</v>
      </c>
      <c r="Y1064" t="s">
        <v>3928</v>
      </c>
      <c r="Z1064">
        <v>582.29332420000003</v>
      </c>
    </row>
    <row r="1065" spans="1:26" hidden="1">
      <c r="A1065">
        <v>1064</v>
      </c>
      <c r="B1065" t="s">
        <v>3929</v>
      </c>
      <c r="C1065" t="s">
        <v>54</v>
      </c>
      <c r="D1065" s="1" t="b">
        <v>0</v>
      </c>
      <c r="E1065">
        <v>1.67E-3</v>
      </c>
      <c r="F1065">
        <v>2.777283529</v>
      </c>
      <c r="G1065">
        <v>29.6</v>
      </c>
      <c r="H1065">
        <v>2.1299999999999999E-6</v>
      </c>
      <c r="I1065">
        <v>0.72</v>
      </c>
      <c r="J1065">
        <v>42.4</v>
      </c>
      <c r="K1065">
        <v>3.69</v>
      </c>
      <c r="L1065">
        <v>2.0100000000000001E-4</v>
      </c>
      <c r="M1065">
        <v>25</v>
      </c>
      <c r="N1065" t="s">
        <v>2897</v>
      </c>
      <c r="O1065" t="s">
        <v>29</v>
      </c>
      <c r="Q1065" t="s">
        <v>2897</v>
      </c>
      <c r="R1065" t="s">
        <v>2897</v>
      </c>
      <c r="T1065" t="s">
        <v>2897</v>
      </c>
      <c r="U1065" t="s">
        <v>2897</v>
      </c>
      <c r="W1065" t="s">
        <v>3930</v>
      </c>
      <c r="X1065" t="s">
        <v>3931</v>
      </c>
      <c r="Y1065" t="s">
        <v>3932</v>
      </c>
      <c r="Z1065">
        <v>558.28796409999995</v>
      </c>
    </row>
    <row r="1066" spans="1:26">
      <c r="A1066">
        <v>1065</v>
      </c>
      <c r="B1066" s="2" t="s">
        <v>3933</v>
      </c>
      <c r="C1066" t="s">
        <v>54</v>
      </c>
      <c r="D1066" s="1" t="b">
        <v>1</v>
      </c>
      <c r="E1066" s="3">
        <v>2.5999999999999999E-3</v>
      </c>
      <c r="F1066" s="2">
        <v>2.5850266520291822</v>
      </c>
      <c r="G1066">
        <v>28.1</v>
      </c>
      <c r="H1066">
        <v>2.5500000000000001E-6</v>
      </c>
      <c r="I1066">
        <v>0.65</v>
      </c>
      <c r="J1066">
        <v>43.9</v>
      </c>
      <c r="K1066">
        <v>3.39</v>
      </c>
      <c r="L1066">
        <v>4.0700000000000003E-4</v>
      </c>
      <c r="M1066">
        <v>25</v>
      </c>
      <c r="N1066" t="s">
        <v>3934</v>
      </c>
      <c r="O1066" t="s">
        <v>29</v>
      </c>
      <c r="Q1066" t="s">
        <v>3934</v>
      </c>
      <c r="S1066" t="s">
        <v>3934</v>
      </c>
      <c r="T1066" t="s">
        <v>3934</v>
      </c>
      <c r="W1066" t="s">
        <v>3935</v>
      </c>
      <c r="X1066" t="s">
        <v>3936</v>
      </c>
      <c r="Y1066" t="s">
        <v>3937</v>
      </c>
      <c r="Z1066">
        <v>384.17633769999998</v>
      </c>
    </row>
    <row r="1067" spans="1:26" hidden="1">
      <c r="A1067">
        <v>1066</v>
      </c>
      <c r="B1067" t="s">
        <v>3938</v>
      </c>
      <c r="C1067" t="s">
        <v>28</v>
      </c>
      <c r="D1067" s="1" t="b">
        <v>0</v>
      </c>
      <c r="E1067">
        <v>1.0499999999999999E-3</v>
      </c>
      <c r="F1067">
        <v>2.978810701</v>
      </c>
      <c r="G1067">
        <v>46.1</v>
      </c>
      <c r="H1067">
        <v>8.4E-7</v>
      </c>
      <c r="I1067">
        <v>1.98</v>
      </c>
      <c r="J1067">
        <v>25.9</v>
      </c>
      <c r="K1067">
        <v>3.4</v>
      </c>
      <c r="L1067">
        <v>4.0000000000000002E-4</v>
      </c>
      <c r="M1067">
        <v>25</v>
      </c>
      <c r="N1067" t="s">
        <v>2915</v>
      </c>
      <c r="O1067" t="s">
        <v>29</v>
      </c>
      <c r="Q1067" t="s">
        <v>2915</v>
      </c>
      <c r="R1067" t="s">
        <v>2915</v>
      </c>
      <c r="T1067" t="s">
        <v>2915</v>
      </c>
      <c r="V1067" t="s">
        <v>2915</v>
      </c>
      <c r="W1067" t="s">
        <v>3939</v>
      </c>
      <c r="X1067" t="s">
        <v>3940</v>
      </c>
      <c r="Y1067" t="s">
        <v>3941</v>
      </c>
      <c r="Z1067">
        <v>694.56583320000004</v>
      </c>
    </row>
    <row r="1068" spans="1:26" hidden="1">
      <c r="A1068">
        <v>1067</v>
      </c>
      <c r="B1068" t="s">
        <v>3942</v>
      </c>
      <c r="C1068" t="s">
        <v>28</v>
      </c>
      <c r="D1068" s="1" t="b">
        <v>0</v>
      </c>
      <c r="E1068">
        <v>7.5000000000000002E-4</v>
      </c>
      <c r="F1068">
        <v>3.1249387369999999</v>
      </c>
      <c r="G1068">
        <v>40.9</v>
      </c>
      <c r="H1068">
        <v>1.02E-6</v>
      </c>
      <c r="I1068">
        <v>1.63</v>
      </c>
      <c r="J1068">
        <v>31.1</v>
      </c>
      <c r="K1068">
        <v>3.75</v>
      </c>
      <c r="L1068">
        <v>1.7799999999999999E-4</v>
      </c>
      <c r="M1068">
        <v>25</v>
      </c>
      <c r="N1068" t="s">
        <v>3943</v>
      </c>
      <c r="O1068" t="s">
        <v>29</v>
      </c>
      <c r="Q1068" t="s">
        <v>3943</v>
      </c>
      <c r="R1068" t="s">
        <v>3943</v>
      </c>
      <c r="S1068" t="s">
        <v>3943</v>
      </c>
      <c r="T1068" t="s">
        <v>3943</v>
      </c>
      <c r="V1068" t="s">
        <v>3943</v>
      </c>
      <c r="W1068" t="s">
        <v>3944</v>
      </c>
      <c r="X1068" t="s">
        <v>3945</v>
      </c>
      <c r="Y1068" t="s">
        <v>3946</v>
      </c>
      <c r="Z1068">
        <v>784.4328332</v>
      </c>
    </row>
    <row r="1069" spans="1:26" hidden="1">
      <c r="A1069">
        <v>1068</v>
      </c>
      <c r="B1069" t="s">
        <v>3947</v>
      </c>
      <c r="C1069" t="s">
        <v>54</v>
      </c>
      <c r="D1069" s="1" t="b">
        <v>0</v>
      </c>
      <c r="E1069">
        <v>1.0999999999999999E-2</v>
      </c>
      <c r="F1069">
        <v>1.9586073150000001</v>
      </c>
      <c r="G1069">
        <v>39</v>
      </c>
      <c r="H1069">
        <v>2.8700000000000001E-6</v>
      </c>
      <c r="I1069">
        <v>0.57999999999999996</v>
      </c>
      <c r="J1069">
        <v>33</v>
      </c>
      <c r="K1069">
        <v>2.3553130900000001</v>
      </c>
      <c r="L1069">
        <v>9.4863800999999998E-2</v>
      </c>
      <c r="M1069">
        <v>25</v>
      </c>
      <c r="N1069" t="s">
        <v>3736</v>
      </c>
      <c r="O1069" t="s">
        <v>29</v>
      </c>
      <c r="Q1069" t="s">
        <v>3736</v>
      </c>
      <c r="R1069" t="s">
        <v>3736</v>
      </c>
      <c r="S1069" t="s">
        <v>3736</v>
      </c>
      <c r="T1069" t="s">
        <v>3736</v>
      </c>
      <c r="U1069" t="s">
        <v>31</v>
      </c>
      <c r="V1069" t="s">
        <v>31</v>
      </c>
      <c r="W1069" t="s">
        <v>3948</v>
      </c>
      <c r="X1069" t="s">
        <v>3949</v>
      </c>
      <c r="Y1069" t="s">
        <v>3950</v>
      </c>
      <c r="Z1069">
        <v>349.2344124</v>
      </c>
    </row>
    <row r="1070" spans="1:26">
      <c r="A1070">
        <v>1069</v>
      </c>
      <c r="B1070" s="2" t="s">
        <v>3951</v>
      </c>
      <c r="C1070" t="s">
        <v>54</v>
      </c>
      <c r="D1070" s="1" t="b">
        <v>1</v>
      </c>
      <c r="E1070" s="3">
        <v>1.2999999999999999E-3</v>
      </c>
      <c r="F1070" s="2">
        <v>2.8860566476931599</v>
      </c>
      <c r="G1070">
        <v>27.4</v>
      </c>
      <c r="H1070">
        <v>2.8100000000000002E-6</v>
      </c>
      <c r="I1070">
        <v>0.59</v>
      </c>
      <c r="J1070">
        <v>44.6</v>
      </c>
      <c r="K1070">
        <v>3.61</v>
      </c>
      <c r="L1070">
        <v>2.4499999999999999E-4</v>
      </c>
      <c r="M1070">
        <v>25</v>
      </c>
      <c r="N1070" t="s">
        <v>3934</v>
      </c>
      <c r="O1070" t="s">
        <v>29</v>
      </c>
      <c r="P1070" t="s">
        <v>464</v>
      </c>
      <c r="Q1070" t="s">
        <v>3934</v>
      </c>
      <c r="S1070" t="s">
        <v>3934</v>
      </c>
      <c r="T1070" t="s">
        <v>3934</v>
      </c>
      <c r="W1070" t="s">
        <v>3952</v>
      </c>
      <c r="X1070" t="s">
        <v>3953</v>
      </c>
      <c r="Y1070" t="s">
        <v>3954</v>
      </c>
      <c r="Z1070">
        <v>350.20585190000003</v>
      </c>
    </row>
    <row r="1071" spans="1:26" hidden="1">
      <c r="A1071">
        <v>1070</v>
      </c>
      <c r="B1071" t="s">
        <v>3955</v>
      </c>
      <c r="C1071" t="s">
        <v>54</v>
      </c>
      <c r="D1071" s="1" t="b">
        <v>0</v>
      </c>
      <c r="E1071">
        <v>8.5000000000000006E-3</v>
      </c>
      <c r="F1071">
        <v>2.0705810740000001</v>
      </c>
      <c r="G1071">
        <v>39</v>
      </c>
      <c r="H1071">
        <v>2.3800000000000001E-6</v>
      </c>
      <c r="I1071">
        <v>0.7</v>
      </c>
      <c r="J1071">
        <v>33</v>
      </c>
      <c r="K1071">
        <v>2.5489615680000002</v>
      </c>
      <c r="L1071">
        <v>7.8162790999999995E-2</v>
      </c>
      <c r="M1071">
        <v>25</v>
      </c>
      <c r="N1071" t="s">
        <v>3736</v>
      </c>
      <c r="O1071" t="s">
        <v>29</v>
      </c>
      <c r="Q1071" t="s">
        <v>3736</v>
      </c>
      <c r="R1071" t="s">
        <v>3736</v>
      </c>
      <c r="S1071" t="s">
        <v>3736</v>
      </c>
      <c r="T1071" t="s">
        <v>3736</v>
      </c>
      <c r="U1071" t="s">
        <v>31</v>
      </c>
      <c r="V1071" t="s">
        <v>31</v>
      </c>
      <c r="W1071" t="s">
        <v>3956</v>
      </c>
      <c r="X1071" t="s">
        <v>3957</v>
      </c>
      <c r="Y1071" t="s">
        <v>3958</v>
      </c>
      <c r="Z1071">
        <v>391.28136260000002</v>
      </c>
    </row>
    <row r="1072" spans="1:26" hidden="1">
      <c r="A1072">
        <v>1071</v>
      </c>
      <c r="B1072" t="s">
        <v>3959</v>
      </c>
      <c r="C1072" t="s">
        <v>28</v>
      </c>
      <c r="D1072" s="1" t="b">
        <v>0</v>
      </c>
      <c r="E1072">
        <v>5.8999999999999999E-3</v>
      </c>
      <c r="F1072">
        <v>2.2291479879999998</v>
      </c>
      <c r="G1072">
        <v>38.6</v>
      </c>
      <c r="H1072">
        <v>9.0999999999999997E-7</v>
      </c>
      <c r="I1072">
        <v>1.83</v>
      </c>
      <c r="J1072">
        <v>33.369999999999997</v>
      </c>
      <c r="K1072">
        <v>3.0889119059999999</v>
      </c>
      <c r="L1072">
        <v>4.5551491999999999E-2</v>
      </c>
      <c r="M1072">
        <v>25</v>
      </c>
      <c r="N1072" t="s">
        <v>2419</v>
      </c>
      <c r="O1072" t="s">
        <v>29</v>
      </c>
      <c r="Q1072" t="s">
        <v>2419</v>
      </c>
      <c r="R1072" t="s">
        <v>2419</v>
      </c>
      <c r="S1072" t="s">
        <v>31</v>
      </c>
      <c r="T1072" t="s">
        <v>2419</v>
      </c>
      <c r="U1072" t="s">
        <v>31</v>
      </c>
      <c r="V1072" t="s">
        <v>31</v>
      </c>
      <c r="X1072" t="s">
        <v>3960</v>
      </c>
      <c r="Y1072" t="s">
        <v>3961</v>
      </c>
      <c r="Z1072">
        <v>752.51577499999996</v>
      </c>
    </row>
    <row r="1073" spans="1:26">
      <c r="A1073">
        <v>1072</v>
      </c>
      <c r="B1073" s="2" t="s">
        <v>3962</v>
      </c>
      <c r="C1073" t="s">
        <v>54</v>
      </c>
      <c r="D1073" s="1" t="b">
        <v>1</v>
      </c>
      <c r="E1073" s="3">
        <v>1.1100000000000001E-3</v>
      </c>
      <c r="F1073" s="2">
        <v>2.9546770212133424</v>
      </c>
      <c r="G1073">
        <v>26.2</v>
      </c>
      <c r="H1073">
        <v>2.8600000000000001E-6</v>
      </c>
      <c r="I1073">
        <v>0.57999999999999996</v>
      </c>
      <c r="J1073">
        <v>45.8</v>
      </c>
      <c r="K1073">
        <v>3.72</v>
      </c>
      <c r="L1073">
        <v>1.9100000000000001E-4</v>
      </c>
      <c r="M1073">
        <v>25</v>
      </c>
      <c r="N1073" t="s">
        <v>3934</v>
      </c>
      <c r="O1073" t="s">
        <v>29</v>
      </c>
      <c r="Q1073" t="s">
        <v>3934</v>
      </c>
      <c r="S1073" t="s">
        <v>3934</v>
      </c>
      <c r="T1073" t="s">
        <v>3934</v>
      </c>
      <c r="W1073" t="s">
        <v>3963</v>
      </c>
      <c r="X1073" t="s">
        <v>3964</v>
      </c>
      <c r="Y1073" t="s">
        <v>3965</v>
      </c>
      <c r="Z1073">
        <v>364.22150199999999</v>
      </c>
    </row>
    <row r="1074" spans="1:26" hidden="1">
      <c r="A1074">
        <v>1073</v>
      </c>
      <c r="B1074" t="s">
        <v>3966</v>
      </c>
      <c r="C1074" t="s">
        <v>54</v>
      </c>
      <c r="D1074" s="1" t="b">
        <v>0</v>
      </c>
      <c r="E1074">
        <v>4.4999999999999997E-3</v>
      </c>
      <c r="F1074">
        <v>2.3467874860000002</v>
      </c>
      <c r="G1074">
        <v>35.5</v>
      </c>
      <c r="H1074">
        <v>2.4499999999999998E-6</v>
      </c>
      <c r="I1074">
        <v>0.68</v>
      </c>
      <c r="J1074">
        <v>36.5</v>
      </c>
      <c r="K1074">
        <v>2.936614864</v>
      </c>
      <c r="L1074">
        <v>5.304499E-2</v>
      </c>
      <c r="M1074">
        <v>25</v>
      </c>
      <c r="N1074" t="s">
        <v>3736</v>
      </c>
      <c r="O1074" t="s">
        <v>29</v>
      </c>
      <c r="Q1074" t="s">
        <v>3736</v>
      </c>
      <c r="R1074" t="s">
        <v>3736</v>
      </c>
      <c r="S1074" t="s">
        <v>3736</v>
      </c>
      <c r="T1074" t="s">
        <v>3736</v>
      </c>
      <c r="U1074" t="s">
        <v>31</v>
      </c>
      <c r="V1074" t="s">
        <v>31</v>
      </c>
      <c r="W1074" t="s">
        <v>3967</v>
      </c>
      <c r="X1074" t="s">
        <v>3968</v>
      </c>
      <c r="Y1074" t="s">
        <v>3969</v>
      </c>
      <c r="Z1074">
        <v>433.32831279999999</v>
      </c>
    </row>
    <row r="1075" spans="1:26">
      <c r="A1075">
        <v>1074</v>
      </c>
      <c r="B1075" s="2" t="s">
        <v>3970</v>
      </c>
      <c r="C1075" t="s">
        <v>28</v>
      </c>
      <c r="D1075" s="1" t="b">
        <v>1</v>
      </c>
      <c r="E1075" s="3">
        <v>1.4450000000000001E-3</v>
      </c>
      <c r="F1075" s="2">
        <f>-LOG10(E1075)</f>
        <v>2.8401321529074335</v>
      </c>
      <c r="G1075">
        <v>30.9</v>
      </c>
      <c r="H1075" s="3">
        <v>1.1310000000000001E-6</v>
      </c>
      <c r="I1075" s="2">
        <v>1.4680000000000002</v>
      </c>
      <c r="J1075" s="2">
        <v>42</v>
      </c>
      <c r="K1075" s="2">
        <v>6.9</v>
      </c>
      <c r="L1075" s="2">
        <f>10^(-K1075)</f>
        <v>1.2589254117941651E-7</v>
      </c>
      <c r="M1075" s="2">
        <v>20</v>
      </c>
      <c r="O1075" t="s">
        <v>29</v>
      </c>
      <c r="Q1075" t="s">
        <v>3971</v>
      </c>
      <c r="V1075" s="2" t="s">
        <v>31</v>
      </c>
      <c r="X1075" t="s">
        <v>3972</v>
      </c>
      <c r="Y1075" t="s">
        <v>3973</v>
      </c>
      <c r="Z1075" s="5">
        <v>946.7192258</v>
      </c>
    </row>
    <row r="1076" spans="1:26">
      <c r="A1076">
        <v>1075</v>
      </c>
      <c r="B1076" s="2" t="s">
        <v>3974</v>
      </c>
      <c r="C1076" t="s">
        <v>28</v>
      </c>
      <c r="D1076" s="1" t="b">
        <v>1</v>
      </c>
      <c r="E1076" s="3">
        <v>1.5479999999999999E-3</v>
      </c>
      <c r="F1076" s="2">
        <f>-LOG10(E1076)</f>
        <v>2.8102290436531261</v>
      </c>
      <c r="G1076">
        <v>32.9</v>
      </c>
      <c r="H1076" s="3">
        <v>1.012E-6</v>
      </c>
      <c r="I1076" s="2">
        <v>1.4730000000000001</v>
      </c>
      <c r="J1076" s="2">
        <v>40</v>
      </c>
      <c r="K1076" s="2">
        <v>5.0999999999999996</v>
      </c>
      <c r="L1076" s="2">
        <f>10^(-K1076)</f>
        <v>7.9432823472428065E-6</v>
      </c>
      <c r="M1076" s="2">
        <v>20</v>
      </c>
      <c r="O1076" t="s">
        <v>29</v>
      </c>
      <c r="Q1076" t="s">
        <v>3971</v>
      </c>
      <c r="V1076" s="2" t="s">
        <v>31</v>
      </c>
      <c r="X1076" t="s">
        <v>3975</v>
      </c>
      <c r="Y1076" t="s">
        <v>3976</v>
      </c>
      <c r="Z1076" s="5">
        <v>904.67227560000003</v>
      </c>
    </row>
    <row r="1077" spans="1:26">
      <c r="A1077">
        <v>1076</v>
      </c>
      <c r="B1077" s="2" t="s">
        <v>3977</v>
      </c>
      <c r="C1077" t="s">
        <v>28</v>
      </c>
      <c r="D1077" s="1" t="b">
        <v>1</v>
      </c>
      <c r="E1077" s="3">
        <v>1.9949999999999998E-3</v>
      </c>
      <c r="F1077" s="2">
        <f>-LOG10(E1077)</f>
        <v>2.7000570999772329</v>
      </c>
      <c r="G1077">
        <v>33.9</v>
      </c>
      <c r="H1077" s="3">
        <v>7.6899999999999996E-7</v>
      </c>
      <c r="I1077" s="2">
        <v>2.5169999999999999</v>
      </c>
      <c r="J1077" s="2">
        <v>39</v>
      </c>
      <c r="K1077" s="2">
        <v>5.0999999999999996</v>
      </c>
      <c r="L1077" s="2">
        <f>10^(-K1077)</f>
        <v>7.9432823472428065E-6</v>
      </c>
      <c r="M1077" s="2">
        <v>20</v>
      </c>
      <c r="O1077" t="s">
        <v>29</v>
      </c>
      <c r="Q1077" t="s">
        <v>3971</v>
      </c>
      <c r="V1077" s="2" t="s">
        <v>31</v>
      </c>
      <c r="X1077" t="s">
        <v>3978</v>
      </c>
      <c r="Y1077" t="s">
        <v>3979</v>
      </c>
      <c r="Z1077" s="5">
        <v>890.65662550000002</v>
      </c>
    </row>
    <row r="1078" spans="1:26" hidden="1">
      <c r="A1078">
        <v>1077</v>
      </c>
      <c r="B1078" t="s">
        <v>3980</v>
      </c>
      <c r="C1078" t="s">
        <v>28</v>
      </c>
      <c r="D1078" s="1" t="b">
        <v>0</v>
      </c>
      <c r="E1078" s="4">
        <v>3.5399999999999999E-4</v>
      </c>
      <c r="F1078">
        <v>3.4509967380000002</v>
      </c>
      <c r="G1078">
        <v>32.700000000000003</v>
      </c>
      <c r="H1078">
        <v>1.6500000000000001E-6</v>
      </c>
      <c r="I1078">
        <v>1.01</v>
      </c>
      <c r="J1078">
        <v>39.299999999999997</v>
      </c>
      <c r="K1078">
        <v>4.13</v>
      </c>
      <c r="L1078">
        <v>7.4099999999999999E-5</v>
      </c>
      <c r="M1078">
        <v>25</v>
      </c>
      <c r="N1078" t="s">
        <v>2939</v>
      </c>
      <c r="O1078" t="s">
        <v>29</v>
      </c>
      <c r="Q1078" t="s">
        <v>2939</v>
      </c>
      <c r="R1078" t="s">
        <v>2939</v>
      </c>
      <c r="S1078" t="s">
        <v>2939</v>
      </c>
      <c r="T1078" t="s">
        <v>2939</v>
      </c>
      <c r="U1078" t="s">
        <v>2939</v>
      </c>
      <c r="W1078" t="s">
        <v>3981</v>
      </c>
      <c r="X1078" t="s">
        <v>3982</v>
      </c>
      <c r="Y1078" t="s">
        <v>3983</v>
      </c>
      <c r="Z1078">
        <v>844.52673359999994</v>
      </c>
    </row>
    <row r="1079" spans="1:26">
      <c r="A1079">
        <v>1078</v>
      </c>
      <c r="B1079" s="2" t="s">
        <v>3984</v>
      </c>
      <c r="C1079" t="s">
        <v>28</v>
      </c>
      <c r="D1079" s="1" t="b">
        <v>1</v>
      </c>
      <c r="E1079" s="4">
        <v>4.4299999999999998E-4</v>
      </c>
      <c r="F1079">
        <v>3.353596274</v>
      </c>
      <c r="G1079">
        <v>36</v>
      </c>
      <c r="H1079">
        <v>2.1399999999999998E-6</v>
      </c>
      <c r="I1079">
        <v>0.78</v>
      </c>
      <c r="J1079">
        <v>36</v>
      </c>
      <c r="K1079">
        <v>3.83</v>
      </c>
      <c r="L1079">
        <v>1.4799999999999999E-4</v>
      </c>
      <c r="M1079">
        <v>25</v>
      </c>
      <c r="N1079" t="s">
        <v>2939</v>
      </c>
      <c r="O1079" t="s">
        <v>29</v>
      </c>
      <c r="Q1079" t="s">
        <v>2939</v>
      </c>
      <c r="R1079" t="s">
        <v>2939</v>
      </c>
      <c r="S1079" t="s">
        <v>2939</v>
      </c>
      <c r="T1079" t="s">
        <v>2939</v>
      </c>
      <c r="U1079" t="s">
        <v>2939</v>
      </c>
      <c r="W1079" t="s">
        <v>3985</v>
      </c>
      <c r="X1079" t="s">
        <v>3986</v>
      </c>
      <c r="Y1079" t="s">
        <v>3987</v>
      </c>
      <c r="Z1079">
        <v>726.42735389999996</v>
      </c>
    </row>
    <row r="1080" spans="1:26" hidden="1">
      <c r="A1080">
        <v>1079</v>
      </c>
      <c r="B1080" t="s">
        <v>3988</v>
      </c>
      <c r="C1080" t="s">
        <v>28</v>
      </c>
      <c r="D1080" s="1" t="b">
        <v>0</v>
      </c>
      <c r="E1080">
        <v>6.6E-4</v>
      </c>
      <c r="F1080">
        <v>3.1804560639999999</v>
      </c>
      <c r="G1080">
        <v>27.9</v>
      </c>
      <c r="H1080">
        <v>1.9700000000000002E-6</v>
      </c>
      <c r="I1080">
        <v>1.26</v>
      </c>
      <c r="J1080">
        <v>44.1</v>
      </c>
      <c r="K1080">
        <v>4.9000000000000004</v>
      </c>
      <c r="L1080">
        <v>1.26E-5</v>
      </c>
      <c r="M1080">
        <v>25</v>
      </c>
      <c r="N1080" t="s">
        <v>2423</v>
      </c>
      <c r="O1080" t="s">
        <v>29</v>
      </c>
      <c r="Q1080" t="s">
        <v>2423</v>
      </c>
      <c r="R1080" t="s">
        <v>2423</v>
      </c>
      <c r="S1080" t="s">
        <v>2423</v>
      </c>
      <c r="T1080" t="s">
        <v>2423</v>
      </c>
      <c r="U1080" t="s">
        <v>2423</v>
      </c>
      <c r="W1080" t="s">
        <v>3989</v>
      </c>
      <c r="X1080" t="s">
        <v>3990</v>
      </c>
      <c r="Y1080" t="s">
        <v>3991</v>
      </c>
      <c r="Z1080">
        <v>830.51108350000004</v>
      </c>
    </row>
    <row r="1081" spans="1:26">
      <c r="A1081">
        <v>1080</v>
      </c>
      <c r="B1081" s="2" t="s">
        <v>3992</v>
      </c>
      <c r="C1081" t="s">
        <v>28</v>
      </c>
      <c r="D1081" s="1" t="b">
        <v>1</v>
      </c>
      <c r="E1081">
        <v>1.395E-3</v>
      </c>
      <c r="F1081">
        <v>2.8554257920000001</v>
      </c>
      <c r="G1081">
        <v>30.7</v>
      </c>
      <c r="H1081">
        <v>2.0700000000000001E-6</v>
      </c>
      <c r="I1081">
        <v>1.2</v>
      </c>
      <c r="J1081">
        <v>41.3</v>
      </c>
      <c r="K1081">
        <v>4.0199999999999996</v>
      </c>
      <c r="L1081">
        <v>9.5500000000000004E-5</v>
      </c>
      <c r="M1081">
        <v>25</v>
      </c>
      <c r="N1081" t="s">
        <v>2423</v>
      </c>
      <c r="O1081" t="s">
        <v>29</v>
      </c>
      <c r="Q1081" t="s">
        <v>2423</v>
      </c>
      <c r="R1081" t="s">
        <v>2423</v>
      </c>
      <c r="S1081" t="s">
        <v>2423</v>
      </c>
      <c r="T1081" t="s">
        <v>2423</v>
      </c>
      <c r="U1081" t="s">
        <v>2423</v>
      </c>
      <c r="W1081" t="s">
        <v>3993</v>
      </c>
      <c r="X1081" t="s">
        <v>3994</v>
      </c>
      <c r="Y1081" t="s">
        <v>3995</v>
      </c>
      <c r="Z1081">
        <v>712.41170380000005</v>
      </c>
    </row>
    <row r="1082" spans="1:26" hidden="1">
      <c r="A1082">
        <v>1081</v>
      </c>
      <c r="B1082" t="s">
        <v>3996</v>
      </c>
      <c r="C1082" t="s">
        <v>28</v>
      </c>
      <c r="D1082" s="1" t="b">
        <v>0</v>
      </c>
      <c r="G1082">
        <v>36.299999999999997</v>
      </c>
      <c r="O1082" t="s">
        <v>29</v>
      </c>
      <c r="Q1082" t="s">
        <v>3997</v>
      </c>
      <c r="X1082" t="s">
        <v>3998</v>
      </c>
      <c r="Y1082" t="s">
        <v>3999</v>
      </c>
      <c r="Z1082">
        <v>844.52673359999994</v>
      </c>
    </row>
    <row r="1083" spans="1:26" hidden="1">
      <c r="A1083">
        <v>1082</v>
      </c>
      <c r="B1083" t="s">
        <v>4000</v>
      </c>
      <c r="C1083" t="s">
        <v>28</v>
      </c>
      <c r="D1083" s="1" t="b">
        <v>0</v>
      </c>
      <c r="G1083">
        <v>36</v>
      </c>
      <c r="O1083" t="s">
        <v>29</v>
      </c>
      <c r="Q1083" t="s">
        <v>3997</v>
      </c>
      <c r="X1083" t="s">
        <v>4001</v>
      </c>
      <c r="Y1083" t="s">
        <v>4002</v>
      </c>
      <c r="Z1083">
        <v>816.49543340000002</v>
      </c>
    </row>
    <row r="1084" spans="1:26" hidden="1">
      <c r="A1084">
        <v>1083</v>
      </c>
      <c r="B1084" t="s">
        <v>4003</v>
      </c>
      <c r="C1084" t="s">
        <v>28</v>
      </c>
      <c r="D1084" s="1" t="b">
        <v>0</v>
      </c>
      <c r="G1084">
        <v>36.299999999999997</v>
      </c>
      <c r="O1084" t="s">
        <v>29</v>
      </c>
      <c r="Q1084" t="s">
        <v>3997</v>
      </c>
      <c r="X1084" t="s">
        <v>4004</v>
      </c>
      <c r="Y1084" t="s">
        <v>4005</v>
      </c>
      <c r="Z1084">
        <v>788.46413329999996</v>
      </c>
    </row>
    <row r="1085" spans="1:26" hidden="1">
      <c r="A1085">
        <v>1084</v>
      </c>
      <c r="B1085" t="s">
        <v>4006</v>
      </c>
      <c r="C1085" t="s">
        <v>28</v>
      </c>
      <c r="D1085" s="1" t="b">
        <v>0</v>
      </c>
      <c r="G1085">
        <v>35.6</v>
      </c>
      <c r="O1085" t="s">
        <v>29</v>
      </c>
      <c r="Q1085" t="s">
        <v>3997</v>
      </c>
      <c r="X1085" t="s">
        <v>4007</v>
      </c>
      <c r="Y1085" t="s">
        <v>4008</v>
      </c>
      <c r="Z1085">
        <v>760.4328332</v>
      </c>
    </row>
    <row r="1086" spans="1:26">
      <c r="A1086">
        <v>1085</v>
      </c>
      <c r="B1086" t="s">
        <v>4009</v>
      </c>
      <c r="C1086" t="s">
        <v>54</v>
      </c>
      <c r="D1086" s="1" t="b">
        <v>1</v>
      </c>
      <c r="E1086">
        <v>2.5000000000000001E-2</v>
      </c>
      <c r="F1086">
        <v>1.602059991</v>
      </c>
      <c r="G1086" s="2">
        <v>38</v>
      </c>
      <c r="H1086" s="3">
        <v>2.9100000000000001E-6</v>
      </c>
      <c r="I1086" s="2">
        <f>57/100</f>
        <v>0.56999999999999995</v>
      </c>
      <c r="J1086" s="2">
        <v>34</v>
      </c>
      <c r="K1086" s="2">
        <v>2.34</v>
      </c>
      <c r="L1086" s="2">
        <f>10^(-K1086)</f>
        <v>4.5708818961487504E-3</v>
      </c>
      <c r="M1086">
        <v>25</v>
      </c>
      <c r="N1086" t="s">
        <v>135</v>
      </c>
      <c r="O1086" t="s">
        <v>29</v>
      </c>
      <c r="Q1086" s="2" t="s">
        <v>4010</v>
      </c>
      <c r="R1086" s="2" t="s">
        <v>4010</v>
      </c>
      <c r="S1086" s="2" t="s">
        <v>4010</v>
      </c>
      <c r="T1086" s="2" t="s">
        <v>4010</v>
      </c>
      <c r="U1086" s="2" t="s">
        <v>4010</v>
      </c>
      <c r="V1086" s="2" t="s">
        <v>31</v>
      </c>
      <c r="W1086" t="s">
        <v>4011</v>
      </c>
      <c r="X1086" t="s">
        <v>4012</v>
      </c>
      <c r="Y1086" t="s">
        <v>4013</v>
      </c>
      <c r="Z1086">
        <v>353.26967180000003</v>
      </c>
    </row>
    <row r="1087" spans="1:26">
      <c r="A1087">
        <v>1086</v>
      </c>
      <c r="B1087" s="2" t="s">
        <v>4014</v>
      </c>
      <c r="C1087" t="s">
        <v>54</v>
      </c>
      <c r="D1087" s="1" t="b">
        <v>1</v>
      </c>
      <c r="G1087">
        <v>29</v>
      </c>
      <c r="O1087" t="s">
        <v>29</v>
      </c>
      <c r="Q1087" t="s">
        <v>3134</v>
      </c>
      <c r="X1087" t="s">
        <v>4015</v>
      </c>
      <c r="Y1087" t="s">
        <v>4016</v>
      </c>
      <c r="Z1087">
        <v>218.1675525</v>
      </c>
    </row>
    <row r="1088" spans="1:26" hidden="1">
      <c r="A1088">
        <v>1087</v>
      </c>
      <c r="B1088" t="s">
        <v>4017</v>
      </c>
      <c r="C1088" t="s">
        <v>54</v>
      </c>
      <c r="D1088" s="1" t="b">
        <v>0</v>
      </c>
      <c r="E1088">
        <v>3.0999999999999999E-3</v>
      </c>
      <c r="F1088">
        <v>2.5086383059999999</v>
      </c>
      <c r="G1088">
        <v>33.9</v>
      </c>
      <c r="H1088">
        <v>2.8399999999999999E-6</v>
      </c>
      <c r="I1088">
        <v>0.57999999999999996</v>
      </c>
      <c r="J1088">
        <v>37.880000000000003</v>
      </c>
      <c r="K1088">
        <v>3.0668093490000001</v>
      </c>
      <c r="L1088">
        <v>4.6569504999999997E-2</v>
      </c>
      <c r="M1088">
        <v>25</v>
      </c>
      <c r="N1088" t="s">
        <v>4018</v>
      </c>
      <c r="O1088" t="s">
        <v>29</v>
      </c>
      <c r="Q1088" t="s">
        <v>4018</v>
      </c>
      <c r="R1088" t="s">
        <v>4018</v>
      </c>
      <c r="U1088" t="s">
        <v>31</v>
      </c>
      <c r="V1088" t="s">
        <v>31</v>
      </c>
      <c r="W1088" t="s">
        <v>4019</v>
      </c>
      <c r="X1088" t="s">
        <v>4020</v>
      </c>
      <c r="Y1088" t="s">
        <v>4021</v>
      </c>
      <c r="Z1088">
        <v>390.22457600000001</v>
      </c>
    </row>
    <row r="1089" spans="1:26" hidden="1">
      <c r="A1089">
        <v>1088</v>
      </c>
      <c r="B1089" t="s">
        <v>4022</v>
      </c>
      <c r="C1089" t="s">
        <v>54</v>
      </c>
      <c r="D1089" s="1" t="b">
        <v>0</v>
      </c>
      <c r="E1089">
        <v>2.8700000000000002E-3</v>
      </c>
      <c r="F1089">
        <v>2.542118103</v>
      </c>
      <c r="G1089">
        <v>33.1</v>
      </c>
      <c r="H1089">
        <v>2.9900000000000002E-6</v>
      </c>
      <c r="I1089">
        <v>0.56000000000000005</v>
      </c>
      <c r="J1089">
        <v>38.68</v>
      </c>
      <c r="K1089">
        <v>3.095720145</v>
      </c>
      <c r="L1089">
        <v>4.5242419999999998E-2</v>
      </c>
      <c r="M1089">
        <v>25</v>
      </c>
      <c r="N1089" t="s">
        <v>4018</v>
      </c>
      <c r="O1089" t="s">
        <v>29</v>
      </c>
      <c r="Q1089" t="s">
        <v>4018</v>
      </c>
      <c r="R1089" t="s">
        <v>4018</v>
      </c>
      <c r="U1089" t="s">
        <v>31</v>
      </c>
      <c r="V1089" t="s">
        <v>31</v>
      </c>
      <c r="W1089" t="s">
        <v>4023</v>
      </c>
      <c r="X1089" t="s">
        <v>4024</v>
      </c>
      <c r="Y1089" t="s">
        <v>4025</v>
      </c>
      <c r="Z1089">
        <v>450.26096150000001</v>
      </c>
    </row>
    <row r="1090" spans="1:26" hidden="1">
      <c r="A1090">
        <v>1089</v>
      </c>
      <c r="B1090" t="s">
        <v>4026</v>
      </c>
      <c r="C1090" t="s">
        <v>54</v>
      </c>
      <c r="D1090" s="1" t="b">
        <v>0</v>
      </c>
      <c r="E1090">
        <v>2.63E-3</v>
      </c>
      <c r="F1090">
        <v>2.580044252</v>
      </c>
      <c r="G1090">
        <v>29</v>
      </c>
      <c r="H1090">
        <v>3.1300000000000001E-6</v>
      </c>
      <c r="I1090">
        <v>0.53</v>
      </c>
      <c r="J1090">
        <v>42.78</v>
      </c>
      <c r="K1090">
        <v>3.2236065090000001</v>
      </c>
      <c r="L1090">
        <v>3.9811220000000001E-2</v>
      </c>
      <c r="M1090">
        <v>25</v>
      </c>
      <c r="N1090" t="s">
        <v>4018</v>
      </c>
      <c r="O1090" t="s">
        <v>29</v>
      </c>
      <c r="Q1090" t="s">
        <v>4018</v>
      </c>
      <c r="R1090" t="s">
        <v>4018</v>
      </c>
      <c r="U1090" t="s">
        <v>31</v>
      </c>
      <c r="V1090" t="s">
        <v>31</v>
      </c>
      <c r="W1090" t="s">
        <v>4027</v>
      </c>
      <c r="X1090" t="s">
        <v>4028</v>
      </c>
      <c r="Y1090" t="s">
        <v>4029</v>
      </c>
      <c r="Z1090">
        <v>438.22457600000001</v>
      </c>
    </row>
    <row r="1091" spans="1:26" hidden="1">
      <c r="A1091">
        <v>1090</v>
      </c>
      <c r="B1091" t="s">
        <v>4030</v>
      </c>
      <c r="C1091" t="s">
        <v>28</v>
      </c>
      <c r="D1091" s="1" t="b">
        <v>0</v>
      </c>
      <c r="E1091">
        <v>2E-3</v>
      </c>
      <c r="F1091">
        <v>2.698970004</v>
      </c>
      <c r="G1091">
        <v>36</v>
      </c>
      <c r="H1091">
        <v>5.5799999999999999E-7</v>
      </c>
      <c r="I1091">
        <v>3</v>
      </c>
      <c r="J1091">
        <v>36</v>
      </c>
      <c r="K1091">
        <v>4.8499999999999996</v>
      </c>
      <c r="L1091">
        <v>1.4E-5</v>
      </c>
      <c r="M1091">
        <v>25</v>
      </c>
      <c r="N1091" t="s">
        <v>2432</v>
      </c>
      <c r="O1091" t="s">
        <v>29</v>
      </c>
      <c r="Q1091" t="s">
        <v>2432</v>
      </c>
      <c r="R1091" t="s">
        <v>2432</v>
      </c>
      <c r="S1091" t="s">
        <v>2432</v>
      </c>
      <c r="T1091" t="s">
        <v>2432</v>
      </c>
      <c r="U1091" t="s">
        <v>2432</v>
      </c>
      <c r="W1091" t="s">
        <v>4031</v>
      </c>
      <c r="X1091" t="s">
        <v>4032</v>
      </c>
      <c r="Y1091" t="s">
        <v>4033</v>
      </c>
      <c r="Z1091">
        <v>610.34362420000002</v>
      </c>
    </row>
    <row r="1092" spans="1:26" hidden="1">
      <c r="A1092">
        <v>1091</v>
      </c>
      <c r="B1092" t="s">
        <v>4034</v>
      </c>
      <c r="C1092" t="s">
        <v>28</v>
      </c>
      <c r="D1092" s="1" t="b">
        <v>0</v>
      </c>
      <c r="E1092">
        <v>9.0990000000000005E-4</v>
      </c>
      <c r="F1092">
        <v>3.0410063350000001</v>
      </c>
      <c r="M1092">
        <v>25</v>
      </c>
      <c r="N1092" t="s">
        <v>484</v>
      </c>
      <c r="X1092" t="s">
        <v>4035</v>
      </c>
      <c r="Y1092" t="s">
        <v>4036</v>
      </c>
      <c r="Z1092">
        <v>688.39057439999999</v>
      </c>
    </row>
    <row r="1093" spans="1:26" hidden="1">
      <c r="A1093">
        <v>1092</v>
      </c>
      <c r="B1093" t="s">
        <v>4037</v>
      </c>
      <c r="C1093" t="s">
        <v>28</v>
      </c>
      <c r="D1093" s="1" t="b">
        <v>0</v>
      </c>
      <c r="E1093">
        <v>8.9130000000000003E-4</v>
      </c>
      <c r="F1093">
        <v>3.0499760930000002</v>
      </c>
      <c r="M1093">
        <v>25</v>
      </c>
      <c r="N1093" t="s">
        <v>484</v>
      </c>
      <c r="X1093" t="s">
        <v>4038</v>
      </c>
      <c r="Y1093" t="s">
        <v>4039</v>
      </c>
      <c r="Z1093">
        <v>716.42187460000002</v>
      </c>
    </row>
    <row r="1094" spans="1:26" hidden="1">
      <c r="A1094">
        <v>1093</v>
      </c>
      <c r="B1094" t="s">
        <v>4040</v>
      </c>
      <c r="C1094" t="s">
        <v>28</v>
      </c>
      <c r="D1094" s="1" t="b">
        <v>0</v>
      </c>
      <c r="E1094">
        <v>6.7000000000000002E-4</v>
      </c>
      <c r="F1094">
        <v>3.173925197</v>
      </c>
      <c r="G1094">
        <v>40</v>
      </c>
      <c r="H1094">
        <v>1.39E-6</v>
      </c>
      <c r="I1094">
        <v>1.19</v>
      </c>
      <c r="J1094">
        <v>32</v>
      </c>
      <c r="K1094">
        <v>3.65</v>
      </c>
      <c r="L1094">
        <v>2.24E-4</v>
      </c>
      <c r="M1094">
        <v>25</v>
      </c>
      <c r="N1094" t="s">
        <v>3943</v>
      </c>
      <c r="O1094" t="s">
        <v>29</v>
      </c>
      <c r="Q1094" t="s">
        <v>3943</v>
      </c>
      <c r="R1094" t="s">
        <v>3943</v>
      </c>
      <c r="S1094" t="s">
        <v>3943</v>
      </c>
      <c r="T1094" t="s">
        <v>3943</v>
      </c>
      <c r="V1094" t="s">
        <v>3943</v>
      </c>
      <c r="W1094" t="s">
        <v>4041</v>
      </c>
      <c r="X1094" t="s">
        <v>4042</v>
      </c>
      <c r="Y1094" t="s">
        <v>4043</v>
      </c>
      <c r="Z1094">
        <v>780.40153299999997</v>
      </c>
    </row>
    <row r="1095" spans="1:26" hidden="1">
      <c r="A1095">
        <v>1094</v>
      </c>
      <c r="B1095" t="s">
        <v>4044</v>
      </c>
      <c r="C1095" t="s">
        <v>28</v>
      </c>
      <c r="D1095" s="1" t="b">
        <v>0</v>
      </c>
      <c r="E1095">
        <v>5.5999999999999995E-4</v>
      </c>
      <c r="F1095">
        <v>3.2518119730000001</v>
      </c>
      <c r="G1095">
        <v>41.6</v>
      </c>
      <c r="H1095">
        <v>1.48E-6</v>
      </c>
      <c r="I1095">
        <v>1.1200000000000001</v>
      </c>
      <c r="J1095">
        <v>30.4</v>
      </c>
      <c r="K1095">
        <v>3.68</v>
      </c>
      <c r="L1095">
        <v>2.0900000000000001E-4</v>
      </c>
      <c r="M1095">
        <v>25</v>
      </c>
      <c r="N1095" t="s">
        <v>3943</v>
      </c>
      <c r="O1095" t="s">
        <v>29</v>
      </c>
      <c r="Q1095" t="s">
        <v>3943</v>
      </c>
      <c r="R1095" t="s">
        <v>3943</v>
      </c>
      <c r="S1095" t="s">
        <v>3943</v>
      </c>
      <c r="T1095" t="s">
        <v>3943</v>
      </c>
      <c r="V1095" t="s">
        <v>3943</v>
      </c>
      <c r="W1095" t="s">
        <v>4045</v>
      </c>
      <c r="X1095" t="s">
        <v>4046</v>
      </c>
      <c r="Y1095" t="s">
        <v>4047</v>
      </c>
      <c r="Z1095">
        <v>808.4328332</v>
      </c>
    </row>
    <row r="1096" spans="1:26" hidden="1">
      <c r="A1096">
        <v>1095</v>
      </c>
      <c r="B1096" t="s">
        <v>4048</v>
      </c>
      <c r="C1096" t="s">
        <v>28</v>
      </c>
      <c r="D1096" s="1" t="b">
        <v>0</v>
      </c>
      <c r="E1096">
        <v>7.9000000000000001E-4</v>
      </c>
      <c r="F1096">
        <v>3.1023729090000001</v>
      </c>
      <c r="G1096">
        <v>41.1</v>
      </c>
      <c r="H1096">
        <v>1.46E-6</v>
      </c>
      <c r="I1096">
        <v>1.1399999999999999</v>
      </c>
      <c r="J1096">
        <v>30.9</v>
      </c>
      <c r="K1096">
        <v>3.52</v>
      </c>
      <c r="L1096">
        <v>3.0200000000000002E-4</v>
      </c>
      <c r="M1096">
        <v>25</v>
      </c>
      <c r="N1096" t="s">
        <v>3943</v>
      </c>
      <c r="O1096" t="s">
        <v>29</v>
      </c>
      <c r="Q1096" t="s">
        <v>3943</v>
      </c>
      <c r="R1096" t="s">
        <v>3943</v>
      </c>
      <c r="S1096" t="s">
        <v>3943</v>
      </c>
      <c r="T1096" t="s">
        <v>3943</v>
      </c>
      <c r="V1096" t="s">
        <v>3943</v>
      </c>
      <c r="W1096" t="s">
        <v>4049</v>
      </c>
      <c r="X1096" t="s">
        <v>4050</v>
      </c>
      <c r="Y1096" t="s">
        <v>4051</v>
      </c>
      <c r="Z1096">
        <v>812.39136229999997</v>
      </c>
    </row>
    <row r="1097" spans="1:26" hidden="1">
      <c r="A1097">
        <v>1096</v>
      </c>
      <c r="B1097" t="s">
        <v>4052</v>
      </c>
      <c r="C1097" t="s">
        <v>28</v>
      </c>
      <c r="D1097" s="1" t="b">
        <v>0</v>
      </c>
      <c r="E1097">
        <v>3.1989999999999997E-5</v>
      </c>
      <c r="F1097">
        <v>4.4949857599999996</v>
      </c>
      <c r="M1097">
        <v>25</v>
      </c>
      <c r="N1097" t="s">
        <v>484</v>
      </c>
      <c r="X1097" t="s">
        <v>4053</v>
      </c>
      <c r="Y1097" t="s">
        <v>4054</v>
      </c>
      <c r="Z1097">
        <v>860.60967530000005</v>
      </c>
    </row>
    <row r="1098" spans="1:26" hidden="1">
      <c r="A1098">
        <v>1097</v>
      </c>
      <c r="B1098" t="s">
        <v>4055</v>
      </c>
      <c r="C1098" t="s">
        <v>28</v>
      </c>
      <c r="D1098" s="1" t="b">
        <v>0</v>
      </c>
      <c r="E1098">
        <v>6.6069999999999996E-5</v>
      </c>
      <c r="F1098">
        <v>4.1799956930000004</v>
      </c>
      <c r="M1098">
        <v>25</v>
      </c>
      <c r="N1098" t="s">
        <v>484</v>
      </c>
      <c r="X1098" t="s">
        <v>4056</v>
      </c>
      <c r="Y1098" t="s">
        <v>4057</v>
      </c>
      <c r="Z1098">
        <v>832.57837519999998</v>
      </c>
    </row>
    <row r="1099" spans="1:26" hidden="1">
      <c r="A1099">
        <v>1098</v>
      </c>
      <c r="B1099" t="s">
        <v>4058</v>
      </c>
      <c r="C1099" t="s">
        <v>28</v>
      </c>
      <c r="D1099" s="1" t="b">
        <v>0</v>
      </c>
      <c r="E1099">
        <v>5.0000000000000001E-4</v>
      </c>
      <c r="F1099">
        <v>3.301029996</v>
      </c>
      <c r="M1099">
        <v>25</v>
      </c>
      <c r="N1099" t="s">
        <v>484</v>
      </c>
      <c r="X1099" t="s">
        <v>4059</v>
      </c>
      <c r="Y1099" t="s">
        <v>4060</v>
      </c>
      <c r="Z1099">
        <v>776.51577499999996</v>
      </c>
    </row>
    <row r="1100" spans="1:26" hidden="1">
      <c r="A1100">
        <v>1099</v>
      </c>
      <c r="B1100" t="s">
        <v>4061</v>
      </c>
      <c r="C1100" t="s">
        <v>28</v>
      </c>
      <c r="D1100" s="1" t="b">
        <v>0</v>
      </c>
      <c r="E1100">
        <v>6.1939999999999999E-4</v>
      </c>
      <c r="F1100">
        <v>3.208028799</v>
      </c>
      <c r="M1100">
        <v>25</v>
      </c>
      <c r="N1100" t="s">
        <v>484</v>
      </c>
      <c r="X1100" t="s">
        <v>4062</v>
      </c>
      <c r="Y1100" t="s">
        <v>4063</v>
      </c>
      <c r="Z1100">
        <v>748.48447480000004</v>
      </c>
    </row>
    <row r="1101" spans="1:26" hidden="1">
      <c r="A1101">
        <v>1100</v>
      </c>
      <c r="B1101" t="s">
        <v>4064</v>
      </c>
      <c r="C1101" t="s">
        <v>28</v>
      </c>
      <c r="D1101" s="1" t="b">
        <v>0</v>
      </c>
      <c r="E1101">
        <v>7.7979999999999998E-4</v>
      </c>
      <c r="F1101">
        <v>3.1080167689999998</v>
      </c>
      <c r="M1101">
        <v>25</v>
      </c>
      <c r="N1101" t="s">
        <v>484</v>
      </c>
      <c r="X1101" t="s">
        <v>4065</v>
      </c>
      <c r="Y1101" t="s">
        <v>4066</v>
      </c>
      <c r="Z1101">
        <v>720.45317469999998</v>
      </c>
    </row>
    <row r="1102" spans="1:26" hidden="1">
      <c r="A1102">
        <v>1101</v>
      </c>
      <c r="B1102" t="s">
        <v>4067</v>
      </c>
      <c r="C1102" t="s">
        <v>28</v>
      </c>
      <c r="D1102" s="1" t="b">
        <v>0</v>
      </c>
      <c r="E1102">
        <v>8.2989999999999995E-4</v>
      </c>
      <c r="F1102">
        <v>3.0809742349999998</v>
      </c>
      <c r="G1102">
        <v>38.1</v>
      </c>
      <c r="J1102">
        <v>33.869999999999997</v>
      </c>
      <c r="M1102">
        <v>25</v>
      </c>
      <c r="N1102" t="s">
        <v>484</v>
      </c>
      <c r="O1102" t="s">
        <v>29</v>
      </c>
      <c r="Q1102" t="s">
        <v>2443</v>
      </c>
      <c r="S1102" t="s">
        <v>31</v>
      </c>
      <c r="X1102" t="s">
        <v>4068</v>
      </c>
      <c r="Y1102" t="s">
        <v>4069</v>
      </c>
      <c r="Z1102">
        <v>692.42187460000002</v>
      </c>
    </row>
    <row r="1103" spans="1:26" hidden="1">
      <c r="A1103">
        <v>1102</v>
      </c>
      <c r="B1103" t="s">
        <v>4070</v>
      </c>
      <c r="C1103" t="s">
        <v>28</v>
      </c>
      <c r="D1103" s="1" t="b">
        <v>0</v>
      </c>
      <c r="E1103">
        <v>6.6069999999999996E-4</v>
      </c>
      <c r="F1103">
        <v>3.179995693</v>
      </c>
      <c r="M1103">
        <v>25</v>
      </c>
      <c r="N1103" t="s">
        <v>484</v>
      </c>
      <c r="X1103" t="s">
        <v>4071</v>
      </c>
      <c r="Y1103" t="s">
        <v>4072</v>
      </c>
      <c r="Z1103">
        <v>678.40622450000001</v>
      </c>
    </row>
    <row r="1104" spans="1:26" hidden="1">
      <c r="A1104">
        <v>1103</v>
      </c>
      <c r="B1104" t="s">
        <v>4073</v>
      </c>
      <c r="C1104" t="s">
        <v>28</v>
      </c>
      <c r="D1104" s="1" t="b">
        <v>0</v>
      </c>
      <c r="E1104">
        <v>5.4799999999999998E-4</v>
      </c>
      <c r="F1104">
        <v>3.2612194419999998</v>
      </c>
      <c r="G1104">
        <v>35.4</v>
      </c>
      <c r="H1104">
        <v>9.9000000000000005E-7</v>
      </c>
      <c r="I1104">
        <v>1.68</v>
      </c>
      <c r="J1104">
        <v>36.6</v>
      </c>
      <c r="K1104">
        <v>4.29</v>
      </c>
      <c r="L1104">
        <v>5.13E-5</v>
      </c>
      <c r="M1104">
        <v>25</v>
      </c>
      <c r="N1104" t="s">
        <v>2447</v>
      </c>
      <c r="O1104" t="s">
        <v>29</v>
      </c>
      <c r="Q1104" t="s">
        <v>2447</v>
      </c>
      <c r="R1104" t="s">
        <v>2447</v>
      </c>
      <c r="S1104" t="s">
        <v>2447</v>
      </c>
      <c r="T1104" t="s">
        <v>2447</v>
      </c>
      <c r="U1104" t="s">
        <v>2447</v>
      </c>
      <c r="V1104" t="s">
        <v>2447</v>
      </c>
      <c r="W1104" t="s">
        <v>4074</v>
      </c>
      <c r="X1104" t="s">
        <v>4075</v>
      </c>
      <c r="Y1104" t="s">
        <v>4076</v>
      </c>
      <c r="Z1104">
        <v>760.54403509999997</v>
      </c>
    </row>
    <row r="1105" spans="1:26" hidden="1">
      <c r="A1105">
        <v>1104</v>
      </c>
      <c r="B1105" t="s">
        <v>4077</v>
      </c>
      <c r="C1105" t="s">
        <v>28</v>
      </c>
      <c r="D1105" s="1" t="b">
        <v>0</v>
      </c>
      <c r="E1105">
        <v>1.132E-3</v>
      </c>
      <c r="F1105">
        <v>2.9461535730000001</v>
      </c>
      <c r="G1105">
        <v>38.200000000000003</v>
      </c>
      <c r="H1105">
        <v>1.31E-6</v>
      </c>
      <c r="I1105">
        <v>1.26</v>
      </c>
      <c r="J1105">
        <v>33.799999999999997</v>
      </c>
      <c r="K1105">
        <v>3.3</v>
      </c>
      <c r="L1105">
        <v>5.0100000000000003E-4</v>
      </c>
      <c r="M1105">
        <v>25</v>
      </c>
      <c r="N1105" t="s">
        <v>2447</v>
      </c>
      <c r="O1105" t="s">
        <v>29</v>
      </c>
      <c r="Q1105" t="s">
        <v>2447</v>
      </c>
      <c r="R1105" t="s">
        <v>2447</v>
      </c>
      <c r="S1105" t="s">
        <v>2447</v>
      </c>
      <c r="T1105" t="s">
        <v>2447</v>
      </c>
      <c r="U1105" t="s">
        <v>2447</v>
      </c>
      <c r="V1105" t="s">
        <v>2447</v>
      </c>
      <c r="W1105" t="s">
        <v>2976</v>
      </c>
      <c r="X1105" t="s">
        <v>4078</v>
      </c>
      <c r="Y1105" t="s">
        <v>4079</v>
      </c>
      <c r="Z1105">
        <v>684.51273500000002</v>
      </c>
    </row>
    <row r="1106" spans="1:26">
      <c r="A1106">
        <v>1105</v>
      </c>
      <c r="B1106" s="2" t="s">
        <v>4080</v>
      </c>
      <c r="C1106" t="s">
        <v>54</v>
      </c>
      <c r="D1106" s="1" t="b">
        <v>1</v>
      </c>
      <c r="E1106">
        <v>1.5599999999999999E-2</v>
      </c>
      <c r="F1106">
        <v>1.806875402</v>
      </c>
      <c r="M1106">
        <v>25</v>
      </c>
      <c r="N1106" t="s">
        <v>1832</v>
      </c>
      <c r="X1106" t="s">
        <v>4081</v>
      </c>
      <c r="Y1106" t="s">
        <v>4082</v>
      </c>
      <c r="Z1106">
        <v>288.24580279999998</v>
      </c>
    </row>
    <row r="1107" spans="1:26">
      <c r="A1107">
        <v>1106</v>
      </c>
      <c r="B1107" s="2" t="s">
        <v>4083</v>
      </c>
      <c r="C1107" t="s">
        <v>54</v>
      </c>
      <c r="D1107" s="1" t="b">
        <v>1</v>
      </c>
      <c r="G1107">
        <v>34</v>
      </c>
      <c r="O1107" t="s">
        <v>29</v>
      </c>
      <c r="Q1107" t="s">
        <v>3134</v>
      </c>
      <c r="X1107" t="s">
        <v>4084</v>
      </c>
      <c r="Y1107" t="s">
        <v>4085</v>
      </c>
      <c r="Z1107">
        <v>233.19102760000001</v>
      </c>
    </row>
    <row r="1108" spans="1:26">
      <c r="A1108">
        <v>1107</v>
      </c>
      <c r="B1108" s="2" t="s">
        <v>4086</v>
      </c>
      <c r="C1108" t="s">
        <v>54</v>
      </c>
      <c r="D1108" s="1" t="b">
        <v>1</v>
      </c>
      <c r="E1108" s="3">
        <v>1.66E-3</v>
      </c>
      <c r="F1108" s="2">
        <v>2.779891911959945</v>
      </c>
      <c r="G1108">
        <v>26.1</v>
      </c>
      <c r="H1108">
        <v>2.4099999999999998E-6</v>
      </c>
      <c r="I1108">
        <v>0.69</v>
      </c>
      <c r="J1108">
        <v>45.9</v>
      </c>
      <c r="K1108">
        <v>3.65</v>
      </c>
      <c r="L1108">
        <v>2.24E-4</v>
      </c>
      <c r="M1108">
        <v>25</v>
      </c>
      <c r="N1108" t="s">
        <v>3934</v>
      </c>
      <c r="O1108" t="s">
        <v>29</v>
      </c>
      <c r="Q1108" t="s">
        <v>3934</v>
      </c>
      <c r="S1108" t="s">
        <v>3934</v>
      </c>
      <c r="T1108" t="s">
        <v>3934</v>
      </c>
      <c r="W1108" t="s">
        <v>4087</v>
      </c>
      <c r="X1108" t="s">
        <v>4088</v>
      </c>
      <c r="Y1108" t="s">
        <v>4089</v>
      </c>
      <c r="Z1108">
        <v>321.16672670000003</v>
      </c>
    </row>
    <row r="1109" spans="1:26">
      <c r="A1109">
        <v>1108</v>
      </c>
      <c r="B1109" s="2" t="s">
        <v>4090</v>
      </c>
      <c r="C1109" t="s">
        <v>54</v>
      </c>
      <c r="D1109" s="1" t="b">
        <v>1</v>
      </c>
      <c r="E1109" s="3">
        <v>2.0300000000000001E-3</v>
      </c>
      <c r="F1109" s="2">
        <v>2.692503962086787</v>
      </c>
      <c r="G1109">
        <v>26.4</v>
      </c>
      <c r="H1109">
        <v>2.4399999999999999E-6</v>
      </c>
      <c r="I1109">
        <v>0.68</v>
      </c>
      <c r="J1109">
        <v>45.6</v>
      </c>
      <c r="K1109">
        <v>3.52</v>
      </c>
      <c r="L1109">
        <v>3.0200000000000002E-4</v>
      </c>
      <c r="M1109">
        <v>25</v>
      </c>
      <c r="N1109" t="s">
        <v>3934</v>
      </c>
      <c r="O1109" t="s">
        <v>29</v>
      </c>
      <c r="Q1109" t="s">
        <v>3934</v>
      </c>
      <c r="S1109" t="s">
        <v>3934</v>
      </c>
      <c r="T1109" t="s">
        <v>3934</v>
      </c>
      <c r="W1109" t="s">
        <v>4091</v>
      </c>
      <c r="X1109" t="s">
        <v>4092</v>
      </c>
      <c r="Y1109" t="s">
        <v>4093</v>
      </c>
      <c r="Z1109">
        <v>277.21724230000001</v>
      </c>
    </row>
    <row r="1110" spans="1:26">
      <c r="A1110">
        <v>1109</v>
      </c>
      <c r="B1110" t="s">
        <v>4094</v>
      </c>
      <c r="C1110" t="s">
        <v>54</v>
      </c>
      <c r="D1110" s="1" t="b">
        <v>1</v>
      </c>
      <c r="E1110">
        <v>3.5999999999999997E-2</v>
      </c>
      <c r="F1110">
        <v>1.443697499</v>
      </c>
      <c r="G1110" s="2">
        <v>40</v>
      </c>
      <c r="H1110" s="3">
        <v>2.4899999999999999E-6</v>
      </c>
      <c r="I1110" s="2">
        <f>67/100</f>
        <v>0.67</v>
      </c>
      <c r="J1110" s="2">
        <v>32</v>
      </c>
      <c r="K1110" s="2">
        <v>2.31</v>
      </c>
      <c r="L1110" s="2">
        <f>10^(-K1110)</f>
        <v>4.8977881936844566E-3</v>
      </c>
      <c r="M1110">
        <v>25</v>
      </c>
      <c r="N1110" t="s">
        <v>135</v>
      </c>
      <c r="O1110" t="s">
        <v>29</v>
      </c>
      <c r="Q1110" s="2" t="s">
        <v>4010</v>
      </c>
      <c r="R1110" s="2" t="s">
        <v>4010</v>
      </c>
      <c r="S1110" s="2" t="s">
        <v>4010</v>
      </c>
      <c r="T1110" s="2" t="s">
        <v>4010</v>
      </c>
      <c r="U1110" s="2" t="s">
        <v>4010</v>
      </c>
      <c r="V1110" s="2" t="s">
        <v>31</v>
      </c>
      <c r="W1110" t="s">
        <v>4095</v>
      </c>
      <c r="X1110" t="s">
        <v>4096</v>
      </c>
      <c r="Y1110" t="s">
        <v>4097</v>
      </c>
      <c r="Z1110">
        <v>309.2434571</v>
      </c>
    </row>
    <row r="1111" spans="1:26" hidden="1">
      <c r="A1111">
        <v>1110</v>
      </c>
      <c r="B1111" t="s">
        <v>4098</v>
      </c>
      <c r="C1111" t="s">
        <v>54</v>
      </c>
      <c r="D1111" s="1" t="b">
        <v>0</v>
      </c>
      <c r="E1111">
        <v>4.4999999999999998E-2</v>
      </c>
      <c r="F1111">
        <v>1.346787486</v>
      </c>
      <c r="G1111">
        <v>40.799999999999997</v>
      </c>
      <c r="H1111">
        <v>1.9300000000000002E-6</v>
      </c>
      <c r="I1111">
        <v>0.86</v>
      </c>
      <c r="J1111">
        <v>31</v>
      </c>
      <c r="K1111">
        <v>2.2400000000000002</v>
      </c>
      <c r="L1111">
        <v>5.77E-3</v>
      </c>
      <c r="M1111">
        <v>25</v>
      </c>
      <c r="N1111" t="s">
        <v>89</v>
      </c>
      <c r="O1111" t="s">
        <v>29</v>
      </c>
      <c r="P1111" t="s">
        <v>103</v>
      </c>
      <c r="Q1111" t="s">
        <v>578</v>
      </c>
      <c r="R1111" t="s">
        <v>137</v>
      </c>
      <c r="S1111" t="s">
        <v>137</v>
      </c>
      <c r="W1111" t="s">
        <v>4099</v>
      </c>
      <c r="X1111" t="s">
        <v>4100</v>
      </c>
      <c r="Y1111" t="s">
        <v>4101</v>
      </c>
      <c r="Z1111">
        <v>265.21724230000001</v>
      </c>
    </row>
    <row r="1112" spans="1:26" hidden="1">
      <c r="A1112">
        <v>1111</v>
      </c>
      <c r="B1112" t="s">
        <v>4102</v>
      </c>
      <c r="C1112" t="s">
        <v>28</v>
      </c>
      <c r="D1112" s="1" t="b">
        <v>0</v>
      </c>
      <c r="E1112">
        <v>2.6999999999999999E-5</v>
      </c>
      <c r="F1112">
        <v>4.5686362359999997</v>
      </c>
      <c r="G1112">
        <v>44.5</v>
      </c>
      <c r="H1112">
        <v>1.9E-6</v>
      </c>
      <c r="I1112">
        <v>0.72</v>
      </c>
      <c r="J1112">
        <v>27.5</v>
      </c>
      <c r="K1112">
        <v>4.8099999999999996</v>
      </c>
      <c r="L1112">
        <v>1.5500000000000001E-5</v>
      </c>
      <c r="M1112">
        <v>25</v>
      </c>
      <c r="N1112" t="s">
        <v>2992</v>
      </c>
      <c r="O1112" t="s">
        <v>29</v>
      </c>
      <c r="Q1112" t="s">
        <v>2992</v>
      </c>
      <c r="R1112" t="s">
        <v>2992</v>
      </c>
      <c r="T1112" t="s">
        <v>2992</v>
      </c>
      <c r="U1112" t="s">
        <v>2992</v>
      </c>
      <c r="W1112" t="s">
        <v>4103</v>
      </c>
      <c r="X1112" t="s">
        <v>4104</v>
      </c>
      <c r="Y1112" t="s">
        <v>4105</v>
      </c>
      <c r="Z1112">
        <v>822.40220169999998</v>
      </c>
    </row>
    <row r="1113" spans="1:26" hidden="1">
      <c r="A1113">
        <v>1112</v>
      </c>
      <c r="B1113" t="s">
        <v>4106</v>
      </c>
      <c r="C1113" t="s">
        <v>54</v>
      </c>
      <c r="D1113" s="1" t="b">
        <v>0</v>
      </c>
      <c r="E1113">
        <v>4.3E-3</v>
      </c>
      <c r="F1113">
        <v>2.3665315439999999</v>
      </c>
      <c r="G1113">
        <v>42.3</v>
      </c>
      <c r="H1113">
        <v>1.9599999999999999E-6</v>
      </c>
      <c r="I1113">
        <v>0.85</v>
      </c>
      <c r="J1113">
        <v>29.7</v>
      </c>
      <c r="K1113">
        <v>2.83</v>
      </c>
      <c r="L1113">
        <v>1.48E-3</v>
      </c>
      <c r="M1113">
        <v>25</v>
      </c>
      <c r="N1113" t="s">
        <v>4107</v>
      </c>
      <c r="O1113" t="s">
        <v>29</v>
      </c>
      <c r="Q1113" t="s">
        <v>4107</v>
      </c>
      <c r="R1113" t="s">
        <v>4107</v>
      </c>
      <c r="T1113" t="s">
        <v>4107</v>
      </c>
      <c r="U1113" t="s">
        <v>4107</v>
      </c>
      <c r="V1113" t="s">
        <v>4107</v>
      </c>
      <c r="W1113" t="s">
        <v>4108</v>
      </c>
      <c r="X1113" t="s">
        <v>4109</v>
      </c>
      <c r="Y1113" t="s">
        <v>4110</v>
      </c>
      <c r="Z1113">
        <v>391.18746220000003</v>
      </c>
    </row>
    <row r="1114" spans="1:26" hidden="1">
      <c r="A1114">
        <v>1113</v>
      </c>
      <c r="B1114" t="s">
        <v>4111</v>
      </c>
      <c r="C1114" t="s">
        <v>54</v>
      </c>
      <c r="D1114" s="1" t="b">
        <v>0</v>
      </c>
      <c r="E1114">
        <v>7.7600000000000004E-3</v>
      </c>
      <c r="F1114">
        <v>2.1101382790000001</v>
      </c>
      <c r="G1114">
        <v>47.2</v>
      </c>
      <c r="H1114">
        <v>1.7999999999999999E-6</v>
      </c>
      <c r="I1114">
        <v>0.92</v>
      </c>
      <c r="J1114">
        <v>24.8</v>
      </c>
      <c r="K1114">
        <v>3.52</v>
      </c>
      <c r="L1114">
        <v>3.0200000000000002E-4</v>
      </c>
      <c r="M1114">
        <v>25</v>
      </c>
      <c r="N1114" t="s">
        <v>4112</v>
      </c>
      <c r="O1114" t="s">
        <v>29</v>
      </c>
      <c r="Q1114" t="s">
        <v>4112</v>
      </c>
      <c r="R1114" t="s">
        <v>4112</v>
      </c>
      <c r="T1114" t="s">
        <v>4112</v>
      </c>
      <c r="V1114" t="s">
        <v>4112</v>
      </c>
      <c r="W1114" t="s">
        <v>4113</v>
      </c>
      <c r="X1114" t="s">
        <v>4114</v>
      </c>
      <c r="Y1114" t="s">
        <v>4115</v>
      </c>
      <c r="Z1114">
        <v>347.23797780000001</v>
      </c>
    </row>
    <row r="1115" spans="1:26" hidden="1">
      <c r="A1115">
        <v>1114</v>
      </c>
      <c r="B1115" t="s">
        <v>4116</v>
      </c>
      <c r="C1115" t="s">
        <v>54</v>
      </c>
      <c r="D1115" s="1" t="b">
        <v>0</v>
      </c>
      <c r="E1115">
        <v>8.8000000000000005E-3</v>
      </c>
      <c r="F1115">
        <v>2.0555173280000001</v>
      </c>
      <c r="G1115">
        <v>40.700000000000003</v>
      </c>
      <c r="H1115">
        <v>2.43E-6</v>
      </c>
      <c r="I1115">
        <v>0.68</v>
      </c>
      <c r="J1115">
        <v>31.3</v>
      </c>
      <c r="K1115">
        <v>2.5</v>
      </c>
      <c r="L1115">
        <v>3.1619999999999999E-3</v>
      </c>
      <c r="M1115">
        <v>25</v>
      </c>
      <c r="N1115" t="s">
        <v>4107</v>
      </c>
      <c r="O1115" t="s">
        <v>29</v>
      </c>
      <c r="Q1115" t="s">
        <v>4107</v>
      </c>
      <c r="R1115" t="s">
        <v>4107</v>
      </c>
      <c r="T1115" t="s">
        <v>4107</v>
      </c>
      <c r="U1115" t="s">
        <v>4107</v>
      </c>
      <c r="V1115" t="s">
        <v>4107</v>
      </c>
      <c r="W1115" t="s">
        <v>4117</v>
      </c>
      <c r="X1115" t="s">
        <v>4118</v>
      </c>
      <c r="Y1115" t="s">
        <v>4119</v>
      </c>
      <c r="Z1115">
        <v>341.17181210000001</v>
      </c>
    </row>
    <row r="1116" spans="1:26" hidden="1">
      <c r="A1116">
        <v>1115</v>
      </c>
      <c r="B1116" t="s">
        <v>4120</v>
      </c>
      <c r="C1116" t="s">
        <v>54</v>
      </c>
      <c r="D1116" s="1" t="b">
        <v>0</v>
      </c>
      <c r="E1116">
        <v>1.6199999999999999E-2</v>
      </c>
      <c r="F1116">
        <v>1.790484985</v>
      </c>
      <c r="G1116">
        <v>44.2</v>
      </c>
      <c r="H1116">
        <v>2.7E-6</v>
      </c>
      <c r="I1116">
        <v>0.62</v>
      </c>
      <c r="J1116">
        <v>27.77</v>
      </c>
      <c r="K1116">
        <v>2.09</v>
      </c>
      <c r="L1116">
        <v>8.1300000000000001E-3</v>
      </c>
      <c r="M1116">
        <v>25</v>
      </c>
      <c r="N1116" t="s">
        <v>4112</v>
      </c>
      <c r="R1116" t="s">
        <v>4112</v>
      </c>
      <c r="S1116" t="s">
        <v>31</v>
      </c>
      <c r="T1116" t="s">
        <v>4112</v>
      </c>
      <c r="V1116" t="s">
        <v>4112</v>
      </c>
      <c r="W1116" t="s">
        <v>4121</v>
      </c>
      <c r="X1116" t="s">
        <v>4122</v>
      </c>
      <c r="Y1116" t="s">
        <v>4123</v>
      </c>
      <c r="Z1116">
        <v>297.22232769999999</v>
      </c>
    </row>
    <row r="1117" spans="1:26" hidden="1">
      <c r="A1117">
        <v>1116</v>
      </c>
      <c r="B1117" t="s">
        <v>4124</v>
      </c>
      <c r="C1117" t="s">
        <v>28</v>
      </c>
      <c r="D1117" s="1" t="b">
        <v>0</v>
      </c>
      <c r="G1117">
        <v>28.7</v>
      </c>
      <c r="O1117" t="s">
        <v>29</v>
      </c>
      <c r="Q1117" t="s">
        <v>4125</v>
      </c>
      <c r="X1117" t="s">
        <v>4126</v>
      </c>
      <c r="Y1117" t="s">
        <v>4127</v>
      </c>
      <c r="Z1117">
        <v>679.30757310000001</v>
      </c>
    </row>
    <row r="1118" spans="1:26" hidden="1">
      <c r="A1118">
        <v>1117</v>
      </c>
      <c r="B1118" t="s">
        <v>4128</v>
      </c>
      <c r="C1118" t="s">
        <v>54</v>
      </c>
      <c r="D1118" s="1" t="b">
        <v>0</v>
      </c>
      <c r="E1118">
        <v>4.47E-3</v>
      </c>
      <c r="F1118">
        <v>2.3496924770000001</v>
      </c>
      <c r="G1118">
        <v>29.5</v>
      </c>
      <c r="H1118">
        <v>8.4200000000000007E-6</v>
      </c>
      <c r="I1118">
        <v>1.97</v>
      </c>
      <c r="J1118">
        <v>42.28</v>
      </c>
      <c r="K1118">
        <v>2.583725689</v>
      </c>
      <c r="L1118">
        <v>7.5492218999999999E-2</v>
      </c>
      <c r="M1118">
        <v>25</v>
      </c>
      <c r="N1118" t="s">
        <v>4129</v>
      </c>
      <c r="O1118" t="s">
        <v>29</v>
      </c>
      <c r="Q1118" t="s">
        <v>4129</v>
      </c>
      <c r="R1118" t="s">
        <v>4129</v>
      </c>
      <c r="S1118" t="s">
        <v>4129</v>
      </c>
      <c r="T1118" t="s">
        <v>4129</v>
      </c>
      <c r="U1118" t="s">
        <v>31</v>
      </c>
      <c r="V1118" t="s">
        <v>31</v>
      </c>
      <c r="W1118" t="s">
        <v>4130</v>
      </c>
      <c r="X1118" t="s">
        <v>4131</v>
      </c>
      <c r="Y1118" t="s">
        <v>4132</v>
      </c>
      <c r="Z1118">
        <v>357.16672670000003</v>
      </c>
    </row>
    <row r="1119" spans="1:26" hidden="1">
      <c r="A1119">
        <v>1118</v>
      </c>
      <c r="B1119" t="s">
        <v>4133</v>
      </c>
      <c r="C1119" t="s">
        <v>28</v>
      </c>
      <c r="D1119" s="1" t="b">
        <v>0</v>
      </c>
      <c r="E1119">
        <v>2.0900000000000001E-4</v>
      </c>
      <c r="F1119">
        <v>3.6798537140000001</v>
      </c>
      <c r="G1119">
        <v>30.1</v>
      </c>
      <c r="H1119">
        <v>8.5899999999999995E-7</v>
      </c>
      <c r="I1119">
        <v>1.93</v>
      </c>
      <c r="J1119">
        <v>42.2</v>
      </c>
      <c r="K1119">
        <v>6.25</v>
      </c>
      <c r="L1119">
        <v>5.6199999999999998E-7</v>
      </c>
      <c r="M1119">
        <v>25</v>
      </c>
      <c r="N1119" t="s">
        <v>1940</v>
      </c>
      <c r="O1119" t="s">
        <v>29</v>
      </c>
      <c r="Q1119" t="s">
        <v>1940</v>
      </c>
      <c r="R1119" t="s">
        <v>1940</v>
      </c>
      <c r="S1119" t="s">
        <v>1940</v>
      </c>
      <c r="T1119" t="s">
        <v>1940</v>
      </c>
      <c r="U1119" t="s">
        <v>1940</v>
      </c>
      <c r="W1119" t="s">
        <v>4134</v>
      </c>
      <c r="X1119" t="s">
        <v>4135</v>
      </c>
      <c r="Y1119" t="s">
        <v>4136</v>
      </c>
      <c r="Z1119">
        <v>1209.4954889999999</v>
      </c>
    </row>
    <row r="1120" spans="1:26" hidden="1">
      <c r="A1120">
        <v>1119</v>
      </c>
      <c r="B1120" t="s">
        <v>4137</v>
      </c>
      <c r="C1120" t="s">
        <v>28</v>
      </c>
      <c r="D1120" s="1" t="b">
        <v>0</v>
      </c>
      <c r="E1120">
        <v>1.6699999999999999E-4</v>
      </c>
      <c r="F1120">
        <v>3.777283529</v>
      </c>
      <c r="G1120">
        <v>30.7</v>
      </c>
      <c r="J1120">
        <v>41.3</v>
      </c>
      <c r="M1120">
        <v>25</v>
      </c>
      <c r="N1120" t="s">
        <v>2997</v>
      </c>
      <c r="O1120" t="s">
        <v>2997</v>
      </c>
      <c r="P1120" t="s">
        <v>2997</v>
      </c>
      <c r="U1120" t="s">
        <v>2997</v>
      </c>
      <c r="V1120" t="s">
        <v>2997</v>
      </c>
      <c r="X1120" t="s">
        <v>4138</v>
      </c>
      <c r="Y1120" t="s">
        <v>4139</v>
      </c>
      <c r="Z1120">
        <v>710.31338670000002</v>
      </c>
    </row>
    <row r="1121" spans="1:26" hidden="1">
      <c r="A1121">
        <v>1120</v>
      </c>
      <c r="B1121" t="s">
        <v>4140</v>
      </c>
      <c r="C1121" t="s">
        <v>54</v>
      </c>
      <c r="D1121" s="1" t="b">
        <v>0</v>
      </c>
      <c r="E1121">
        <v>1.14E-2</v>
      </c>
      <c r="F1121">
        <v>1.9430951489999999</v>
      </c>
      <c r="G1121">
        <v>38.9</v>
      </c>
      <c r="H1121">
        <v>3.3000000000000002E-6</v>
      </c>
      <c r="I1121">
        <v>0.5</v>
      </c>
      <c r="J1121">
        <v>32.9</v>
      </c>
      <c r="K1121">
        <v>2.46</v>
      </c>
      <c r="L1121">
        <v>3.4499999999999999E-3</v>
      </c>
      <c r="M1121">
        <v>25</v>
      </c>
      <c r="N1121" t="s">
        <v>89</v>
      </c>
      <c r="O1121" t="s">
        <v>29</v>
      </c>
      <c r="P1121" t="s">
        <v>103</v>
      </c>
      <c r="Q1121" t="s">
        <v>578</v>
      </c>
      <c r="R1121" t="s">
        <v>137</v>
      </c>
      <c r="S1121" t="s">
        <v>137</v>
      </c>
      <c r="W1121" t="s">
        <v>4141</v>
      </c>
      <c r="X1121" t="s">
        <v>4142</v>
      </c>
      <c r="Y1121" t="s">
        <v>4143</v>
      </c>
      <c r="Z1121">
        <v>327.15616210000002</v>
      </c>
    </row>
    <row r="1122" spans="1:26" hidden="1">
      <c r="A1122">
        <v>1121</v>
      </c>
      <c r="B1122" t="s">
        <v>4144</v>
      </c>
      <c r="C1122" t="s">
        <v>54</v>
      </c>
      <c r="D1122" s="1" t="b">
        <v>0</v>
      </c>
      <c r="E1122">
        <v>1.7000000000000001E-2</v>
      </c>
      <c r="F1122">
        <v>1.769551079</v>
      </c>
      <c r="G1122">
        <v>43.7</v>
      </c>
      <c r="H1122">
        <v>2.7E-6</v>
      </c>
      <c r="I1122">
        <v>0.62</v>
      </c>
      <c r="J1122">
        <v>28.3</v>
      </c>
      <c r="K1122">
        <v>2.0699999999999998</v>
      </c>
      <c r="L1122">
        <v>8.5000000000000006E-3</v>
      </c>
      <c r="M1122">
        <v>25</v>
      </c>
      <c r="N1122" t="s">
        <v>89</v>
      </c>
      <c r="P1122" t="s">
        <v>103</v>
      </c>
      <c r="R1122" t="s">
        <v>137</v>
      </c>
      <c r="S1122" t="s">
        <v>137</v>
      </c>
      <c r="V1122" t="s">
        <v>137</v>
      </c>
      <c r="W1122" t="s">
        <v>4145</v>
      </c>
      <c r="X1122" t="s">
        <v>4146</v>
      </c>
      <c r="Y1122" t="s">
        <v>4147</v>
      </c>
      <c r="Z1122">
        <v>283.20667759999998</v>
      </c>
    </row>
    <row r="1123" spans="1:26" hidden="1">
      <c r="A1123">
        <v>1122</v>
      </c>
      <c r="B1123" t="s">
        <v>4148</v>
      </c>
      <c r="C1123" t="s">
        <v>54</v>
      </c>
      <c r="D1123" s="1" t="b">
        <v>0</v>
      </c>
      <c r="E1123">
        <v>5.3E-3</v>
      </c>
      <c r="F1123">
        <v>2.27572413</v>
      </c>
      <c r="M1123">
        <v>25</v>
      </c>
      <c r="N1123" t="s">
        <v>89</v>
      </c>
      <c r="P1123" t="s">
        <v>103</v>
      </c>
      <c r="W1123" t="s">
        <v>4149</v>
      </c>
      <c r="X1123" t="s">
        <v>4150</v>
      </c>
      <c r="Y1123" t="s">
        <v>4151</v>
      </c>
      <c r="Z1123">
        <v>375.14229799999998</v>
      </c>
    </row>
    <row r="1124" spans="1:26" hidden="1">
      <c r="A1124">
        <v>1123</v>
      </c>
      <c r="B1124" t="s">
        <v>4152</v>
      </c>
      <c r="C1124" t="s">
        <v>28</v>
      </c>
      <c r="D1124" s="1" t="b">
        <v>0</v>
      </c>
      <c r="E1124">
        <v>7.4129999999999997E-4</v>
      </c>
      <c r="F1124">
        <v>3.1300059999999998</v>
      </c>
      <c r="M1124">
        <v>25</v>
      </c>
      <c r="N1124" t="s">
        <v>484</v>
      </c>
      <c r="P1124" t="s">
        <v>648</v>
      </c>
      <c r="W1124" t="s">
        <v>4153</v>
      </c>
      <c r="X1124" t="s">
        <v>4154</v>
      </c>
      <c r="Y1124" t="s">
        <v>4155</v>
      </c>
      <c r="Z1124">
        <v>852.60838049999995</v>
      </c>
    </row>
    <row r="1125" spans="1:26" hidden="1">
      <c r="A1125">
        <v>1124</v>
      </c>
      <c r="B1125" t="s">
        <v>4156</v>
      </c>
      <c r="C1125" t="s">
        <v>28</v>
      </c>
      <c r="D1125" s="1" t="b">
        <v>0</v>
      </c>
      <c r="E1125">
        <v>1.109E-3</v>
      </c>
      <c r="F1125">
        <v>2.9550684540000001</v>
      </c>
      <c r="M1125">
        <v>25</v>
      </c>
      <c r="N1125" t="s">
        <v>484</v>
      </c>
      <c r="P1125" t="s">
        <v>648</v>
      </c>
      <c r="W1125" t="s">
        <v>4157</v>
      </c>
      <c r="X1125" t="s">
        <v>4158</v>
      </c>
      <c r="Y1125" t="s">
        <v>4159</v>
      </c>
      <c r="Z1125">
        <v>676.52290570000002</v>
      </c>
    </row>
    <row r="1126" spans="1:26" hidden="1">
      <c r="A1126">
        <v>1125</v>
      </c>
      <c r="B1126" t="s">
        <v>4160</v>
      </c>
      <c r="C1126" t="s">
        <v>28</v>
      </c>
      <c r="D1126" s="1" t="b">
        <v>0</v>
      </c>
      <c r="E1126">
        <v>1.9319999999999999E-3</v>
      </c>
      <c r="F1126">
        <v>2.713992878</v>
      </c>
      <c r="M1126">
        <v>25</v>
      </c>
      <c r="N1126" t="s">
        <v>484</v>
      </c>
      <c r="P1126" t="s">
        <v>648</v>
      </c>
      <c r="W1126" t="s">
        <v>4161</v>
      </c>
      <c r="X1126" t="s">
        <v>4162</v>
      </c>
      <c r="Y1126" t="s">
        <v>4163</v>
      </c>
      <c r="Z1126">
        <v>740.48317999999995</v>
      </c>
    </row>
    <row r="1127" spans="1:26" hidden="1">
      <c r="A1127">
        <v>1126</v>
      </c>
      <c r="B1127" t="s">
        <v>4164</v>
      </c>
      <c r="C1127" t="s">
        <v>28</v>
      </c>
      <c r="D1127" s="1" t="b">
        <v>0</v>
      </c>
      <c r="E1127">
        <v>1.279E-3</v>
      </c>
      <c r="F1127">
        <v>2.893129456</v>
      </c>
      <c r="M1127">
        <v>25</v>
      </c>
      <c r="N1127" t="s">
        <v>484</v>
      </c>
      <c r="P1127" t="s">
        <v>2182</v>
      </c>
      <c r="W1127" t="s">
        <v>4165</v>
      </c>
      <c r="X1127" t="s">
        <v>4166</v>
      </c>
      <c r="Y1127" t="s">
        <v>4167</v>
      </c>
      <c r="Z1127">
        <v>620.4603055</v>
      </c>
    </row>
    <row r="1128" spans="1:26" hidden="1">
      <c r="A1128">
        <v>1127</v>
      </c>
      <c r="B1128" t="s">
        <v>4168</v>
      </c>
      <c r="C1128" t="s">
        <v>28</v>
      </c>
      <c r="D1128" s="1" t="b">
        <v>0</v>
      </c>
      <c r="E1128">
        <v>2.0890000000000001E-3</v>
      </c>
      <c r="F1128">
        <v>2.68006156</v>
      </c>
      <c r="M1128">
        <v>25</v>
      </c>
      <c r="N1128" t="s">
        <v>484</v>
      </c>
      <c r="P1128" t="s">
        <v>648</v>
      </c>
      <c r="W1128" t="s">
        <v>4169</v>
      </c>
      <c r="X1128" t="s">
        <v>4170</v>
      </c>
      <c r="Y1128" t="s">
        <v>4171</v>
      </c>
      <c r="Z1128">
        <v>726.46753000000001</v>
      </c>
    </row>
    <row r="1129" spans="1:26" hidden="1">
      <c r="A1129">
        <v>1128</v>
      </c>
      <c r="B1129" t="s">
        <v>4172</v>
      </c>
      <c r="C1129" t="s">
        <v>28</v>
      </c>
      <c r="D1129" s="1" t="b">
        <v>0</v>
      </c>
      <c r="E1129">
        <v>8.3750000000000003E-4</v>
      </c>
      <c r="F1129">
        <v>3.077015184</v>
      </c>
      <c r="M1129">
        <v>25</v>
      </c>
      <c r="N1129" t="s">
        <v>484</v>
      </c>
      <c r="W1129" t="s">
        <v>4173</v>
      </c>
      <c r="X1129" t="s">
        <v>4174</v>
      </c>
      <c r="Y1129" t="s">
        <v>4175</v>
      </c>
      <c r="Z1129">
        <v>694.34362420000002</v>
      </c>
    </row>
    <row r="1130" spans="1:26" hidden="1">
      <c r="A1130">
        <v>1129</v>
      </c>
      <c r="B1130" t="s">
        <v>4176</v>
      </c>
      <c r="C1130" t="s">
        <v>28</v>
      </c>
      <c r="D1130" s="1" t="b">
        <v>0</v>
      </c>
      <c r="E1130">
        <v>1.5100000000000001E-3</v>
      </c>
      <c r="F1130">
        <v>2.8210230529999998</v>
      </c>
      <c r="M1130">
        <v>25</v>
      </c>
      <c r="N1130" t="s">
        <v>484</v>
      </c>
      <c r="P1130" t="s">
        <v>648</v>
      </c>
      <c r="W1130" t="s">
        <v>4177</v>
      </c>
      <c r="X1130" t="s">
        <v>4178</v>
      </c>
      <c r="Y1130" t="s">
        <v>4179</v>
      </c>
      <c r="Z1130">
        <v>606.44465539999999</v>
      </c>
    </row>
    <row r="1131" spans="1:26" hidden="1">
      <c r="A1131">
        <v>1130</v>
      </c>
      <c r="B1131" t="s">
        <v>4180</v>
      </c>
      <c r="C1131" t="s">
        <v>28</v>
      </c>
      <c r="D1131" s="1" t="b">
        <v>0</v>
      </c>
      <c r="E1131">
        <v>2.0699999999999998E-3</v>
      </c>
      <c r="F1131">
        <v>2.6840296549999998</v>
      </c>
      <c r="M1131">
        <v>25</v>
      </c>
      <c r="N1131" t="s">
        <v>484</v>
      </c>
      <c r="P1131" t="s">
        <v>648</v>
      </c>
      <c r="X1131" t="s">
        <v>4181</v>
      </c>
      <c r="Y1131" t="s">
        <v>4182</v>
      </c>
      <c r="Z1131">
        <v>712.45187989999999</v>
      </c>
    </row>
    <row r="1132" spans="1:26" hidden="1">
      <c r="A1132">
        <v>1131</v>
      </c>
      <c r="B1132" t="s">
        <v>4183</v>
      </c>
      <c r="C1132" t="s">
        <v>54</v>
      </c>
      <c r="D1132" s="1" t="b">
        <v>0</v>
      </c>
      <c r="E1132">
        <v>4.7000000000000002E-3</v>
      </c>
      <c r="F1132">
        <v>2.3279021420000001</v>
      </c>
      <c r="G1132">
        <v>39.700000000000003</v>
      </c>
      <c r="H1132">
        <v>2.9399999999999998E-6</v>
      </c>
      <c r="I1132">
        <v>0.56000000000000005</v>
      </c>
      <c r="J1132">
        <v>32.299999999999997</v>
      </c>
      <c r="K1132">
        <v>2.72</v>
      </c>
      <c r="L1132">
        <v>1.905E-3</v>
      </c>
      <c r="M1132">
        <v>25</v>
      </c>
      <c r="N1132" t="s">
        <v>4107</v>
      </c>
      <c r="O1132" t="s">
        <v>29</v>
      </c>
      <c r="Q1132" t="s">
        <v>4107</v>
      </c>
      <c r="R1132" t="s">
        <v>4107</v>
      </c>
      <c r="T1132" t="s">
        <v>4107</v>
      </c>
      <c r="U1132" t="s">
        <v>4107</v>
      </c>
      <c r="V1132" t="s">
        <v>4107</v>
      </c>
      <c r="W1132" t="s">
        <v>4184</v>
      </c>
      <c r="X1132" t="s">
        <v>4185</v>
      </c>
      <c r="Y1132" t="s">
        <v>4186</v>
      </c>
      <c r="Z1132">
        <v>341.17181210000001</v>
      </c>
    </row>
    <row r="1133" spans="1:26" hidden="1">
      <c r="A1133">
        <v>1132</v>
      </c>
      <c r="B1133" t="s">
        <v>4187</v>
      </c>
      <c r="C1133" t="s">
        <v>54</v>
      </c>
      <c r="D1133" s="1" t="b">
        <v>0</v>
      </c>
      <c r="G1133">
        <v>39.200000000000003</v>
      </c>
      <c r="O1133" t="s">
        <v>29</v>
      </c>
      <c r="Q1133" t="s">
        <v>4107</v>
      </c>
      <c r="X1133" t="s">
        <v>4188</v>
      </c>
      <c r="Y1133" t="s">
        <v>4189</v>
      </c>
      <c r="Z1133">
        <v>489.20898549999998</v>
      </c>
    </row>
    <row r="1134" spans="1:26">
      <c r="A1134">
        <v>1133</v>
      </c>
      <c r="B1134" s="2" t="s">
        <v>4140</v>
      </c>
      <c r="C1134" t="s">
        <v>54</v>
      </c>
      <c r="D1134" s="1" t="b">
        <v>1</v>
      </c>
      <c r="E1134">
        <v>1.14E-2</v>
      </c>
      <c r="F1134">
        <v>1.9430951489999999</v>
      </c>
      <c r="G1134" s="2">
        <v>39.1</v>
      </c>
      <c r="H1134" s="3">
        <v>3.3000000000000002E-6</v>
      </c>
      <c r="I1134" s="2">
        <f>50/100</f>
        <v>0.5</v>
      </c>
      <c r="J1134" s="2">
        <v>32.9</v>
      </c>
      <c r="K1134" s="2">
        <f>-LOG10(L1134)</f>
        <v>2.3410351573355652</v>
      </c>
      <c r="L1134" s="2">
        <f>E1134/2.5</f>
        <v>4.5599999999999998E-3</v>
      </c>
      <c r="M1134">
        <v>25</v>
      </c>
      <c r="N1134" t="s">
        <v>135</v>
      </c>
      <c r="P1134" s="2" t="s">
        <v>4190</v>
      </c>
      <c r="R1134" s="2" t="s">
        <v>4190</v>
      </c>
      <c r="S1134" s="2" t="s">
        <v>4190</v>
      </c>
      <c r="T1134" s="2" t="s">
        <v>4190</v>
      </c>
      <c r="U1134" s="2" t="s">
        <v>4190</v>
      </c>
      <c r="V1134" s="2" t="s">
        <v>31</v>
      </c>
      <c r="W1134" t="s">
        <v>4191</v>
      </c>
      <c r="X1134" t="s">
        <v>4192</v>
      </c>
      <c r="Y1134" t="s">
        <v>4193</v>
      </c>
      <c r="Z1134">
        <v>327.15616210000002</v>
      </c>
    </row>
    <row r="1135" spans="1:26">
      <c r="A1135">
        <v>1134</v>
      </c>
      <c r="B1135" s="2" t="s">
        <v>4080</v>
      </c>
      <c r="C1135" t="s">
        <v>54</v>
      </c>
      <c r="D1135" s="1" t="b">
        <v>1</v>
      </c>
      <c r="E1135">
        <v>1.7000000000000001E-2</v>
      </c>
      <c r="F1135">
        <v>1.769551079</v>
      </c>
      <c r="G1135" s="2">
        <v>43.7</v>
      </c>
      <c r="H1135" s="3">
        <v>2.7E-6</v>
      </c>
      <c r="I1135" s="2">
        <f>62/100</f>
        <v>0.62</v>
      </c>
      <c r="J1135" s="2">
        <v>28.3</v>
      </c>
      <c r="K1135" s="2">
        <f>-LOG10(L1135)</f>
        <v>2.0705810742857071</v>
      </c>
      <c r="L1135" s="2">
        <f>E1135/2</f>
        <v>8.5000000000000006E-3</v>
      </c>
      <c r="M1135">
        <v>25</v>
      </c>
      <c r="N1135" t="s">
        <v>135</v>
      </c>
      <c r="P1135" s="2" t="s">
        <v>4190</v>
      </c>
      <c r="R1135" s="2" t="s">
        <v>4190</v>
      </c>
      <c r="S1135" s="2" t="s">
        <v>4190</v>
      </c>
      <c r="T1135" s="2" t="s">
        <v>4190</v>
      </c>
      <c r="U1135" s="2" t="s">
        <v>4190</v>
      </c>
      <c r="V1135" s="2" t="s">
        <v>31</v>
      </c>
      <c r="X1135" t="s">
        <v>4194</v>
      </c>
      <c r="Y1135" t="s">
        <v>4195</v>
      </c>
      <c r="Z1135">
        <v>283.20667759999998</v>
      </c>
    </row>
    <row r="1136" spans="1:26">
      <c r="A1136">
        <v>1135</v>
      </c>
      <c r="B1136" s="2" t="s">
        <v>4148</v>
      </c>
      <c r="C1136" t="s">
        <v>54</v>
      </c>
      <c r="D1136" s="1" t="b">
        <v>1</v>
      </c>
      <c r="E1136">
        <v>5.3E-3</v>
      </c>
      <c r="F1136">
        <v>2.27572413</v>
      </c>
      <c r="G1136" s="2"/>
      <c r="H1136" s="2"/>
      <c r="I1136" s="2"/>
      <c r="J1136" s="2"/>
      <c r="K1136" s="2"/>
      <c r="L1136" s="2"/>
      <c r="M1136">
        <v>25</v>
      </c>
      <c r="N1136" t="s">
        <v>135</v>
      </c>
      <c r="P1136" s="2" t="s">
        <v>2126</v>
      </c>
      <c r="X1136" t="s">
        <v>4196</v>
      </c>
      <c r="Y1136" t="s">
        <v>4197</v>
      </c>
      <c r="Z1136">
        <v>375.14229799999998</v>
      </c>
    </row>
    <row r="1137" spans="1:26" hidden="1">
      <c r="A1137">
        <v>1136</v>
      </c>
      <c r="B1137" t="s">
        <v>4198</v>
      </c>
      <c r="C1137" t="s">
        <v>134</v>
      </c>
      <c r="D1137" s="13" t="b">
        <v>0</v>
      </c>
      <c r="E1137">
        <v>6.2949999999999999E-5</v>
      </c>
      <c r="F1137">
        <v>4.201004266</v>
      </c>
      <c r="M1137">
        <v>25</v>
      </c>
      <c r="N1137" t="s">
        <v>179</v>
      </c>
      <c r="X1137" t="s">
        <v>4199</v>
      </c>
      <c r="Y1137" t="s">
        <v>4200</v>
      </c>
      <c r="Z1137">
        <v>511.2368386</v>
      </c>
    </row>
    <row r="1138" spans="1:26" hidden="1">
      <c r="A1138">
        <v>1137</v>
      </c>
      <c r="B1138" t="s">
        <v>4201</v>
      </c>
      <c r="C1138" t="s">
        <v>134</v>
      </c>
      <c r="D1138" s="13" t="b">
        <v>0</v>
      </c>
      <c r="E1138">
        <v>1.199E-3</v>
      </c>
      <c r="F1138">
        <v>2.9211808170000002</v>
      </c>
      <c r="M1138">
        <v>25</v>
      </c>
      <c r="N1138" t="s">
        <v>179</v>
      </c>
      <c r="P1138" t="s">
        <v>294</v>
      </c>
      <c r="W1138" t="s">
        <v>4202</v>
      </c>
      <c r="X1138" t="s">
        <v>4203</v>
      </c>
      <c r="Y1138" t="s">
        <v>4204</v>
      </c>
      <c r="Z1138">
        <v>348.17351009999999</v>
      </c>
    </row>
    <row r="1139" spans="1:26" hidden="1">
      <c r="A1139">
        <v>1138</v>
      </c>
      <c r="B1139" t="s">
        <v>4205</v>
      </c>
      <c r="C1139" t="s">
        <v>54</v>
      </c>
      <c r="D1139" s="1" t="b">
        <v>0</v>
      </c>
      <c r="E1139">
        <v>1.09E-2</v>
      </c>
      <c r="F1139">
        <v>1.9625735019999999</v>
      </c>
      <c r="G1139">
        <v>39.4</v>
      </c>
      <c r="H1139">
        <v>1.9099999999999999E-6</v>
      </c>
      <c r="I1139">
        <v>0.86799999999999999</v>
      </c>
      <c r="J1139">
        <v>33.6</v>
      </c>
      <c r="K1139">
        <v>2.67</v>
      </c>
      <c r="L1139">
        <v>6.9252225000000001E-2</v>
      </c>
      <c r="M1139">
        <v>25</v>
      </c>
      <c r="N1139" t="s">
        <v>4206</v>
      </c>
      <c r="O1139" t="s">
        <v>29</v>
      </c>
      <c r="Q1139" t="s">
        <v>4206</v>
      </c>
      <c r="R1139" t="s">
        <v>4206</v>
      </c>
      <c r="S1139" t="s">
        <v>4206</v>
      </c>
      <c r="T1139" t="s">
        <v>4206</v>
      </c>
      <c r="U1139" t="s">
        <v>4206</v>
      </c>
      <c r="V1139" t="s">
        <v>31</v>
      </c>
      <c r="W1139" t="s">
        <v>4207</v>
      </c>
      <c r="X1139" t="s">
        <v>4208</v>
      </c>
      <c r="Y1139" t="s">
        <v>4209</v>
      </c>
      <c r="Z1139">
        <v>330.16706110000001</v>
      </c>
    </row>
    <row r="1140" spans="1:26" hidden="1">
      <c r="A1140">
        <v>1139</v>
      </c>
      <c r="B1140" t="s">
        <v>4210</v>
      </c>
      <c r="C1140" t="s">
        <v>54</v>
      </c>
      <c r="D1140" s="1" t="b">
        <v>0</v>
      </c>
      <c r="G1140">
        <v>38.700000000000003</v>
      </c>
      <c r="O1140" t="s">
        <v>29</v>
      </c>
      <c r="Q1140" t="s">
        <v>2477</v>
      </c>
      <c r="X1140" t="s">
        <v>4211</v>
      </c>
      <c r="Y1140" t="s">
        <v>4212</v>
      </c>
      <c r="Z1140">
        <v>286.2175767</v>
      </c>
    </row>
    <row r="1141" spans="1:26" hidden="1">
      <c r="A1141">
        <v>1140</v>
      </c>
      <c r="B1141" t="s">
        <v>4213</v>
      </c>
      <c r="C1141" t="s">
        <v>28</v>
      </c>
      <c r="D1141" s="1" t="b">
        <v>0</v>
      </c>
      <c r="E1141">
        <v>7.7979999999999998E-4</v>
      </c>
      <c r="F1141">
        <v>3.1080167689999998</v>
      </c>
      <c r="M1141">
        <v>25</v>
      </c>
      <c r="N1141" t="s">
        <v>484</v>
      </c>
      <c r="P1141" t="s">
        <v>648</v>
      </c>
      <c r="X1141" t="s">
        <v>4214</v>
      </c>
      <c r="Y1141" t="s">
        <v>4215</v>
      </c>
      <c r="Z1141">
        <v>600.43006800000001</v>
      </c>
    </row>
    <row r="1142" spans="1:26" hidden="1">
      <c r="A1142">
        <v>1141</v>
      </c>
      <c r="B1142" t="s">
        <v>4216</v>
      </c>
      <c r="C1142" t="s">
        <v>28</v>
      </c>
      <c r="D1142" s="1" t="b">
        <v>0</v>
      </c>
      <c r="E1142">
        <v>7.3959999999999998E-4</v>
      </c>
      <c r="F1142">
        <v>3.1310030979999999</v>
      </c>
      <c r="M1142">
        <v>25</v>
      </c>
      <c r="N1142" t="s">
        <v>484</v>
      </c>
      <c r="W1142" t="s">
        <v>4217</v>
      </c>
      <c r="X1142" t="s">
        <v>4218</v>
      </c>
      <c r="Y1142" t="s">
        <v>4219</v>
      </c>
      <c r="Z1142">
        <v>714.38107239999999</v>
      </c>
    </row>
    <row r="1143" spans="1:26" hidden="1">
      <c r="A1143">
        <v>1142</v>
      </c>
      <c r="B1143" t="s">
        <v>4220</v>
      </c>
      <c r="C1143" t="s">
        <v>28</v>
      </c>
      <c r="D1143" s="1" t="b">
        <v>0</v>
      </c>
      <c r="E1143">
        <v>7.2950000000000001E-4</v>
      </c>
      <c r="F1143">
        <v>3.136974704</v>
      </c>
      <c r="M1143">
        <v>25</v>
      </c>
      <c r="N1143" t="s">
        <v>484</v>
      </c>
      <c r="W1143" t="s">
        <v>4221</v>
      </c>
      <c r="X1143" t="s">
        <v>4222</v>
      </c>
      <c r="Y1143" t="s">
        <v>4223</v>
      </c>
      <c r="Z1143">
        <v>686.34977219999996</v>
      </c>
    </row>
    <row r="1144" spans="1:26" hidden="1">
      <c r="A1144">
        <v>1143</v>
      </c>
      <c r="B1144" t="s">
        <v>4224</v>
      </c>
      <c r="C1144" t="s">
        <v>28</v>
      </c>
      <c r="D1144" s="1" t="b">
        <v>0</v>
      </c>
      <c r="E1144">
        <v>5.2970000000000003E-4</v>
      </c>
      <c r="F1144">
        <v>3.2759700270000001</v>
      </c>
      <c r="M1144">
        <v>25</v>
      </c>
      <c r="N1144" t="s">
        <v>484</v>
      </c>
      <c r="X1144" t="s">
        <v>4225</v>
      </c>
      <c r="Y1144" t="s">
        <v>4226</v>
      </c>
      <c r="Z1144">
        <v>672.33412220000002</v>
      </c>
    </row>
    <row r="1145" spans="1:26" hidden="1">
      <c r="A1145">
        <v>1144</v>
      </c>
      <c r="B1145" t="s">
        <v>4227</v>
      </c>
      <c r="C1145" t="s">
        <v>28</v>
      </c>
      <c r="D1145" s="1" t="b">
        <v>0</v>
      </c>
      <c r="E1145">
        <v>6.3969999999999999E-4</v>
      </c>
      <c r="F1145">
        <v>3.194023649</v>
      </c>
      <c r="M1145">
        <v>25</v>
      </c>
      <c r="N1145" t="s">
        <v>484</v>
      </c>
      <c r="W1145" t="s">
        <v>4228</v>
      </c>
      <c r="X1145" t="s">
        <v>4229</v>
      </c>
      <c r="Y1145" t="s">
        <v>4230</v>
      </c>
      <c r="Z1145">
        <v>658.31847210000001</v>
      </c>
    </row>
    <row r="1146" spans="1:26" hidden="1">
      <c r="A1146">
        <v>1145</v>
      </c>
      <c r="B1146" t="s">
        <v>4231</v>
      </c>
      <c r="C1146" t="s">
        <v>28</v>
      </c>
      <c r="D1146" s="1" t="b">
        <v>0</v>
      </c>
      <c r="E1146">
        <v>5.1286099999999998E-4</v>
      </c>
      <c r="F1146">
        <v>3.29</v>
      </c>
      <c r="G1146">
        <v>30.3</v>
      </c>
      <c r="H1146">
        <v>2.03E-6</v>
      </c>
      <c r="I1146">
        <v>0.89</v>
      </c>
      <c r="J1146">
        <v>41.7</v>
      </c>
      <c r="K1146">
        <v>3.9141363899999999</v>
      </c>
      <c r="L1146">
        <v>1.9957776999999999E-2</v>
      </c>
      <c r="M1146">
        <v>25</v>
      </c>
      <c r="N1146" t="s">
        <v>2484</v>
      </c>
      <c r="O1146" t="s">
        <v>2484</v>
      </c>
      <c r="P1146" t="s">
        <v>2484</v>
      </c>
      <c r="R1146" t="s">
        <v>2484</v>
      </c>
      <c r="S1146" t="s">
        <v>2484</v>
      </c>
      <c r="T1146" t="s">
        <v>2484</v>
      </c>
      <c r="U1146" t="s">
        <v>31</v>
      </c>
      <c r="V1146" t="s">
        <v>31</v>
      </c>
      <c r="X1146" t="s">
        <v>4232</v>
      </c>
      <c r="Y1146" t="s">
        <v>4233</v>
      </c>
      <c r="Z1146">
        <v>686.50323289999994</v>
      </c>
    </row>
    <row r="1147" spans="1:26" hidden="1">
      <c r="A1147">
        <v>1146</v>
      </c>
      <c r="B1147" t="s">
        <v>4234</v>
      </c>
      <c r="C1147" t="s">
        <v>28</v>
      </c>
      <c r="D1147" s="1" t="b">
        <v>0</v>
      </c>
      <c r="E1147">
        <v>5.6234099999999995E-4</v>
      </c>
      <c r="F1147">
        <v>3.25</v>
      </c>
      <c r="G1147">
        <v>38.1</v>
      </c>
      <c r="H1147">
        <v>2.2400000000000002E-6</v>
      </c>
      <c r="I1147">
        <v>0.8</v>
      </c>
      <c r="J1147">
        <v>33.9</v>
      </c>
      <c r="K1147">
        <v>3.6123118930000002</v>
      </c>
      <c r="L1147">
        <v>2.6989378000000001E-2</v>
      </c>
      <c r="M1147">
        <v>25</v>
      </c>
      <c r="N1147" t="s">
        <v>2484</v>
      </c>
      <c r="O1147" t="s">
        <v>2484</v>
      </c>
      <c r="P1147" t="s">
        <v>2484</v>
      </c>
      <c r="R1147" t="s">
        <v>2484</v>
      </c>
      <c r="S1147" t="s">
        <v>2484</v>
      </c>
      <c r="T1147" t="s">
        <v>2484</v>
      </c>
      <c r="U1147" t="s">
        <v>31</v>
      </c>
      <c r="V1147" t="s">
        <v>31</v>
      </c>
      <c r="X1147" t="s">
        <v>4235</v>
      </c>
      <c r="Y1147" t="s">
        <v>4236</v>
      </c>
      <c r="Z1147">
        <v>672.48758280000004</v>
      </c>
    </row>
    <row r="1148" spans="1:26" hidden="1">
      <c r="A1148">
        <v>1147</v>
      </c>
      <c r="B1148" t="s">
        <v>4237</v>
      </c>
      <c r="C1148" t="s">
        <v>28</v>
      </c>
      <c r="D1148" s="1" t="b">
        <v>0</v>
      </c>
      <c r="E1148">
        <v>6.0256000000000003E-4</v>
      </c>
      <c r="F1148">
        <v>3.22</v>
      </c>
      <c r="G1148">
        <v>39.200000000000003</v>
      </c>
      <c r="H1148">
        <v>2.2699999999999999E-6</v>
      </c>
      <c r="I1148">
        <v>0.78</v>
      </c>
      <c r="J1148">
        <v>32.799999999999997</v>
      </c>
      <c r="K1148">
        <v>3.5492303930000002</v>
      </c>
      <c r="L1148">
        <v>2.8746754999999999E-2</v>
      </c>
      <c r="M1148">
        <v>25</v>
      </c>
      <c r="N1148" t="s">
        <v>2484</v>
      </c>
      <c r="O1148" t="s">
        <v>2484</v>
      </c>
      <c r="P1148" t="s">
        <v>2484</v>
      </c>
      <c r="R1148" t="s">
        <v>2484</v>
      </c>
      <c r="S1148" t="s">
        <v>2484</v>
      </c>
      <c r="T1148" t="s">
        <v>2484</v>
      </c>
      <c r="U1148" t="s">
        <v>31</v>
      </c>
      <c r="V1148" t="s">
        <v>31</v>
      </c>
      <c r="W1148" t="s">
        <v>4238</v>
      </c>
      <c r="X1148" t="s">
        <v>4239</v>
      </c>
      <c r="Y1148" t="s">
        <v>4240</v>
      </c>
      <c r="Z1148">
        <v>658.47193279999999</v>
      </c>
    </row>
    <row r="1149" spans="1:26" hidden="1">
      <c r="A1149">
        <v>1148</v>
      </c>
      <c r="B1149" t="s">
        <v>4241</v>
      </c>
      <c r="C1149" t="s">
        <v>28</v>
      </c>
      <c r="D1149" s="1" t="b">
        <v>0</v>
      </c>
      <c r="E1149">
        <v>6.6069299999999996E-4</v>
      </c>
      <c r="F1149">
        <v>3.18</v>
      </c>
      <c r="G1149">
        <v>40.299999999999997</v>
      </c>
      <c r="H1149">
        <v>2.3E-6</v>
      </c>
      <c r="I1149">
        <v>0.76</v>
      </c>
      <c r="J1149">
        <v>31.7</v>
      </c>
      <c r="K1149">
        <v>3.4770118889999999</v>
      </c>
      <c r="L1149">
        <v>3.0899605E-2</v>
      </c>
      <c r="M1149">
        <v>25</v>
      </c>
      <c r="N1149" t="s">
        <v>2484</v>
      </c>
      <c r="O1149" t="s">
        <v>2484</v>
      </c>
      <c r="P1149" t="s">
        <v>2484</v>
      </c>
      <c r="R1149" t="s">
        <v>2484</v>
      </c>
      <c r="S1149" t="s">
        <v>2484</v>
      </c>
      <c r="T1149" t="s">
        <v>2484</v>
      </c>
      <c r="U1149" t="s">
        <v>31</v>
      </c>
      <c r="V1149" t="s">
        <v>31</v>
      </c>
      <c r="X1149" t="s">
        <v>4242</v>
      </c>
      <c r="Y1149" t="s">
        <v>4243</v>
      </c>
      <c r="Z1149">
        <v>644.45628269999997</v>
      </c>
    </row>
    <row r="1150" spans="1:26" hidden="1">
      <c r="A1150">
        <v>1149</v>
      </c>
      <c r="B1150" t="s">
        <v>4244</v>
      </c>
      <c r="C1150" t="s">
        <v>28</v>
      </c>
      <c r="D1150" s="1" t="b">
        <v>0</v>
      </c>
      <c r="E1150">
        <v>7.0794599999999999E-4</v>
      </c>
      <c r="F1150">
        <v>3.15</v>
      </c>
      <c r="G1150">
        <v>41.4</v>
      </c>
      <c r="H1150">
        <v>2.3300000000000001E-6</v>
      </c>
      <c r="I1150">
        <v>0.74</v>
      </c>
      <c r="J1150">
        <v>30.6</v>
      </c>
      <c r="K1150">
        <v>3.4156230459999999</v>
      </c>
      <c r="L1150">
        <v>3.2855929999999998E-2</v>
      </c>
      <c r="M1150">
        <v>25</v>
      </c>
      <c r="N1150" t="s">
        <v>2484</v>
      </c>
      <c r="O1150" t="s">
        <v>2484</v>
      </c>
      <c r="P1150" t="s">
        <v>2484</v>
      </c>
      <c r="R1150" t="s">
        <v>2484</v>
      </c>
      <c r="S1150" t="s">
        <v>2484</v>
      </c>
      <c r="T1150" t="s">
        <v>2484</v>
      </c>
      <c r="U1150" t="s">
        <v>31</v>
      </c>
      <c r="V1150" t="s">
        <v>31</v>
      </c>
      <c r="X1150" t="s">
        <v>4245</v>
      </c>
      <c r="Y1150" t="s">
        <v>4246</v>
      </c>
      <c r="Z1150">
        <v>630.44063259999996</v>
      </c>
    </row>
    <row r="1151" spans="1:26">
      <c r="A1151">
        <v>1150</v>
      </c>
      <c r="B1151" s="2" t="s">
        <v>4247</v>
      </c>
      <c r="C1151" t="s">
        <v>83</v>
      </c>
      <c r="D1151" s="1" t="b">
        <v>1</v>
      </c>
      <c r="E1151">
        <v>2.9990000000000003E-4</v>
      </c>
      <c r="F1151">
        <v>3.523023534</v>
      </c>
      <c r="M1151">
        <v>25</v>
      </c>
      <c r="N1151" t="s">
        <v>207</v>
      </c>
      <c r="X1151" t="s">
        <v>4248</v>
      </c>
      <c r="Y1151" t="s">
        <v>4249</v>
      </c>
      <c r="Z1151">
        <v>303.21714909999997</v>
      </c>
    </row>
    <row r="1152" spans="1:26">
      <c r="A1152">
        <v>1151</v>
      </c>
      <c r="B1152" s="2" t="s">
        <v>4250</v>
      </c>
      <c r="C1152" t="s">
        <v>134</v>
      </c>
      <c r="D1152" s="1" t="b">
        <v>1</v>
      </c>
      <c r="E1152">
        <v>2.8999999999999998E-3</v>
      </c>
      <c r="F1152">
        <v>2.5376020019999999</v>
      </c>
      <c r="G1152" s="2">
        <v>41.4</v>
      </c>
      <c r="H1152" s="3">
        <v>2.6000000000000001E-6</v>
      </c>
      <c r="I1152" s="2">
        <v>0.63</v>
      </c>
      <c r="J1152" s="2">
        <v>30.6</v>
      </c>
      <c r="K1152" s="2">
        <v>2.92</v>
      </c>
      <c r="L1152" s="2">
        <f>10^(-K1152)</f>
        <v>1.2022644346174124E-3</v>
      </c>
      <c r="M1152">
        <v>25</v>
      </c>
      <c r="N1152" t="s">
        <v>135</v>
      </c>
      <c r="P1152" s="2" t="s">
        <v>4251</v>
      </c>
      <c r="Q1152" s="2" t="s">
        <v>4251</v>
      </c>
      <c r="R1152" s="2" t="s">
        <v>4251</v>
      </c>
      <c r="S1152" s="2" t="s">
        <v>4251</v>
      </c>
      <c r="T1152" s="2" t="s">
        <v>4251</v>
      </c>
      <c r="U1152" s="2" t="s">
        <v>4251</v>
      </c>
      <c r="V1152" s="2" t="s">
        <v>31</v>
      </c>
      <c r="X1152" t="s">
        <v>4252</v>
      </c>
      <c r="Y1152" t="s">
        <v>4253</v>
      </c>
      <c r="Z1152">
        <v>346.17898939999998</v>
      </c>
    </row>
    <row r="1153" spans="1:26">
      <c r="A1153">
        <v>1152</v>
      </c>
      <c r="B1153" s="2" t="s">
        <v>4254</v>
      </c>
      <c r="C1153" t="s">
        <v>134</v>
      </c>
      <c r="D1153" s="1" t="b">
        <v>1</v>
      </c>
      <c r="E1153">
        <v>3.8999999999999998E-3</v>
      </c>
      <c r="F1153">
        <v>2.4089353930000001</v>
      </c>
      <c r="G1153" s="2">
        <v>39.200000000000003</v>
      </c>
      <c r="H1153" s="2">
        <v>2.9000000000000002E-6</v>
      </c>
      <c r="I1153" s="2">
        <v>0.56999999999999995</v>
      </c>
      <c r="J1153" s="2">
        <v>32.799999999999997</v>
      </c>
      <c r="K1153" s="2">
        <v>2.2000000000000002</v>
      </c>
      <c r="L1153" s="2">
        <v>6.28E-3</v>
      </c>
      <c r="M1153">
        <v>25</v>
      </c>
      <c r="N1153" t="s">
        <v>135</v>
      </c>
      <c r="P1153" s="2" t="s">
        <v>4251</v>
      </c>
      <c r="Q1153" s="2" t="s">
        <v>4251</v>
      </c>
      <c r="R1153" s="2" t="s">
        <v>4251</v>
      </c>
      <c r="S1153" s="2" t="s">
        <v>4251</v>
      </c>
      <c r="T1153" s="2" t="s">
        <v>4251</v>
      </c>
      <c r="U1153" s="2" t="s">
        <v>4251</v>
      </c>
      <c r="V1153" s="2" t="s">
        <v>31</v>
      </c>
      <c r="X1153" t="s">
        <v>4255</v>
      </c>
      <c r="Y1153" t="s">
        <v>4256</v>
      </c>
      <c r="Z1153">
        <v>302.15277459999999</v>
      </c>
    </row>
    <row r="1154" spans="1:26" hidden="1">
      <c r="A1154">
        <v>1153</v>
      </c>
      <c r="B1154" t="s">
        <v>4257</v>
      </c>
      <c r="C1154" t="s">
        <v>83</v>
      </c>
      <c r="D1154" s="1" t="b">
        <v>0</v>
      </c>
      <c r="E1154">
        <v>2.9990000000000003E-4</v>
      </c>
      <c r="F1154">
        <v>3.523023534</v>
      </c>
      <c r="M1154">
        <v>25</v>
      </c>
      <c r="N1154" t="s">
        <v>207</v>
      </c>
      <c r="X1154" t="s">
        <v>4258</v>
      </c>
      <c r="Y1154" t="s">
        <v>4259</v>
      </c>
      <c r="Z1154">
        <v>524.39243339999996</v>
      </c>
    </row>
    <row r="1155" spans="1:26" hidden="1">
      <c r="A1155">
        <v>1154</v>
      </c>
      <c r="B1155" t="s">
        <v>4260</v>
      </c>
      <c r="C1155" t="s">
        <v>134</v>
      </c>
      <c r="D1155" s="13" t="b">
        <v>0</v>
      </c>
      <c r="E1155">
        <v>1.6480000000000002E-2</v>
      </c>
      <c r="F1155">
        <v>1.7830427929999999</v>
      </c>
      <c r="M1155">
        <v>25</v>
      </c>
      <c r="N1155" t="s">
        <v>179</v>
      </c>
      <c r="P1155" t="s">
        <v>180</v>
      </c>
      <c r="W1155" t="s">
        <v>4261</v>
      </c>
      <c r="X1155" t="s">
        <v>4262</v>
      </c>
      <c r="Y1155" t="s">
        <v>4263</v>
      </c>
      <c r="Z1155">
        <v>274.12147449999998</v>
      </c>
    </row>
    <row r="1156" spans="1:26" hidden="1">
      <c r="A1156">
        <v>1155</v>
      </c>
      <c r="B1156" t="s">
        <v>4264</v>
      </c>
      <c r="C1156" t="s">
        <v>28</v>
      </c>
      <c r="D1156" s="1" t="b">
        <v>0</v>
      </c>
      <c r="E1156">
        <v>1E-3</v>
      </c>
      <c r="F1156">
        <v>3</v>
      </c>
      <c r="G1156">
        <v>40</v>
      </c>
      <c r="H1156">
        <v>1.4500000000000001E-6</v>
      </c>
      <c r="I1156">
        <v>1.1499999999999999</v>
      </c>
      <c r="J1156">
        <v>32</v>
      </c>
      <c r="K1156">
        <v>3.483202366</v>
      </c>
      <c r="L1156">
        <v>3.0708912000000001E-2</v>
      </c>
      <c r="M1156">
        <v>25</v>
      </c>
      <c r="N1156" t="s">
        <v>1911</v>
      </c>
      <c r="O1156" t="s">
        <v>29</v>
      </c>
      <c r="Q1156" t="s">
        <v>1912</v>
      </c>
      <c r="R1156" t="s">
        <v>1912</v>
      </c>
      <c r="U1156" t="s">
        <v>31</v>
      </c>
      <c r="V1156" t="s">
        <v>31</v>
      </c>
      <c r="W1156" t="s">
        <v>4265</v>
      </c>
      <c r="X1156" t="s">
        <v>4266</v>
      </c>
      <c r="Y1156" t="s">
        <v>4267</v>
      </c>
      <c r="Z1156">
        <v>626.37492440000005</v>
      </c>
    </row>
    <row r="1157" spans="1:26" hidden="1">
      <c r="A1157">
        <v>1156</v>
      </c>
      <c r="B1157" t="s">
        <v>4268</v>
      </c>
      <c r="C1157" t="s">
        <v>28</v>
      </c>
      <c r="D1157" s="1" t="b">
        <v>0</v>
      </c>
      <c r="E1157">
        <v>2.9998529999999998E-3</v>
      </c>
      <c r="F1157">
        <v>2.5228999999999999</v>
      </c>
      <c r="M1157">
        <v>25</v>
      </c>
      <c r="N1157" t="s">
        <v>1849</v>
      </c>
      <c r="X1157" t="s">
        <v>4269</v>
      </c>
      <c r="Y1157" t="s">
        <v>4270</v>
      </c>
      <c r="Z1157">
        <v>641.38582340000005</v>
      </c>
    </row>
    <row r="1158" spans="1:26" hidden="1">
      <c r="A1158">
        <v>1157</v>
      </c>
      <c r="B1158" t="s">
        <v>4271</v>
      </c>
      <c r="C1158" t="s">
        <v>28</v>
      </c>
      <c r="D1158" s="1" t="b">
        <v>0</v>
      </c>
      <c r="E1158">
        <v>2.6001599999999998E-3</v>
      </c>
      <c r="F1158">
        <v>2.585</v>
      </c>
      <c r="M1158">
        <v>25</v>
      </c>
      <c r="N1158" t="s">
        <v>1849</v>
      </c>
      <c r="X1158" t="s">
        <v>4272</v>
      </c>
      <c r="Y1158" t="s">
        <v>4273</v>
      </c>
      <c r="Z1158">
        <v>628.35418890000005</v>
      </c>
    </row>
    <row r="1159" spans="1:26" hidden="1">
      <c r="A1159">
        <v>1158</v>
      </c>
      <c r="B1159" t="s">
        <v>4274</v>
      </c>
      <c r="C1159" t="s">
        <v>28</v>
      </c>
      <c r="D1159" s="1" t="b">
        <v>0</v>
      </c>
      <c r="E1159">
        <v>2.0999999999999999E-3</v>
      </c>
      <c r="F1159">
        <v>2.677780705</v>
      </c>
      <c r="G1159">
        <v>37.5</v>
      </c>
      <c r="H1159">
        <v>1.61E-6</v>
      </c>
      <c r="I1159">
        <v>1.03</v>
      </c>
      <c r="J1159">
        <v>34.5</v>
      </c>
      <c r="K1159">
        <v>3.2036259299999998</v>
      </c>
      <c r="L1159">
        <v>4.0614670999999998E-2</v>
      </c>
      <c r="M1159">
        <v>25</v>
      </c>
      <c r="N1159" t="s">
        <v>1912</v>
      </c>
      <c r="O1159" t="s">
        <v>29</v>
      </c>
      <c r="Q1159" t="s">
        <v>1912</v>
      </c>
      <c r="R1159" t="s">
        <v>1912</v>
      </c>
      <c r="U1159" t="s">
        <v>31</v>
      </c>
      <c r="V1159" t="s">
        <v>31</v>
      </c>
      <c r="W1159" t="s">
        <v>4275</v>
      </c>
      <c r="X1159" t="s">
        <v>4276</v>
      </c>
      <c r="Y1159" t="s">
        <v>4277</v>
      </c>
      <c r="Z1159">
        <v>641.38582340000005</v>
      </c>
    </row>
    <row r="1160" spans="1:26" hidden="1">
      <c r="A1160">
        <v>1159</v>
      </c>
      <c r="B1160" t="s">
        <v>4278</v>
      </c>
      <c r="C1160" t="s">
        <v>28</v>
      </c>
      <c r="D1160" s="1" t="b">
        <v>0</v>
      </c>
      <c r="E1160">
        <v>2.0999999999999999E-3</v>
      </c>
      <c r="F1160">
        <v>2.677780705</v>
      </c>
      <c r="G1160">
        <v>39.1</v>
      </c>
      <c r="H1160">
        <v>1.31E-6</v>
      </c>
      <c r="I1160">
        <v>1.27</v>
      </c>
      <c r="J1160">
        <v>32.9</v>
      </c>
      <c r="K1160">
        <v>3.2527361930000001</v>
      </c>
      <c r="L1160">
        <v>3.8668259000000003E-2</v>
      </c>
      <c r="M1160">
        <v>25</v>
      </c>
      <c r="N1160" t="s">
        <v>1912</v>
      </c>
      <c r="O1160" t="s">
        <v>29</v>
      </c>
      <c r="Q1160" t="s">
        <v>1912</v>
      </c>
      <c r="R1160" t="s">
        <v>1912</v>
      </c>
      <c r="U1160" t="s">
        <v>31</v>
      </c>
      <c r="V1160" t="s">
        <v>31</v>
      </c>
      <c r="W1160" t="s">
        <v>4279</v>
      </c>
      <c r="X1160" t="s">
        <v>4280</v>
      </c>
      <c r="Y1160" t="s">
        <v>4281</v>
      </c>
      <c r="Z1160">
        <v>628.35418890000005</v>
      </c>
    </row>
    <row r="1161" spans="1:26" hidden="1">
      <c r="A1161">
        <v>1160</v>
      </c>
      <c r="B1161" t="s">
        <v>4282</v>
      </c>
      <c r="C1161" t="s">
        <v>28</v>
      </c>
      <c r="D1161" s="1" t="b">
        <v>0</v>
      </c>
      <c r="E1161">
        <v>5.3002939999999997E-3</v>
      </c>
      <c r="F1161">
        <v>2.2757000000000001</v>
      </c>
      <c r="M1161">
        <v>25</v>
      </c>
      <c r="N1161" t="s">
        <v>1849</v>
      </c>
      <c r="X1161" t="s">
        <v>4283</v>
      </c>
      <c r="Y1161" t="s">
        <v>4284</v>
      </c>
      <c r="Z1161">
        <v>688.39057439999999</v>
      </c>
    </row>
    <row r="1162" spans="1:26" hidden="1">
      <c r="A1162">
        <v>1161</v>
      </c>
      <c r="B1162" t="s">
        <v>4285</v>
      </c>
      <c r="C1162" t="s">
        <v>28</v>
      </c>
      <c r="D1162" s="1" t="b">
        <v>0</v>
      </c>
      <c r="E1162">
        <v>5.9593650000000003E-3</v>
      </c>
      <c r="F1162">
        <v>2.2248000000000001</v>
      </c>
      <c r="M1162">
        <v>25</v>
      </c>
      <c r="N1162" t="s">
        <v>1849</v>
      </c>
      <c r="X1162" t="s">
        <v>4286</v>
      </c>
      <c r="Y1162" t="s">
        <v>4287</v>
      </c>
      <c r="Z1162">
        <v>716.42187460000002</v>
      </c>
    </row>
    <row r="1163" spans="1:26" hidden="1">
      <c r="A1163">
        <v>1162</v>
      </c>
      <c r="B1163" t="s">
        <v>4288</v>
      </c>
      <c r="C1163" t="s">
        <v>54</v>
      </c>
      <c r="D1163" s="1" t="b">
        <v>0</v>
      </c>
      <c r="E1163">
        <v>2.1000000000000001E-2</v>
      </c>
      <c r="F1163">
        <v>1.677780705</v>
      </c>
      <c r="M1163">
        <v>25</v>
      </c>
      <c r="N1163" t="s">
        <v>89</v>
      </c>
      <c r="P1163" t="s">
        <v>103</v>
      </c>
      <c r="W1163" t="s">
        <v>4289</v>
      </c>
      <c r="X1163" t="s">
        <v>4290</v>
      </c>
      <c r="Y1163" t="s">
        <v>4291</v>
      </c>
      <c r="Z1163">
        <v>313.140512</v>
      </c>
    </row>
    <row r="1164" spans="1:26">
      <c r="A1164">
        <v>1163</v>
      </c>
      <c r="B1164" s="2" t="s">
        <v>4288</v>
      </c>
      <c r="C1164" t="s">
        <v>54</v>
      </c>
      <c r="D1164" s="1" t="b">
        <v>1</v>
      </c>
      <c r="E1164">
        <v>2.1000000000000001E-2</v>
      </c>
      <c r="F1164">
        <v>1.677780705</v>
      </c>
      <c r="G1164" s="2"/>
      <c r="H1164" s="2"/>
      <c r="I1164" s="2"/>
      <c r="J1164" s="2"/>
      <c r="K1164" s="2"/>
      <c r="L1164" s="2"/>
      <c r="M1164">
        <v>25</v>
      </c>
      <c r="N1164" t="s">
        <v>135</v>
      </c>
      <c r="X1164" t="s">
        <v>4292</v>
      </c>
      <c r="Y1164" t="s">
        <v>4293</v>
      </c>
      <c r="Z1164">
        <v>313.140512</v>
      </c>
    </row>
    <row r="1165" spans="1:26" hidden="1">
      <c r="A1165">
        <v>1164</v>
      </c>
      <c r="B1165" t="s">
        <v>4294</v>
      </c>
      <c r="C1165" t="s">
        <v>28</v>
      </c>
      <c r="D1165" s="1" t="b">
        <v>0</v>
      </c>
      <c r="E1165">
        <v>6.3095700000000002E-4</v>
      </c>
      <c r="F1165">
        <v>3.2</v>
      </c>
      <c r="G1165">
        <v>31.2</v>
      </c>
      <c r="H1165">
        <v>2.0899999999999999E-6</v>
      </c>
      <c r="I1165">
        <v>0.86</v>
      </c>
      <c r="J1165">
        <v>40.770000000000003</v>
      </c>
      <c r="K1165">
        <v>3.781075892</v>
      </c>
      <c r="L1165">
        <v>2.279815E-2</v>
      </c>
      <c r="M1165">
        <v>25</v>
      </c>
      <c r="N1165" t="s">
        <v>2484</v>
      </c>
      <c r="O1165" t="s">
        <v>2484</v>
      </c>
      <c r="P1165" t="s">
        <v>648</v>
      </c>
      <c r="R1165" t="s">
        <v>2484</v>
      </c>
      <c r="S1165" t="s">
        <v>31</v>
      </c>
      <c r="T1165" t="s">
        <v>2484</v>
      </c>
      <c r="U1165" t="s">
        <v>31</v>
      </c>
      <c r="V1165" t="s">
        <v>31</v>
      </c>
      <c r="X1165" t="s">
        <v>4295</v>
      </c>
      <c r="Y1165" t="s">
        <v>4296</v>
      </c>
      <c r="Z1165">
        <v>658.47193279999999</v>
      </c>
    </row>
    <row r="1166" spans="1:26" hidden="1">
      <c r="A1166">
        <v>1165</v>
      </c>
      <c r="B1166" t="s">
        <v>4297</v>
      </c>
      <c r="C1166" t="s">
        <v>28</v>
      </c>
      <c r="D1166" s="1" t="b">
        <v>0</v>
      </c>
      <c r="E1166">
        <v>6.9183099999999996E-4</v>
      </c>
      <c r="F1166">
        <v>3.16</v>
      </c>
      <c r="G1166">
        <v>40.1</v>
      </c>
      <c r="H1166">
        <v>2.2800000000000002E-6</v>
      </c>
      <c r="I1166">
        <v>0.78</v>
      </c>
      <c r="J1166">
        <v>31.9</v>
      </c>
      <c r="K1166">
        <v>3.4647389190000002</v>
      </c>
      <c r="L1166">
        <v>3.1281171000000003E-2</v>
      </c>
      <c r="M1166">
        <v>25</v>
      </c>
      <c r="N1166" t="s">
        <v>2484</v>
      </c>
      <c r="O1166" t="s">
        <v>2484</v>
      </c>
      <c r="P1166" t="s">
        <v>2484</v>
      </c>
      <c r="R1166" t="s">
        <v>2484</v>
      </c>
      <c r="S1166" t="s">
        <v>2484</v>
      </c>
      <c r="T1166" t="s">
        <v>2484</v>
      </c>
      <c r="U1166" t="s">
        <v>31</v>
      </c>
      <c r="V1166" t="s">
        <v>31</v>
      </c>
      <c r="X1166" t="s">
        <v>4298</v>
      </c>
      <c r="Y1166" t="s">
        <v>4299</v>
      </c>
      <c r="Z1166">
        <v>644.45628269999997</v>
      </c>
    </row>
    <row r="1167" spans="1:26" hidden="1">
      <c r="A1167">
        <v>1166</v>
      </c>
      <c r="B1167" t="s">
        <v>4300</v>
      </c>
      <c r="C1167" t="s">
        <v>28</v>
      </c>
      <c r="D1167" s="1" t="b">
        <v>0</v>
      </c>
      <c r="E1167">
        <v>7.4131000000000002E-4</v>
      </c>
      <c r="F1167">
        <v>3.13</v>
      </c>
      <c r="G1167">
        <v>41.2</v>
      </c>
      <c r="H1167">
        <v>2.3099999999999999E-6</v>
      </c>
      <c r="I1167">
        <v>0.76</v>
      </c>
      <c r="J1167">
        <v>30.8</v>
      </c>
      <c r="K1167">
        <v>3.4029779599999999</v>
      </c>
      <c r="L1167">
        <v>3.3274034000000001E-2</v>
      </c>
      <c r="M1167">
        <v>25</v>
      </c>
      <c r="N1167" t="s">
        <v>2484</v>
      </c>
      <c r="O1167" t="s">
        <v>2484</v>
      </c>
      <c r="P1167" t="s">
        <v>2484</v>
      </c>
      <c r="R1167" t="s">
        <v>2484</v>
      </c>
      <c r="S1167" t="s">
        <v>2484</v>
      </c>
      <c r="T1167" t="s">
        <v>2484</v>
      </c>
      <c r="U1167" t="s">
        <v>31</v>
      </c>
      <c r="V1167" t="s">
        <v>31</v>
      </c>
      <c r="X1167" t="s">
        <v>4301</v>
      </c>
      <c r="Y1167" t="s">
        <v>4302</v>
      </c>
      <c r="Z1167">
        <v>630.44063259999996</v>
      </c>
    </row>
    <row r="1168" spans="1:26" hidden="1">
      <c r="A1168">
        <v>1167</v>
      </c>
      <c r="B1168" t="s">
        <v>4303</v>
      </c>
      <c r="C1168" t="s">
        <v>28</v>
      </c>
      <c r="D1168" s="1" t="b">
        <v>0</v>
      </c>
      <c r="E1168">
        <v>8.5113799999999998E-4</v>
      </c>
      <c r="F1168">
        <v>3.07</v>
      </c>
      <c r="G1168">
        <v>42.4</v>
      </c>
      <c r="H1168">
        <v>2.34E-6</v>
      </c>
      <c r="I1168">
        <v>0.74</v>
      </c>
      <c r="J1168">
        <v>29.6</v>
      </c>
      <c r="K1168">
        <v>3.3095362160000001</v>
      </c>
      <c r="L1168">
        <v>3.6533112999999999E-2</v>
      </c>
      <c r="M1168">
        <v>25</v>
      </c>
      <c r="N1168" t="s">
        <v>2484</v>
      </c>
      <c r="O1168" t="s">
        <v>2484</v>
      </c>
      <c r="P1168" t="s">
        <v>2484</v>
      </c>
      <c r="R1168" t="s">
        <v>2484</v>
      </c>
      <c r="S1168" t="s">
        <v>2484</v>
      </c>
      <c r="T1168" t="s">
        <v>2484</v>
      </c>
      <c r="U1168" t="s">
        <v>31</v>
      </c>
      <c r="V1168" t="s">
        <v>31</v>
      </c>
      <c r="X1168" t="s">
        <v>4304</v>
      </c>
      <c r="Y1168" t="s">
        <v>4305</v>
      </c>
      <c r="Z1168">
        <v>616.42498260000002</v>
      </c>
    </row>
    <row r="1169" spans="1:29" hidden="1">
      <c r="A1169">
        <v>1168</v>
      </c>
      <c r="B1169" t="s">
        <v>4306</v>
      </c>
      <c r="C1169" t="s">
        <v>28</v>
      </c>
      <c r="D1169" s="1" t="b">
        <v>0</v>
      </c>
      <c r="E1169">
        <v>9.1201100000000001E-4</v>
      </c>
      <c r="F1169">
        <v>3.04</v>
      </c>
      <c r="G1169">
        <v>42.5</v>
      </c>
      <c r="H1169">
        <v>2.3700000000000002E-6</v>
      </c>
      <c r="I1169">
        <v>0.72</v>
      </c>
      <c r="J1169">
        <v>29.5</v>
      </c>
      <c r="K1169">
        <v>3.2740405269999999</v>
      </c>
      <c r="L1169">
        <v>3.7853170999999998E-2</v>
      </c>
      <c r="M1169">
        <v>25</v>
      </c>
      <c r="N1169" t="s">
        <v>2484</v>
      </c>
      <c r="O1169" t="s">
        <v>2484</v>
      </c>
      <c r="P1169" t="s">
        <v>2484</v>
      </c>
      <c r="R1169" t="s">
        <v>2484</v>
      </c>
      <c r="S1169" t="s">
        <v>2484</v>
      </c>
      <c r="T1169" t="s">
        <v>2484</v>
      </c>
      <c r="U1169" t="s">
        <v>31</v>
      </c>
      <c r="V1169" t="s">
        <v>31</v>
      </c>
      <c r="X1169" t="s">
        <v>4307</v>
      </c>
      <c r="Y1169" t="s">
        <v>4308</v>
      </c>
      <c r="Z1169">
        <v>602.4093325</v>
      </c>
    </row>
    <row r="1170" spans="1:29" hidden="1">
      <c r="A1170">
        <v>1169</v>
      </c>
      <c r="B1170" t="s">
        <v>4309</v>
      </c>
      <c r="C1170" t="s">
        <v>83</v>
      </c>
      <c r="D1170" s="1" t="b">
        <v>0</v>
      </c>
      <c r="G1170">
        <v>35.700000000000003</v>
      </c>
      <c r="O1170" t="s">
        <v>29</v>
      </c>
      <c r="Q1170" t="s">
        <v>578</v>
      </c>
      <c r="X1170" t="s">
        <v>4310</v>
      </c>
      <c r="Y1170" t="s">
        <v>4311</v>
      </c>
      <c r="Z1170">
        <v>349.24643780000002</v>
      </c>
    </row>
    <row r="1171" spans="1:29">
      <c r="A1171">
        <v>1170</v>
      </c>
      <c r="B1171" s="2" t="s">
        <v>4312</v>
      </c>
      <c r="C1171" t="s">
        <v>83</v>
      </c>
      <c r="D1171" s="1" t="b">
        <v>1</v>
      </c>
      <c r="E1171">
        <v>1.2899999999999999E-3</v>
      </c>
      <c r="F1171">
        <v>2.8894102899999998</v>
      </c>
      <c r="G1171">
        <v>35.9</v>
      </c>
      <c r="H1171">
        <v>3.9600000000000002E-6</v>
      </c>
      <c r="I1171">
        <v>0.41932804699999998</v>
      </c>
      <c r="J1171">
        <v>36.1</v>
      </c>
      <c r="K1171">
        <v>3.6</v>
      </c>
      <c r="L1171">
        <v>2.4800000000000001E-4</v>
      </c>
      <c r="M1171">
        <v>20</v>
      </c>
      <c r="N1171" t="s">
        <v>135</v>
      </c>
      <c r="O1171" t="s">
        <v>137</v>
      </c>
      <c r="Q1171" t="s">
        <v>446</v>
      </c>
      <c r="R1171" t="s">
        <v>137</v>
      </c>
      <c r="S1171" t="s">
        <v>137</v>
      </c>
      <c r="T1171" t="s">
        <v>31</v>
      </c>
      <c r="U1171" t="s">
        <v>446</v>
      </c>
      <c r="X1171" t="s">
        <v>4313</v>
      </c>
      <c r="Y1171" t="s">
        <v>4314</v>
      </c>
      <c r="Z1171">
        <v>319.23587320000001</v>
      </c>
    </row>
    <row r="1172" spans="1:29">
      <c r="A1172">
        <v>1171</v>
      </c>
      <c r="B1172" t="s">
        <v>4315</v>
      </c>
      <c r="C1172" t="s">
        <v>161</v>
      </c>
      <c r="D1172" s="1" t="b">
        <v>1</v>
      </c>
      <c r="E1172" s="3">
        <v>1.2899999999999999E-3</v>
      </c>
      <c r="F1172" s="2">
        <f>-LOG10(E1172)</f>
        <v>2.8894102897007512</v>
      </c>
      <c r="G1172">
        <v>36.1</v>
      </c>
      <c r="H1172">
        <v>3.9600000000000002E-6</v>
      </c>
      <c r="I1172">
        <v>0.42</v>
      </c>
      <c r="J1172">
        <v>36.1</v>
      </c>
      <c r="K1172">
        <v>3.6</v>
      </c>
      <c r="L1172">
        <v>2.5099999999999998E-4</v>
      </c>
      <c r="M1172">
        <v>20</v>
      </c>
      <c r="N1172" t="s">
        <v>162</v>
      </c>
      <c r="O1172" t="s">
        <v>163</v>
      </c>
      <c r="P1172" t="s">
        <v>164</v>
      </c>
      <c r="R1172" t="s">
        <v>446</v>
      </c>
      <c r="S1172" t="s">
        <v>446</v>
      </c>
      <c r="T1172" t="s">
        <v>446</v>
      </c>
      <c r="U1172" t="s">
        <v>446</v>
      </c>
      <c r="W1172" t="s">
        <v>4316</v>
      </c>
      <c r="X1172" t="s">
        <v>4317</v>
      </c>
      <c r="Y1172" t="s">
        <v>4318</v>
      </c>
      <c r="Z1172">
        <v>349.24643780000002</v>
      </c>
    </row>
    <row r="1173" spans="1:29">
      <c r="A1173">
        <v>1172</v>
      </c>
      <c r="B1173" s="2" t="s">
        <v>4319</v>
      </c>
      <c r="C1173" t="s">
        <v>161</v>
      </c>
      <c r="D1173" s="1" t="b">
        <v>1</v>
      </c>
      <c r="E1173" s="2">
        <v>2.31E-3</v>
      </c>
      <c r="F1173" s="2">
        <f>-LOG10(E1173)</f>
        <v>2.6363880201078556</v>
      </c>
      <c r="G1173">
        <v>38.9</v>
      </c>
      <c r="H1173">
        <v>4.1400000000000002E-6</v>
      </c>
      <c r="I1173">
        <v>0.4</v>
      </c>
      <c r="J1173">
        <v>33.9</v>
      </c>
      <c r="K1173" s="2">
        <v>3.29</v>
      </c>
      <c r="L1173" s="2">
        <f>10^(-K1173)</f>
        <v>5.1286138399136462E-4</v>
      </c>
      <c r="M1173">
        <v>20</v>
      </c>
      <c r="N1173" t="s">
        <v>162</v>
      </c>
      <c r="O1173" t="s">
        <v>163</v>
      </c>
      <c r="P1173" t="s">
        <v>164</v>
      </c>
      <c r="R1173" t="s">
        <v>446</v>
      </c>
      <c r="S1173" t="s">
        <v>446</v>
      </c>
      <c r="T1173" t="s">
        <v>446</v>
      </c>
      <c r="U1173" t="s">
        <v>446</v>
      </c>
      <c r="W1173" t="s">
        <v>4320</v>
      </c>
      <c r="X1173" t="s">
        <v>4321</v>
      </c>
      <c r="Y1173" t="s">
        <v>4322</v>
      </c>
      <c r="Z1173">
        <v>495.30434659999997</v>
      </c>
    </row>
    <row r="1174" spans="1:29">
      <c r="A1174">
        <v>1173</v>
      </c>
      <c r="B1174" s="2" t="s">
        <v>4323</v>
      </c>
      <c r="C1174" t="s">
        <v>28</v>
      </c>
      <c r="D1174" s="1" t="b">
        <v>1</v>
      </c>
      <c r="E1174" s="3">
        <v>8.0999999999999996E-4</v>
      </c>
      <c r="F1174" s="2">
        <f>-LOG10(E1174)</f>
        <v>3.0915149811213505</v>
      </c>
      <c r="G1174">
        <v>28.5</v>
      </c>
      <c r="H1174" s="3">
        <v>1.28E-6</v>
      </c>
      <c r="I1174" s="2">
        <v>1.3</v>
      </c>
      <c r="J1174" s="2">
        <f>72-G1174</f>
        <v>43.5</v>
      </c>
      <c r="K1174" s="2">
        <v>4.1900000000000004</v>
      </c>
      <c r="L1174" s="2">
        <f>10^(-K1174)</f>
        <v>6.4565422903465383E-5</v>
      </c>
      <c r="M1174" s="2">
        <v>25</v>
      </c>
      <c r="O1174" t="s">
        <v>29</v>
      </c>
      <c r="Q1174" t="s">
        <v>3147</v>
      </c>
      <c r="X1174" t="s">
        <v>4324</v>
      </c>
      <c r="Y1174" t="s">
        <v>4325</v>
      </c>
      <c r="Z1174">
        <v>522.41950329999997</v>
      </c>
    </row>
    <row r="1175" spans="1:29">
      <c r="A1175">
        <v>1174</v>
      </c>
      <c r="B1175" t="s">
        <v>4326</v>
      </c>
      <c r="C1175" t="s">
        <v>161</v>
      </c>
      <c r="D1175" s="1" t="b">
        <v>1</v>
      </c>
      <c r="E1175">
        <v>1.2999999999999999E-3</v>
      </c>
      <c r="F1175">
        <v>2.8860566479999998</v>
      </c>
      <c r="G1175">
        <v>33.9</v>
      </c>
      <c r="H1175">
        <v>4.5700000000000003E-6</v>
      </c>
      <c r="I1175">
        <v>0.36</v>
      </c>
      <c r="J1175">
        <v>38.1</v>
      </c>
      <c r="K1175">
        <v>3.6</v>
      </c>
      <c r="L1175">
        <v>2.5099999999999998E-4</v>
      </c>
      <c r="M1175">
        <v>25</v>
      </c>
      <c r="N1175" t="s">
        <v>162</v>
      </c>
      <c r="O1175" t="s">
        <v>163</v>
      </c>
      <c r="P1175" t="s">
        <v>164</v>
      </c>
      <c r="R1175" t="s">
        <v>3155</v>
      </c>
      <c r="S1175" t="s">
        <v>3155</v>
      </c>
      <c r="T1175" t="s">
        <v>3155</v>
      </c>
      <c r="U1175" t="s">
        <v>3155</v>
      </c>
      <c r="W1175" t="s">
        <v>4327</v>
      </c>
      <c r="X1175" t="s">
        <v>4328</v>
      </c>
      <c r="Y1175" t="s">
        <v>4329</v>
      </c>
      <c r="Z1175">
        <v>497.2836112</v>
      </c>
    </row>
    <row r="1176" spans="1:29">
      <c r="A1176">
        <v>1175</v>
      </c>
      <c r="B1176" s="2" t="s">
        <v>4330</v>
      </c>
      <c r="C1176" t="s">
        <v>28</v>
      </c>
      <c r="D1176" s="1" t="b">
        <v>1</v>
      </c>
      <c r="E1176">
        <v>3.7999999999999999E-2</v>
      </c>
      <c r="F1176">
        <v>1.420216403</v>
      </c>
      <c r="G1176">
        <v>35</v>
      </c>
      <c r="H1176">
        <v>1.79E-6</v>
      </c>
      <c r="I1176">
        <v>0.62</v>
      </c>
      <c r="J1176">
        <v>37</v>
      </c>
      <c r="K1176">
        <v>1.9747293610000001</v>
      </c>
      <c r="L1176">
        <v>0.13879887199999999</v>
      </c>
      <c r="M1176">
        <v>25</v>
      </c>
      <c r="N1176" t="s">
        <v>627</v>
      </c>
      <c r="O1176" t="s">
        <v>29</v>
      </c>
      <c r="Q1176" t="s">
        <v>627</v>
      </c>
      <c r="R1176" t="s">
        <v>627</v>
      </c>
      <c r="S1176" t="s">
        <v>627</v>
      </c>
      <c r="T1176" t="s">
        <v>627</v>
      </c>
      <c r="U1176" t="s">
        <v>31</v>
      </c>
      <c r="V1176" t="s">
        <v>31</v>
      </c>
      <c r="W1176" t="s">
        <v>2554</v>
      </c>
      <c r="X1176" t="s">
        <v>4331</v>
      </c>
      <c r="Y1176" t="s">
        <v>4332</v>
      </c>
      <c r="Z1176">
        <v>381.20621599999998</v>
      </c>
    </row>
    <row r="1177" spans="1:29" hidden="1">
      <c r="A1177">
        <v>1176</v>
      </c>
      <c r="B1177" t="s">
        <v>4333</v>
      </c>
      <c r="C1177" t="s">
        <v>54</v>
      </c>
      <c r="D1177" s="1" t="b">
        <v>0</v>
      </c>
      <c r="E1177">
        <v>1E-4</v>
      </c>
      <c r="F1177">
        <v>4</v>
      </c>
      <c r="G1177">
        <v>25</v>
      </c>
      <c r="H1177">
        <v>3.3900000000000002E-6</v>
      </c>
      <c r="I1177">
        <v>0.49</v>
      </c>
      <c r="J1177">
        <v>47</v>
      </c>
      <c r="K1177">
        <v>4.6975432389999998</v>
      </c>
      <c r="L1177">
        <v>9.1176490000000002E-3</v>
      </c>
      <c r="M1177">
        <v>25</v>
      </c>
      <c r="N1177" t="s">
        <v>3160</v>
      </c>
      <c r="O1177" t="s">
        <v>29</v>
      </c>
      <c r="Q1177" t="s">
        <v>3160</v>
      </c>
      <c r="T1177" t="s">
        <v>3160</v>
      </c>
      <c r="U1177" t="s">
        <v>31</v>
      </c>
      <c r="V1177" t="s">
        <v>31</v>
      </c>
      <c r="W1177" t="s">
        <v>4334</v>
      </c>
      <c r="X1177" t="s">
        <v>4335</v>
      </c>
      <c r="Y1177" t="s">
        <v>4336</v>
      </c>
      <c r="Z1177">
        <v>547.37124019999999</v>
      </c>
    </row>
    <row r="1178" spans="1:29" hidden="1">
      <c r="A1178">
        <v>1177</v>
      </c>
      <c r="B1178" s="6" t="s">
        <v>4337</v>
      </c>
      <c r="C1178" s="6" t="s">
        <v>161</v>
      </c>
      <c r="D1178" s="11" t="b">
        <v>0</v>
      </c>
      <c r="E1178" s="6">
        <v>1.2999999999999999E-3</v>
      </c>
      <c r="F1178" s="6">
        <v>2.8860566479999998</v>
      </c>
      <c r="G1178" s="6">
        <v>33</v>
      </c>
      <c r="H1178" s="6">
        <v>3.9600000000000002E-6</v>
      </c>
      <c r="I1178" s="6">
        <v>0.42</v>
      </c>
      <c r="J1178" s="6">
        <v>36.1</v>
      </c>
      <c r="K1178" s="6">
        <v>3.6</v>
      </c>
      <c r="L1178" s="6">
        <v>2.5000000000000001E-4</v>
      </c>
      <c r="M1178" s="6">
        <v>25</v>
      </c>
      <c r="N1178" s="6" t="s">
        <v>162</v>
      </c>
      <c r="O1178" s="6" t="s">
        <v>163</v>
      </c>
      <c r="P1178" s="6" t="s">
        <v>164</v>
      </c>
      <c r="Q1178" s="6"/>
      <c r="R1178" s="6" t="s">
        <v>446</v>
      </c>
      <c r="S1178" s="6" t="s">
        <v>446</v>
      </c>
      <c r="T1178" s="6" t="s">
        <v>446</v>
      </c>
      <c r="U1178" s="6" t="s">
        <v>446</v>
      </c>
      <c r="V1178" s="6"/>
      <c r="W1178" t="s">
        <v>4338</v>
      </c>
      <c r="X1178" s="6" t="s">
        <v>4339</v>
      </c>
      <c r="Y1178" s="6" t="s">
        <v>4340</v>
      </c>
      <c r="Z1178">
        <v>481.28869659999998</v>
      </c>
      <c r="AA1178" s="6"/>
      <c r="AB1178" s="6"/>
      <c r="AC1178" s="6"/>
    </row>
    <row r="1179" spans="1:29" hidden="1">
      <c r="A1179">
        <v>1178</v>
      </c>
      <c r="B1179" t="s">
        <v>4341</v>
      </c>
      <c r="C1179" t="s">
        <v>28</v>
      </c>
      <c r="D1179" s="1" t="b">
        <v>0</v>
      </c>
      <c r="G1179">
        <v>28.5</v>
      </c>
      <c r="O1179" t="s">
        <v>29</v>
      </c>
      <c r="Q1179" t="s">
        <v>3181</v>
      </c>
      <c r="X1179" t="s">
        <v>4342</v>
      </c>
      <c r="Y1179" t="s">
        <v>4343</v>
      </c>
      <c r="Z1179">
        <v>700.33893279999995</v>
      </c>
    </row>
    <row r="1180" spans="1:29">
      <c r="A1180">
        <v>1179</v>
      </c>
      <c r="B1180" s="2" t="s">
        <v>4344</v>
      </c>
      <c r="C1180" t="s">
        <v>161</v>
      </c>
      <c r="D1180" s="1" t="b">
        <v>1</v>
      </c>
      <c r="E1180">
        <v>1.8E-3</v>
      </c>
      <c r="F1180">
        <v>2.7447274949999998</v>
      </c>
      <c r="G1180">
        <v>26</v>
      </c>
      <c r="H1180" s="3">
        <v>3.7000000000000002E-6</v>
      </c>
      <c r="I1180" s="2">
        <v>0.45</v>
      </c>
      <c r="J1180">
        <v>45.97</v>
      </c>
      <c r="K1180" s="2">
        <v>3.9</v>
      </c>
      <c r="L1180" s="2">
        <f>10^(-K1180)</f>
        <v>1.2589254117941672E-4</v>
      </c>
      <c r="M1180">
        <v>25</v>
      </c>
      <c r="N1180" t="s">
        <v>162</v>
      </c>
      <c r="O1180" t="s">
        <v>163</v>
      </c>
      <c r="P1180" t="s">
        <v>164</v>
      </c>
      <c r="Q1180" s="2" t="s">
        <v>4345</v>
      </c>
      <c r="R1180" s="2" t="s">
        <v>4345</v>
      </c>
      <c r="S1180" t="s">
        <v>31</v>
      </c>
      <c r="T1180" s="2" t="s">
        <v>4345</v>
      </c>
      <c r="U1180" s="2" t="s">
        <v>4345</v>
      </c>
      <c r="V1180" s="2" t="s">
        <v>31</v>
      </c>
      <c r="W1180" t="s">
        <v>4346</v>
      </c>
      <c r="X1180" t="s">
        <v>4347</v>
      </c>
      <c r="Y1180" t="s">
        <v>4348</v>
      </c>
      <c r="Z1180">
        <v>380.24101810000002</v>
      </c>
    </row>
    <row r="1181" spans="1:29">
      <c r="A1181">
        <v>1180</v>
      </c>
      <c r="B1181" s="2" t="s">
        <v>4349</v>
      </c>
      <c r="C1181" t="s">
        <v>28</v>
      </c>
      <c r="D1181" s="1" t="b">
        <v>1</v>
      </c>
      <c r="E1181">
        <v>1.2999999999999999E-2</v>
      </c>
      <c r="F1181">
        <v>1.8860566480000001</v>
      </c>
      <c r="G1181">
        <v>34</v>
      </c>
      <c r="H1181">
        <v>1.5400000000000001E-6</v>
      </c>
      <c r="I1181">
        <v>0.72</v>
      </c>
      <c r="J1181">
        <v>38</v>
      </c>
      <c r="K1181">
        <v>2.568501548</v>
      </c>
      <c r="L1181">
        <v>7.6650315999999996E-2</v>
      </c>
      <c r="M1181">
        <v>25</v>
      </c>
      <c r="N1181" t="s">
        <v>627</v>
      </c>
      <c r="O1181" t="s">
        <v>29</v>
      </c>
      <c r="Q1181" t="s">
        <v>627</v>
      </c>
      <c r="R1181" t="s">
        <v>627</v>
      </c>
      <c r="S1181" t="s">
        <v>627</v>
      </c>
      <c r="T1181" t="s">
        <v>627</v>
      </c>
      <c r="U1181" t="s">
        <v>31</v>
      </c>
      <c r="V1181" t="s">
        <v>31</v>
      </c>
      <c r="W1181" t="s">
        <v>4350</v>
      </c>
      <c r="X1181" t="s">
        <v>4351</v>
      </c>
      <c r="Y1181" t="s">
        <v>4352</v>
      </c>
      <c r="Z1181">
        <v>382.1902316</v>
      </c>
    </row>
    <row r="1182" spans="1:29" hidden="1">
      <c r="A1182">
        <v>1181</v>
      </c>
      <c r="B1182" t="s">
        <v>4353</v>
      </c>
      <c r="C1182" t="s">
        <v>54</v>
      </c>
      <c r="D1182" s="1" t="b">
        <v>0</v>
      </c>
      <c r="E1182">
        <v>5.0000000000000001E-3</v>
      </c>
      <c r="F1182">
        <v>2.301029996</v>
      </c>
      <c r="G1182">
        <v>35</v>
      </c>
      <c r="H1182">
        <v>3.5300000000000001E-6</v>
      </c>
      <c r="I1182">
        <v>0.47</v>
      </c>
      <c r="J1182">
        <v>37</v>
      </c>
      <c r="K1182">
        <v>2.7228054319999999</v>
      </c>
      <c r="L1182">
        <v>6.5690206000000001E-2</v>
      </c>
      <c r="M1182">
        <v>25</v>
      </c>
      <c r="N1182" t="s">
        <v>3160</v>
      </c>
      <c r="O1182" t="s">
        <v>29</v>
      </c>
      <c r="Q1182" t="s">
        <v>3160</v>
      </c>
      <c r="T1182" t="s">
        <v>3160</v>
      </c>
      <c r="U1182" t="s">
        <v>31</v>
      </c>
      <c r="V1182" t="s">
        <v>31</v>
      </c>
      <c r="W1182" t="s">
        <v>4354</v>
      </c>
      <c r="X1182" t="s">
        <v>4355</v>
      </c>
      <c r="Y1182" t="s">
        <v>4356</v>
      </c>
      <c r="Z1182">
        <v>549.33927140000003</v>
      </c>
    </row>
    <row r="1183" spans="1:29" hidden="1">
      <c r="A1183">
        <v>1182</v>
      </c>
      <c r="B1183" t="s">
        <v>4357</v>
      </c>
      <c r="C1183" t="s">
        <v>134</v>
      </c>
      <c r="D1183" s="1" t="b">
        <v>0</v>
      </c>
      <c r="E1183">
        <v>2.1999999999999999E-2</v>
      </c>
      <c r="F1183">
        <v>1.657577319</v>
      </c>
      <c r="M1183">
        <v>25</v>
      </c>
      <c r="N1183" t="s">
        <v>89</v>
      </c>
      <c r="P1183" t="s">
        <v>103</v>
      </c>
      <c r="W1183" t="s">
        <v>4358</v>
      </c>
      <c r="X1183" t="s">
        <v>4359</v>
      </c>
      <c r="Y1183" t="s">
        <v>4360</v>
      </c>
      <c r="Z1183">
        <v>302.11638909999999</v>
      </c>
    </row>
    <row r="1184" spans="1:29" hidden="1">
      <c r="A1184">
        <v>1183</v>
      </c>
      <c r="B1184" t="s">
        <v>4361</v>
      </c>
      <c r="C1184" t="s">
        <v>54</v>
      </c>
      <c r="D1184" s="1" t="b">
        <v>0</v>
      </c>
      <c r="G1184">
        <v>35.9</v>
      </c>
      <c r="O1184" t="s">
        <v>29</v>
      </c>
      <c r="Q1184" t="s">
        <v>1988</v>
      </c>
      <c r="X1184" t="s">
        <v>4362</v>
      </c>
      <c r="Y1184" t="s">
        <v>4363</v>
      </c>
      <c r="Z1184">
        <v>440.28057089999999</v>
      </c>
    </row>
    <row r="1185" spans="1:26" hidden="1">
      <c r="A1185">
        <v>1184</v>
      </c>
      <c r="B1185" t="s">
        <v>4364</v>
      </c>
      <c r="C1185" t="s">
        <v>54</v>
      </c>
      <c r="D1185" s="1" t="b">
        <v>0</v>
      </c>
      <c r="E1185">
        <v>1.9599999999999999E-3</v>
      </c>
      <c r="F1185">
        <v>2.7077439289999998</v>
      </c>
      <c r="G1185">
        <v>31.4</v>
      </c>
      <c r="H1185">
        <v>1.13E-6</v>
      </c>
      <c r="I1185">
        <v>1.46</v>
      </c>
      <c r="J1185">
        <v>40.6</v>
      </c>
      <c r="K1185">
        <v>4.4800000000000004</v>
      </c>
      <c r="L1185">
        <v>3.2799999999999998E-5</v>
      </c>
      <c r="M1185">
        <v>20</v>
      </c>
      <c r="N1185" t="s">
        <v>1992</v>
      </c>
      <c r="O1185" t="s">
        <v>29</v>
      </c>
      <c r="Q1185" t="s">
        <v>1992</v>
      </c>
      <c r="R1185" t="s">
        <v>1992</v>
      </c>
      <c r="S1185" t="s">
        <v>1992</v>
      </c>
      <c r="T1185" t="s">
        <v>1992</v>
      </c>
      <c r="U1185" t="s">
        <v>1992</v>
      </c>
      <c r="W1185" t="s">
        <v>4365</v>
      </c>
      <c r="X1185" t="s">
        <v>4366</v>
      </c>
      <c r="Y1185" t="s">
        <v>4367</v>
      </c>
      <c r="Z1185">
        <v>367.24893639999999</v>
      </c>
    </row>
    <row r="1186" spans="1:26" hidden="1">
      <c r="A1186">
        <v>1185</v>
      </c>
      <c r="B1186" t="s">
        <v>4368</v>
      </c>
      <c r="C1186" t="s">
        <v>28</v>
      </c>
      <c r="D1186" s="1" t="b">
        <v>0</v>
      </c>
      <c r="E1186">
        <v>5.8900000000000003E-3</v>
      </c>
      <c r="F1186">
        <v>2.2298847049999999</v>
      </c>
      <c r="G1186">
        <v>39.9</v>
      </c>
      <c r="H1186">
        <v>8.0999999999999997E-7</v>
      </c>
      <c r="I1186">
        <v>2.0760000000000001</v>
      </c>
      <c r="J1186">
        <v>32.1</v>
      </c>
      <c r="K1186">
        <v>3.5100415210000002</v>
      </c>
      <c r="L1186">
        <v>3.0899999999999998E-4</v>
      </c>
      <c r="M1186">
        <v>25</v>
      </c>
      <c r="N1186" t="s">
        <v>1997</v>
      </c>
      <c r="O1186" t="s">
        <v>29</v>
      </c>
      <c r="Q1186" t="s">
        <v>1769</v>
      </c>
      <c r="R1186" t="s">
        <v>1997</v>
      </c>
      <c r="S1186" t="s">
        <v>1997</v>
      </c>
      <c r="T1186" t="s">
        <v>1997</v>
      </c>
      <c r="V1186" t="s">
        <v>1997</v>
      </c>
      <c r="X1186" t="s">
        <v>4369</v>
      </c>
      <c r="Y1186" t="s">
        <v>4370</v>
      </c>
      <c r="Z1186">
        <v>818.52436230000001</v>
      </c>
    </row>
    <row r="1187" spans="1:26" hidden="1">
      <c r="A1187">
        <v>1186</v>
      </c>
      <c r="B1187" t="s">
        <v>4371</v>
      </c>
      <c r="C1187" t="s">
        <v>28</v>
      </c>
      <c r="D1187" s="1" t="b">
        <v>0</v>
      </c>
      <c r="E1187">
        <v>2.82E-3</v>
      </c>
      <c r="F1187">
        <v>2.549750892</v>
      </c>
      <c r="G1187">
        <v>37.6</v>
      </c>
      <c r="H1187">
        <v>1.0499999999999999E-6</v>
      </c>
      <c r="I1187">
        <v>1.5820000000000001</v>
      </c>
      <c r="J1187">
        <v>34.25</v>
      </c>
      <c r="K1187">
        <v>3.7304870559999999</v>
      </c>
      <c r="L1187">
        <v>1.8599999999999999E-4</v>
      </c>
      <c r="M1187">
        <v>25</v>
      </c>
      <c r="N1187" t="s">
        <v>1997</v>
      </c>
      <c r="O1187" t="s">
        <v>29</v>
      </c>
      <c r="Q1187" t="s">
        <v>1997</v>
      </c>
      <c r="R1187" t="s">
        <v>1997</v>
      </c>
      <c r="S1187" t="s">
        <v>1997</v>
      </c>
      <c r="T1187" t="s">
        <v>1997</v>
      </c>
      <c r="V1187" t="s">
        <v>1997</v>
      </c>
      <c r="X1187" t="s">
        <v>4372</v>
      </c>
      <c r="Y1187" t="s">
        <v>4373</v>
      </c>
      <c r="Z1187">
        <v>846.55566239999996</v>
      </c>
    </row>
    <row r="1188" spans="1:26">
      <c r="A1188">
        <v>1187</v>
      </c>
      <c r="B1188" s="2" t="s">
        <v>4374</v>
      </c>
      <c r="C1188" t="s">
        <v>161</v>
      </c>
      <c r="D1188" s="1" t="b">
        <v>1</v>
      </c>
      <c r="E1188">
        <v>2E-3</v>
      </c>
      <c r="F1188">
        <v>2.698970004</v>
      </c>
      <c r="G1188">
        <v>35.6</v>
      </c>
      <c r="H1188">
        <v>2.9699999999999999E-6</v>
      </c>
      <c r="I1188">
        <v>0.56000000000000005</v>
      </c>
      <c r="J1188">
        <v>36.4</v>
      </c>
      <c r="K1188">
        <v>3.666188209</v>
      </c>
      <c r="L1188">
        <v>2.5573766000000001E-2</v>
      </c>
      <c r="M1188">
        <v>25</v>
      </c>
      <c r="N1188" t="s">
        <v>162</v>
      </c>
      <c r="O1188" t="s">
        <v>163</v>
      </c>
      <c r="P1188" t="s">
        <v>164</v>
      </c>
      <c r="R1188" t="s">
        <v>3235</v>
      </c>
      <c r="S1188" t="s">
        <v>3235</v>
      </c>
      <c r="T1188" t="s">
        <v>3235</v>
      </c>
      <c r="U1188" t="s">
        <v>31</v>
      </c>
      <c r="V1188" t="s">
        <v>31</v>
      </c>
      <c r="W1188" t="s">
        <v>4375</v>
      </c>
      <c r="X1188" t="s">
        <v>4376</v>
      </c>
      <c r="Y1188" t="s">
        <v>4377</v>
      </c>
      <c r="Z1188">
        <v>466.27779750000002</v>
      </c>
    </row>
    <row r="1189" spans="1:26">
      <c r="A1189">
        <v>1188</v>
      </c>
      <c r="B1189" s="2" t="s">
        <v>4378</v>
      </c>
      <c r="C1189" t="s">
        <v>83</v>
      </c>
      <c r="D1189" s="1" t="b">
        <v>1</v>
      </c>
      <c r="E1189">
        <v>8.0909999999999999E-4</v>
      </c>
      <c r="F1189">
        <v>3.091997799</v>
      </c>
      <c r="M1189">
        <v>25</v>
      </c>
      <c r="N1189" t="s">
        <v>207</v>
      </c>
      <c r="X1189" t="s">
        <v>4379</v>
      </c>
      <c r="Y1189" t="s">
        <v>4380</v>
      </c>
      <c r="Z1189">
        <v>289.20149900000001</v>
      </c>
    </row>
    <row r="1190" spans="1:26" hidden="1">
      <c r="A1190">
        <v>1189</v>
      </c>
      <c r="B1190" t="s">
        <v>4381</v>
      </c>
      <c r="C1190" t="s">
        <v>28</v>
      </c>
      <c r="D1190" s="1" t="b">
        <v>0</v>
      </c>
      <c r="E1190">
        <v>2.7E-4</v>
      </c>
      <c r="F1190">
        <v>3.5686362360000001</v>
      </c>
      <c r="G1190">
        <v>32</v>
      </c>
      <c r="H1190">
        <v>1.66E-6</v>
      </c>
      <c r="I1190">
        <v>1</v>
      </c>
      <c r="J1190">
        <v>40</v>
      </c>
      <c r="K1190">
        <v>4.55</v>
      </c>
      <c r="L1190">
        <v>2.8200000000000001E-5</v>
      </c>
      <c r="M1190">
        <v>25</v>
      </c>
      <c r="N1190" t="s">
        <v>2597</v>
      </c>
      <c r="O1190" t="s">
        <v>29</v>
      </c>
      <c r="Q1190" t="s">
        <v>2597</v>
      </c>
      <c r="R1190" t="s">
        <v>2597</v>
      </c>
      <c r="S1190" t="s">
        <v>2597</v>
      </c>
      <c r="T1190" t="s">
        <v>2597</v>
      </c>
      <c r="U1190" t="s">
        <v>2597</v>
      </c>
      <c r="V1190" t="s">
        <v>2597</v>
      </c>
      <c r="W1190" t="s">
        <v>4382</v>
      </c>
      <c r="X1190" t="s">
        <v>4383</v>
      </c>
      <c r="Y1190" t="s">
        <v>4384</v>
      </c>
      <c r="Z1190">
        <v>810.3996257</v>
      </c>
    </row>
    <row r="1191" spans="1:26" hidden="1">
      <c r="A1191">
        <v>1190</v>
      </c>
      <c r="B1191" t="s">
        <v>4385</v>
      </c>
      <c r="C1191" t="s">
        <v>28</v>
      </c>
      <c r="D1191" s="1" t="b">
        <v>0</v>
      </c>
      <c r="E1191">
        <v>2.6499999999999999E-4</v>
      </c>
      <c r="F1191">
        <v>3.576754126</v>
      </c>
      <c r="G1191">
        <v>32.200000000000003</v>
      </c>
      <c r="H1191">
        <v>1.3799999999999999E-6</v>
      </c>
      <c r="I1191">
        <v>1.2</v>
      </c>
      <c r="J1191">
        <v>39.799999999999997</v>
      </c>
      <c r="K1191">
        <v>4.46</v>
      </c>
      <c r="L1191">
        <v>3.4700000000000003E-5</v>
      </c>
      <c r="M1191">
        <v>25</v>
      </c>
      <c r="N1191" t="s">
        <v>2597</v>
      </c>
      <c r="O1191" t="s">
        <v>29</v>
      </c>
      <c r="Q1191" t="s">
        <v>2597</v>
      </c>
      <c r="R1191" t="s">
        <v>2597</v>
      </c>
      <c r="S1191" t="s">
        <v>2597</v>
      </c>
      <c r="T1191" t="s">
        <v>2597</v>
      </c>
      <c r="U1191" t="s">
        <v>2597</v>
      </c>
      <c r="V1191" t="s">
        <v>2597</v>
      </c>
      <c r="W1191" t="s">
        <v>4386</v>
      </c>
      <c r="X1191" t="s">
        <v>4387</v>
      </c>
      <c r="Y1191" t="s">
        <v>4388</v>
      </c>
      <c r="Z1191">
        <v>782.36832549999997</v>
      </c>
    </row>
    <row r="1192" spans="1:26" hidden="1">
      <c r="A1192">
        <v>1191</v>
      </c>
      <c r="B1192" t="s">
        <v>4389</v>
      </c>
      <c r="C1192" t="s">
        <v>28</v>
      </c>
      <c r="D1192" s="1" t="b">
        <v>0</v>
      </c>
      <c r="E1192">
        <v>1.66E-4</v>
      </c>
      <c r="F1192">
        <v>3.7798919120000001</v>
      </c>
      <c r="G1192">
        <v>35.200000000000003</v>
      </c>
      <c r="H1192">
        <v>1.11E-6</v>
      </c>
      <c r="I1192">
        <v>1.5</v>
      </c>
      <c r="J1192">
        <v>36.799999999999997</v>
      </c>
      <c r="K1192">
        <v>4.5199999999999996</v>
      </c>
      <c r="L1192">
        <v>3.0199999999999999E-5</v>
      </c>
      <c r="M1192">
        <v>25</v>
      </c>
      <c r="N1192" t="s">
        <v>2597</v>
      </c>
      <c r="O1192" t="s">
        <v>29</v>
      </c>
      <c r="Q1192" t="s">
        <v>2597</v>
      </c>
      <c r="R1192" t="s">
        <v>2597</v>
      </c>
      <c r="S1192" t="s">
        <v>2597</v>
      </c>
      <c r="T1192" t="s">
        <v>2597</v>
      </c>
      <c r="U1192" t="s">
        <v>2597</v>
      </c>
      <c r="V1192" t="s">
        <v>2597</v>
      </c>
      <c r="W1192" t="s">
        <v>4390</v>
      </c>
      <c r="X1192" t="s">
        <v>4391</v>
      </c>
      <c r="Y1192" t="s">
        <v>4392</v>
      </c>
      <c r="Z1192">
        <v>870.42075499999999</v>
      </c>
    </row>
    <row r="1193" spans="1:26" hidden="1">
      <c r="A1193">
        <v>1192</v>
      </c>
      <c r="B1193" t="s">
        <v>4393</v>
      </c>
      <c r="C1193" t="s">
        <v>28</v>
      </c>
      <c r="D1193" s="1" t="b">
        <v>0</v>
      </c>
      <c r="E1193">
        <v>2.5399999999999999E-4</v>
      </c>
      <c r="F1193">
        <v>3.5951662830000002</v>
      </c>
      <c r="G1193">
        <v>32.200000000000003</v>
      </c>
      <c r="H1193">
        <v>1.66E-6</v>
      </c>
      <c r="I1193">
        <v>1</v>
      </c>
      <c r="J1193">
        <v>39.799999999999997</v>
      </c>
      <c r="K1193">
        <v>4.57</v>
      </c>
      <c r="L1193">
        <v>2.69E-5</v>
      </c>
      <c r="M1193">
        <v>25</v>
      </c>
      <c r="N1193" t="s">
        <v>2597</v>
      </c>
      <c r="O1193" t="s">
        <v>29</v>
      </c>
      <c r="Q1193" t="s">
        <v>2597</v>
      </c>
      <c r="R1193" t="s">
        <v>2597</v>
      </c>
      <c r="S1193" t="s">
        <v>2597</v>
      </c>
      <c r="T1193" t="s">
        <v>2597</v>
      </c>
      <c r="U1193" t="s">
        <v>2597</v>
      </c>
      <c r="V1193" t="s">
        <v>2597</v>
      </c>
      <c r="W1193" t="s">
        <v>4394</v>
      </c>
      <c r="X1193" t="s">
        <v>4395</v>
      </c>
      <c r="Y1193" t="s">
        <v>4396</v>
      </c>
      <c r="Z1193">
        <v>842.38945490000003</v>
      </c>
    </row>
    <row r="1194" spans="1:26" hidden="1">
      <c r="A1194">
        <v>1193</v>
      </c>
      <c r="B1194" t="s">
        <v>4397</v>
      </c>
      <c r="C1194" t="s">
        <v>28</v>
      </c>
      <c r="D1194" s="1" t="b">
        <v>0</v>
      </c>
      <c r="E1194">
        <v>2.0799999999999999E-4</v>
      </c>
      <c r="F1194">
        <v>3.6819366649999998</v>
      </c>
      <c r="G1194">
        <v>39.6</v>
      </c>
      <c r="H1194">
        <v>1.04E-6</v>
      </c>
      <c r="I1194">
        <v>1.6</v>
      </c>
      <c r="J1194">
        <v>32.4</v>
      </c>
      <c r="K1194">
        <v>4.46</v>
      </c>
      <c r="L1194">
        <v>3.4700000000000003E-5</v>
      </c>
      <c r="M1194">
        <v>25</v>
      </c>
      <c r="N1194" t="s">
        <v>2597</v>
      </c>
      <c r="O1194" t="s">
        <v>29</v>
      </c>
      <c r="Q1194" t="s">
        <v>2597</v>
      </c>
      <c r="R1194" t="s">
        <v>2597</v>
      </c>
      <c r="S1194" t="s">
        <v>2597</v>
      </c>
      <c r="T1194" t="s">
        <v>2597</v>
      </c>
      <c r="U1194" t="s">
        <v>2597</v>
      </c>
      <c r="V1194" t="s">
        <v>2597</v>
      </c>
      <c r="W1194" t="s">
        <v>4398</v>
      </c>
      <c r="X1194" t="s">
        <v>4399</v>
      </c>
      <c r="Y1194" t="s">
        <v>4400</v>
      </c>
      <c r="Z1194">
        <v>754.33702540000002</v>
      </c>
    </row>
    <row r="1195" spans="1:26" hidden="1">
      <c r="A1195">
        <v>1194</v>
      </c>
      <c r="B1195" t="s">
        <v>4401</v>
      </c>
      <c r="C1195" t="s">
        <v>161</v>
      </c>
      <c r="D1195" s="1" t="b">
        <v>0</v>
      </c>
      <c r="E1195">
        <v>5.9999999999999995E-4</v>
      </c>
      <c r="F1195">
        <v>3.2218487499999999</v>
      </c>
      <c r="M1195">
        <v>25</v>
      </c>
      <c r="N1195" t="s">
        <v>89</v>
      </c>
      <c r="P1195" t="s">
        <v>103</v>
      </c>
      <c r="W1195" t="s">
        <v>4402</v>
      </c>
      <c r="X1195" t="s">
        <v>4403</v>
      </c>
      <c r="Y1195" t="s">
        <v>4404</v>
      </c>
      <c r="Z1195">
        <v>290.2457096</v>
      </c>
    </row>
    <row r="1196" spans="1:26" hidden="1">
      <c r="A1196">
        <v>1195</v>
      </c>
      <c r="B1196" t="s">
        <v>764</v>
      </c>
      <c r="C1196" t="s">
        <v>83</v>
      </c>
      <c r="D1196" s="1" t="b">
        <v>0</v>
      </c>
      <c r="E1196">
        <v>6.8000000000000005E-4</v>
      </c>
      <c r="F1196">
        <v>3.1674910870000001</v>
      </c>
      <c r="M1196">
        <v>25</v>
      </c>
      <c r="N1196" t="s">
        <v>89</v>
      </c>
      <c r="P1196" t="s">
        <v>103</v>
      </c>
      <c r="W1196" t="s">
        <v>4405</v>
      </c>
      <c r="X1196" t="s">
        <v>4406</v>
      </c>
      <c r="Y1196" t="s">
        <v>4407</v>
      </c>
      <c r="Z1196">
        <v>334.27192430000002</v>
      </c>
    </row>
    <row r="1197" spans="1:26" hidden="1">
      <c r="A1197">
        <v>1196</v>
      </c>
      <c r="B1197" t="s">
        <v>767</v>
      </c>
      <c r="C1197" t="s">
        <v>83</v>
      </c>
      <c r="D1197" s="1" t="b">
        <v>0</v>
      </c>
      <c r="E1197">
        <v>7.6000000000000004E-4</v>
      </c>
      <c r="F1197">
        <v>3.119186408</v>
      </c>
      <c r="H1197">
        <v>3.1099999999999999E-6</v>
      </c>
      <c r="I1197">
        <v>0.53</v>
      </c>
      <c r="M1197">
        <v>25</v>
      </c>
      <c r="N1197" t="s">
        <v>89</v>
      </c>
      <c r="P1197" t="s">
        <v>103</v>
      </c>
      <c r="R1197" t="s">
        <v>768</v>
      </c>
      <c r="W1197" t="s">
        <v>4408</v>
      </c>
      <c r="X1197" t="s">
        <v>4409</v>
      </c>
      <c r="Y1197" t="s">
        <v>4410</v>
      </c>
      <c r="Z1197">
        <v>378.29813910000001</v>
      </c>
    </row>
    <row r="1198" spans="1:26" hidden="1">
      <c r="A1198">
        <v>1197</v>
      </c>
      <c r="B1198" t="s">
        <v>771</v>
      </c>
      <c r="C1198" t="s">
        <v>83</v>
      </c>
      <c r="D1198" s="1" t="b">
        <v>0</v>
      </c>
      <c r="E1198">
        <v>8.9999999999999998E-4</v>
      </c>
      <c r="F1198">
        <v>3.0457574909999998</v>
      </c>
      <c r="G1198">
        <v>29.8</v>
      </c>
      <c r="J1198">
        <v>42.2</v>
      </c>
      <c r="M1198">
        <v>25</v>
      </c>
      <c r="N1198" t="s">
        <v>89</v>
      </c>
      <c r="O1198" t="s">
        <v>29</v>
      </c>
      <c r="P1198" t="s">
        <v>103</v>
      </c>
      <c r="Q1198" t="s">
        <v>578</v>
      </c>
      <c r="W1198" t="s">
        <v>4411</v>
      </c>
      <c r="X1198" t="s">
        <v>4412</v>
      </c>
      <c r="Y1198" t="s">
        <v>4413</v>
      </c>
      <c r="Z1198">
        <v>422.32435379999998</v>
      </c>
    </row>
    <row r="1199" spans="1:26" hidden="1">
      <c r="A1199">
        <v>1198</v>
      </c>
      <c r="B1199" t="s">
        <v>774</v>
      </c>
      <c r="C1199" t="s">
        <v>83</v>
      </c>
      <c r="D1199" s="1" t="b">
        <v>0</v>
      </c>
      <c r="G1199">
        <v>35.4</v>
      </c>
      <c r="O1199" t="s">
        <v>29</v>
      </c>
      <c r="Q1199" t="s">
        <v>578</v>
      </c>
      <c r="X1199" t="s">
        <v>4414</v>
      </c>
      <c r="Y1199" t="s">
        <v>4415</v>
      </c>
      <c r="Z1199">
        <v>510.3767833</v>
      </c>
    </row>
    <row r="1200" spans="1:26" hidden="1">
      <c r="A1200">
        <v>1199</v>
      </c>
      <c r="B1200" t="s">
        <v>4416</v>
      </c>
      <c r="C1200" t="s">
        <v>161</v>
      </c>
      <c r="D1200" s="1" t="b">
        <v>0</v>
      </c>
      <c r="E1200">
        <v>1.2999999999999999E-3</v>
      </c>
      <c r="F1200">
        <v>2.8860566479999998</v>
      </c>
      <c r="G1200">
        <v>35.9</v>
      </c>
      <c r="H1200">
        <v>3.9600000000000002E-6</v>
      </c>
      <c r="I1200">
        <v>0.42</v>
      </c>
      <c r="J1200">
        <v>36.1</v>
      </c>
      <c r="K1200">
        <v>3.6</v>
      </c>
      <c r="L1200">
        <v>2.5000000000000001E-4</v>
      </c>
      <c r="M1200">
        <v>25</v>
      </c>
      <c r="N1200" t="s">
        <v>89</v>
      </c>
      <c r="P1200" t="s">
        <v>103</v>
      </c>
      <c r="Q1200" t="s">
        <v>446</v>
      </c>
      <c r="R1200" t="s">
        <v>446</v>
      </c>
      <c r="S1200" t="s">
        <v>446</v>
      </c>
      <c r="T1200" t="s">
        <v>446</v>
      </c>
      <c r="U1200" t="s">
        <v>446</v>
      </c>
      <c r="W1200" t="s">
        <v>4417</v>
      </c>
      <c r="X1200" t="s">
        <v>4418</v>
      </c>
      <c r="Y1200" t="s">
        <v>4419</v>
      </c>
      <c r="Z1200">
        <v>554.40299809999999</v>
      </c>
    </row>
    <row r="1201" spans="1:26">
      <c r="A1201">
        <v>1200</v>
      </c>
      <c r="B1201" t="s">
        <v>4420</v>
      </c>
      <c r="C1201" t="s">
        <v>54</v>
      </c>
      <c r="D1201" s="1" t="b">
        <v>1</v>
      </c>
      <c r="E1201">
        <v>1.55E-2</v>
      </c>
      <c r="F1201">
        <v>1.809668302</v>
      </c>
      <c r="G1201">
        <v>44</v>
      </c>
      <c r="I1201">
        <v>0.91</v>
      </c>
      <c r="J1201">
        <v>28.5</v>
      </c>
      <c r="M1201">
        <v>25</v>
      </c>
      <c r="N1201" t="s">
        <v>349</v>
      </c>
      <c r="O1201" t="s">
        <v>29</v>
      </c>
      <c r="Q1201" t="s">
        <v>2119</v>
      </c>
      <c r="S1201" t="s">
        <v>349</v>
      </c>
      <c r="T1201" t="s">
        <v>349</v>
      </c>
      <c r="X1201" t="s">
        <v>4421</v>
      </c>
      <c r="Y1201" t="s">
        <v>4422</v>
      </c>
      <c r="Z1201">
        <v>367.20859159999998</v>
      </c>
    </row>
    <row r="1202" spans="1:26" hidden="1">
      <c r="A1202">
        <v>1201</v>
      </c>
      <c r="B1202" t="s">
        <v>4423</v>
      </c>
      <c r="C1202" t="s">
        <v>54</v>
      </c>
      <c r="D1202" s="1" t="b">
        <v>0</v>
      </c>
      <c r="E1202">
        <v>2.3E-2</v>
      </c>
      <c r="F1202">
        <v>1.638272164</v>
      </c>
      <c r="M1202">
        <v>25</v>
      </c>
      <c r="N1202" t="s">
        <v>1832</v>
      </c>
      <c r="X1202" t="s">
        <v>4424</v>
      </c>
      <c r="Y1202" t="s">
        <v>4425</v>
      </c>
      <c r="Z1202">
        <v>323.25910709999999</v>
      </c>
    </row>
    <row r="1203" spans="1:26">
      <c r="A1203">
        <v>1202</v>
      </c>
      <c r="B1203" s="2" t="s">
        <v>4426</v>
      </c>
      <c r="C1203" t="s">
        <v>54</v>
      </c>
      <c r="D1203" s="1" t="b">
        <v>1</v>
      </c>
      <c r="E1203">
        <v>2.1000000000000001E-2</v>
      </c>
      <c r="F1203">
        <v>1.677780705</v>
      </c>
      <c r="M1203">
        <v>25</v>
      </c>
      <c r="N1203" t="s">
        <v>1832</v>
      </c>
      <c r="X1203" t="s">
        <v>4427</v>
      </c>
      <c r="Y1203" t="s">
        <v>4428</v>
      </c>
      <c r="Z1203">
        <v>348.26693219999999</v>
      </c>
    </row>
    <row r="1204" spans="1:26">
      <c r="A1204">
        <v>1203</v>
      </c>
      <c r="B1204" t="s">
        <v>4429</v>
      </c>
      <c r="C1204" t="s">
        <v>134</v>
      </c>
      <c r="D1204" s="1" t="b">
        <v>1</v>
      </c>
      <c r="E1204" s="3">
        <v>1.5900000000000001E-2</v>
      </c>
      <c r="F1204" s="2">
        <f>-LOG10(E1204)</f>
        <v>1.7986028756795485</v>
      </c>
      <c r="G1204" s="2"/>
      <c r="H1204" s="2"/>
      <c r="I1204" s="2"/>
      <c r="J1204" s="2"/>
      <c r="K1204" s="2"/>
      <c r="L1204" s="2"/>
      <c r="M1204">
        <v>25</v>
      </c>
      <c r="N1204" t="s">
        <v>135</v>
      </c>
      <c r="R1204" t="s">
        <v>137</v>
      </c>
      <c r="S1204" t="s">
        <v>137</v>
      </c>
      <c r="X1204" t="s">
        <v>4430</v>
      </c>
      <c r="Y1204" t="s">
        <v>4431</v>
      </c>
      <c r="Z1204">
        <v>288.13712459999999</v>
      </c>
    </row>
    <row r="1205" spans="1:26" hidden="1">
      <c r="A1205">
        <v>1204</v>
      </c>
      <c r="B1205" t="s">
        <v>4432</v>
      </c>
      <c r="C1205" t="s">
        <v>54</v>
      </c>
      <c r="D1205" s="1" t="b">
        <v>0</v>
      </c>
      <c r="E1205">
        <v>3.0599999999999999E-2</v>
      </c>
      <c r="F1205">
        <v>1.514278574</v>
      </c>
      <c r="M1205">
        <v>25</v>
      </c>
      <c r="N1205" t="s">
        <v>1832</v>
      </c>
      <c r="X1205" t="s">
        <v>4433</v>
      </c>
      <c r="Y1205" t="s">
        <v>4434</v>
      </c>
      <c r="Z1205">
        <v>279.23289240000003</v>
      </c>
    </row>
    <row r="1206" spans="1:26">
      <c r="A1206">
        <v>1205</v>
      </c>
      <c r="B1206" s="2" t="s">
        <v>4435</v>
      </c>
      <c r="C1206" t="s">
        <v>54</v>
      </c>
      <c r="D1206" s="1" t="b">
        <v>1</v>
      </c>
      <c r="E1206">
        <v>2.5600000000000001E-2</v>
      </c>
      <c r="F1206">
        <v>1.5917600350000001</v>
      </c>
      <c r="M1206">
        <v>25</v>
      </c>
      <c r="N1206" t="s">
        <v>1832</v>
      </c>
      <c r="X1206" t="s">
        <v>4436</v>
      </c>
      <c r="Y1206" t="s">
        <v>4437</v>
      </c>
      <c r="Z1206">
        <v>304.24071739999999</v>
      </c>
    </row>
    <row r="1207" spans="1:26" hidden="1">
      <c r="A1207">
        <v>1206</v>
      </c>
      <c r="B1207" t="s">
        <v>4438</v>
      </c>
      <c r="C1207" t="s">
        <v>83</v>
      </c>
      <c r="D1207" s="1" t="b">
        <v>0</v>
      </c>
      <c r="E1207">
        <v>5.9980000000000005E-4</v>
      </c>
      <c r="F1207">
        <v>3.2219935390000001</v>
      </c>
      <c r="M1207">
        <v>25</v>
      </c>
      <c r="N1207" t="s">
        <v>207</v>
      </c>
      <c r="X1207" t="s">
        <v>4439</v>
      </c>
      <c r="Y1207" t="s">
        <v>4440</v>
      </c>
      <c r="Z1207">
        <v>290.2457096</v>
      </c>
    </row>
    <row r="1208" spans="1:26" hidden="1">
      <c r="A1208">
        <v>1207</v>
      </c>
      <c r="B1208" t="s">
        <v>4441</v>
      </c>
      <c r="C1208" t="s">
        <v>83</v>
      </c>
      <c r="D1208" s="1" t="b">
        <v>0</v>
      </c>
      <c r="E1208">
        <v>6.8079999999999996E-4</v>
      </c>
      <c r="F1208">
        <v>3.1669804529999999</v>
      </c>
      <c r="M1208">
        <v>25</v>
      </c>
      <c r="N1208" t="s">
        <v>207</v>
      </c>
      <c r="X1208" t="s">
        <v>4442</v>
      </c>
      <c r="Y1208" t="s">
        <v>4443</v>
      </c>
      <c r="Z1208">
        <v>334.27192430000002</v>
      </c>
    </row>
    <row r="1209" spans="1:26" hidden="1">
      <c r="A1209">
        <v>1208</v>
      </c>
      <c r="B1209" t="s">
        <v>4444</v>
      </c>
      <c r="C1209" t="s">
        <v>83</v>
      </c>
      <c r="D1209" s="1" t="b">
        <v>0</v>
      </c>
      <c r="E1209">
        <v>7.9429999999999995E-4</v>
      </c>
      <c r="F1209">
        <v>3.1000154370000002</v>
      </c>
      <c r="M1209">
        <v>25</v>
      </c>
      <c r="N1209" t="s">
        <v>207</v>
      </c>
      <c r="X1209" t="s">
        <v>4445</v>
      </c>
      <c r="Y1209" t="s">
        <v>4446</v>
      </c>
      <c r="Z1209">
        <v>378.29813910000001</v>
      </c>
    </row>
    <row r="1210" spans="1:26" hidden="1">
      <c r="A1210">
        <v>1209</v>
      </c>
      <c r="B1210" t="s">
        <v>4447</v>
      </c>
      <c r="C1210" t="s">
        <v>83</v>
      </c>
      <c r="D1210" s="1" t="b">
        <v>0</v>
      </c>
      <c r="E1210">
        <v>8.9950000000000002E-4</v>
      </c>
      <c r="F1210">
        <v>3.045998832</v>
      </c>
      <c r="G1210">
        <v>30</v>
      </c>
      <c r="J1210">
        <v>42</v>
      </c>
      <c r="M1210">
        <v>25</v>
      </c>
      <c r="N1210" t="s">
        <v>207</v>
      </c>
      <c r="O1210" t="s">
        <v>2148</v>
      </c>
      <c r="X1210" t="s">
        <v>4448</v>
      </c>
      <c r="Y1210" t="s">
        <v>4449</v>
      </c>
      <c r="Z1210">
        <v>422.32435379999998</v>
      </c>
    </row>
    <row r="1211" spans="1:26" hidden="1">
      <c r="A1211">
        <v>1210</v>
      </c>
      <c r="B1211" t="s">
        <v>4450</v>
      </c>
      <c r="C1211" t="s">
        <v>83</v>
      </c>
      <c r="D1211" s="1" t="b">
        <v>0</v>
      </c>
      <c r="E1211">
        <v>9.6610000000000001E-4</v>
      </c>
      <c r="F1211">
        <v>3.014977918</v>
      </c>
      <c r="M1211">
        <v>25</v>
      </c>
      <c r="N1211" t="s">
        <v>207</v>
      </c>
      <c r="X1211" t="s">
        <v>4451</v>
      </c>
      <c r="Y1211" t="s">
        <v>4452</v>
      </c>
      <c r="Z1211">
        <v>466.35056859999997</v>
      </c>
    </row>
    <row r="1212" spans="1:26" hidden="1">
      <c r="A1212">
        <v>1211</v>
      </c>
      <c r="B1212" t="s">
        <v>4453</v>
      </c>
      <c r="C1212" t="s">
        <v>83</v>
      </c>
      <c r="D1212" s="1" t="b">
        <v>0</v>
      </c>
      <c r="E1212">
        <v>1E-3</v>
      </c>
      <c r="F1212">
        <v>3</v>
      </c>
      <c r="G1212">
        <v>35.6</v>
      </c>
      <c r="J1212">
        <v>36.4</v>
      </c>
      <c r="M1212">
        <v>25</v>
      </c>
      <c r="N1212" t="s">
        <v>207</v>
      </c>
      <c r="O1212" t="s">
        <v>2148</v>
      </c>
      <c r="X1212" t="s">
        <v>4454</v>
      </c>
      <c r="Y1212" t="s">
        <v>4455</v>
      </c>
      <c r="Z1212">
        <v>510.3767833</v>
      </c>
    </row>
    <row r="1213" spans="1:26" hidden="1">
      <c r="A1213">
        <v>1212</v>
      </c>
      <c r="B1213" t="s">
        <v>4456</v>
      </c>
      <c r="C1213" t="s">
        <v>83</v>
      </c>
      <c r="D1213" s="1" t="b">
        <v>0</v>
      </c>
      <c r="E1213">
        <v>1.2999999999999999E-3</v>
      </c>
      <c r="F1213">
        <v>2.8860566479999998</v>
      </c>
      <c r="M1213">
        <v>25</v>
      </c>
      <c r="N1213" t="s">
        <v>207</v>
      </c>
      <c r="X1213" t="s">
        <v>4457</v>
      </c>
      <c r="Y1213" t="s">
        <v>4458</v>
      </c>
      <c r="Z1213">
        <v>554.40299809999999</v>
      </c>
    </row>
    <row r="1214" spans="1:26" hidden="1">
      <c r="A1214">
        <v>1213</v>
      </c>
      <c r="B1214" t="s">
        <v>4459</v>
      </c>
      <c r="C1214" t="s">
        <v>1848</v>
      </c>
      <c r="D1214" s="1" t="b">
        <v>0</v>
      </c>
      <c r="E1214">
        <v>1E-4</v>
      </c>
      <c r="F1214">
        <v>4</v>
      </c>
      <c r="M1214">
        <v>25</v>
      </c>
      <c r="N1214" t="s">
        <v>1849</v>
      </c>
      <c r="X1214" t="s">
        <v>4460</v>
      </c>
      <c r="Y1214" t="s">
        <v>4461</v>
      </c>
      <c r="Z1214">
        <v>421.3320956</v>
      </c>
    </row>
    <row r="1215" spans="1:26" hidden="1">
      <c r="A1215">
        <v>1214</v>
      </c>
      <c r="B1215" t="s">
        <v>4462</v>
      </c>
      <c r="C1215" t="s">
        <v>1848</v>
      </c>
      <c r="D1215" s="1" t="b">
        <v>0</v>
      </c>
      <c r="E1215" s="4">
        <v>1.2999999999999999E-5</v>
      </c>
      <c r="F1215">
        <v>4.8860999999999999</v>
      </c>
      <c r="M1215">
        <v>25</v>
      </c>
      <c r="N1215" t="s">
        <v>1849</v>
      </c>
      <c r="X1215" t="s">
        <v>4463</v>
      </c>
      <c r="Y1215" t="s">
        <v>4464</v>
      </c>
      <c r="Z1215">
        <v>449.36339579999998</v>
      </c>
    </row>
    <row r="1216" spans="1:26" hidden="1">
      <c r="A1216">
        <v>1215</v>
      </c>
      <c r="B1216" t="s">
        <v>4465</v>
      </c>
      <c r="C1216" t="s">
        <v>134</v>
      </c>
      <c r="D1216" s="13" t="b">
        <v>0</v>
      </c>
      <c r="E1216">
        <v>3.304E-2</v>
      </c>
      <c r="F1216">
        <v>1.4809599609999999</v>
      </c>
      <c r="H1216">
        <v>5.3399999999999999E-7</v>
      </c>
      <c r="I1216">
        <v>3.11</v>
      </c>
      <c r="M1216">
        <v>25</v>
      </c>
      <c r="N1216" t="s">
        <v>179</v>
      </c>
      <c r="P1216" t="s">
        <v>180</v>
      </c>
      <c r="T1216" t="s">
        <v>289</v>
      </c>
      <c r="W1216" t="s">
        <v>4466</v>
      </c>
      <c r="X1216" t="s">
        <v>4467</v>
      </c>
      <c r="Y1216" t="s">
        <v>4468</v>
      </c>
      <c r="Z1216">
        <v>260.10582440000002</v>
      </c>
    </row>
    <row r="1217" spans="1:26">
      <c r="A1217">
        <v>1216</v>
      </c>
      <c r="B1217" s="2" t="s">
        <v>4469</v>
      </c>
      <c r="C1217" t="s">
        <v>161</v>
      </c>
      <c r="D1217" s="1" t="b">
        <v>1</v>
      </c>
      <c r="E1217">
        <v>2E-3</v>
      </c>
      <c r="F1217">
        <v>2.698970004</v>
      </c>
      <c r="G1217">
        <v>28.5</v>
      </c>
      <c r="H1217">
        <v>4.0500000000000002E-6</v>
      </c>
      <c r="I1217">
        <v>0.41</v>
      </c>
      <c r="J1217">
        <v>43.5</v>
      </c>
      <c r="K1217">
        <v>3.7153354749999998</v>
      </c>
      <c r="L1217">
        <v>2.4347272E-2</v>
      </c>
      <c r="M1217">
        <v>25</v>
      </c>
      <c r="N1217" t="s">
        <v>162</v>
      </c>
      <c r="O1217" t="s">
        <v>163</v>
      </c>
      <c r="P1217" t="s">
        <v>164</v>
      </c>
      <c r="R1217" t="s">
        <v>3235</v>
      </c>
      <c r="S1217" t="s">
        <v>3235</v>
      </c>
      <c r="T1217" t="s">
        <v>3235</v>
      </c>
      <c r="U1217" t="s">
        <v>31</v>
      </c>
      <c r="V1217" t="s">
        <v>31</v>
      </c>
      <c r="W1217" t="s">
        <v>4470</v>
      </c>
      <c r="X1217" t="s">
        <v>4471</v>
      </c>
      <c r="Y1217" t="s">
        <v>4472</v>
      </c>
      <c r="Z1217">
        <v>320.21988870000001</v>
      </c>
    </row>
    <row r="1218" spans="1:26">
      <c r="A1218">
        <v>1217</v>
      </c>
      <c r="B1218" t="s">
        <v>4473</v>
      </c>
      <c r="C1218" t="s">
        <v>161</v>
      </c>
      <c r="D1218" s="1" t="b">
        <v>1</v>
      </c>
      <c r="E1218">
        <v>6.9999999999999999E-4</v>
      </c>
      <c r="F1218">
        <v>3.1549019600000001</v>
      </c>
      <c r="G1218">
        <v>28</v>
      </c>
      <c r="H1218">
        <v>3.1300000000000001E-6</v>
      </c>
      <c r="I1218">
        <v>0.53</v>
      </c>
      <c r="J1218">
        <v>43.97</v>
      </c>
      <c r="K1218">
        <v>4.4979884090000004</v>
      </c>
      <c r="L1218">
        <v>1.1131366E-2</v>
      </c>
      <c r="M1218">
        <v>25</v>
      </c>
      <c r="N1218" t="s">
        <v>162</v>
      </c>
      <c r="O1218" t="s">
        <v>163</v>
      </c>
      <c r="P1218" t="s">
        <v>164</v>
      </c>
      <c r="R1218" t="s">
        <v>3477</v>
      </c>
      <c r="S1218" t="s">
        <v>31</v>
      </c>
      <c r="T1218" t="s">
        <v>3477</v>
      </c>
      <c r="U1218" t="s">
        <v>31</v>
      </c>
      <c r="V1218" t="s">
        <v>31</v>
      </c>
      <c r="W1218" t="s">
        <v>4474</v>
      </c>
      <c r="X1218" t="s">
        <v>4475</v>
      </c>
      <c r="Y1218" t="s">
        <v>4476</v>
      </c>
      <c r="Z1218">
        <v>320.21988870000001</v>
      </c>
    </row>
    <row r="1219" spans="1:26">
      <c r="A1219">
        <v>1218</v>
      </c>
      <c r="B1219" t="s">
        <v>4477</v>
      </c>
      <c r="C1219" t="s">
        <v>161</v>
      </c>
      <c r="D1219" s="1" t="b">
        <v>1</v>
      </c>
      <c r="E1219">
        <v>2.5000000000000001E-4</v>
      </c>
      <c r="F1219">
        <v>3.602059991</v>
      </c>
      <c r="G1219">
        <v>28.5</v>
      </c>
      <c r="H1219">
        <v>2.3099999999999999E-6</v>
      </c>
      <c r="I1219">
        <v>0.53</v>
      </c>
      <c r="J1219">
        <v>43.47</v>
      </c>
      <c r="K1219">
        <v>5.3839994539999996</v>
      </c>
      <c r="L1219">
        <v>4.5894300000000002E-3</v>
      </c>
      <c r="M1219">
        <v>25</v>
      </c>
      <c r="N1219" t="s">
        <v>162</v>
      </c>
      <c r="O1219" t="s">
        <v>163</v>
      </c>
      <c r="P1219" t="s">
        <v>164</v>
      </c>
      <c r="R1219" t="s">
        <v>3477</v>
      </c>
      <c r="S1219" t="s">
        <v>31</v>
      </c>
      <c r="T1219" t="s">
        <v>3477</v>
      </c>
      <c r="U1219" t="s">
        <v>31</v>
      </c>
      <c r="V1219" t="s">
        <v>31</v>
      </c>
      <c r="W1219" t="s">
        <v>4478</v>
      </c>
      <c r="X1219" t="s">
        <v>4479</v>
      </c>
      <c r="Y1219" t="s">
        <v>4480</v>
      </c>
      <c r="Z1219">
        <v>320.21988870000001</v>
      </c>
    </row>
    <row r="1220" spans="1:26" hidden="1">
      <c r="A1220">
        <v>1219</v>
      </c>
      <c r="B1220" t="s">
        <v>4481</v>
      </c>
      <c r="C1220" t="s">
        <v>54</v>
      </c>
      <c r="D1220" s="1" t="b">
        <v>0</v>
      </c>
      <c r="G1220">
        <v>39</v>
      </c>
      <c r="O1220" t="s">
        <v>29</v>
      </c>
      <c r="Q1220" t="s">
        <v>2172</v>
      </c>
      <c r="X1220" t="s">
        <v>4482</v>
      </c>
      <c r="Y1220" t="s">
        <v>4483</v>
      </c>
      <c r="Z1220">
        <v>408.17762579999999</v>
      </c>
    </row>
    <row r="1221" spans="1:26" hidden="1">
      <c r="A1221">
        <v>1220</v>
      </c>
      <c r="B1221" t="s">
        <v>4484</v>
      </c>
      <c r="C1221" t="s">
        <v>28</v>
      </c>
      <c r="D1221" s="1" t="b">
        <v>0</v>
      </c>
      <c r="G1221">
        <v>39.799999999999997</v>
      </c>
      <c r="O1221" t="s">
        <v>29</v>
      </c>
      <c r="Q1221" t="s">
        <v>2172</v>
      </c>
      <c r="X1221" t="s">
        <v>4485</v>
      </c>
      <c r="Y1221" t="s">
        <v>4486</v>
      </c>
      <c r="Z1221">
        <v>870.40220169999998</v>
      </c>
    </row>
    <row r="1222" spans="1:26" hidden="1">
      <c r="A1222">
        <v>1221</v>
      </c>
      <c r="B1222" t="s">
        <v>4487</v>
      </c>
      <c r="C1222" t="s">
        <v>28</v>
      </c>
      <c r="D1222" s="1" t="b">
        <v>0</v>
      </c>
      <c r="G1222">
        <v>37.200000000000003</v>
      </c>
      <c r="O1222" t="s">
        <v>29</v>
      </c>
      <c r="Q1222" t="s">
        <v>2172</v>
      </c>
      <c r="X1222" t="s">
        <v>4488</v>
      </c>
      <c r="Y1222" t="s">
        <v>4489</v>
      </c>
      <c r="Z1222">
        <v>828.35525159999997</v>
      </c>
    </row>
    <row r="1223" spans="1:26" hidden="1">
      <c r="A1223">
        <v>1222</v>
      </c>
      <c r="B1223" t="s">
        <v>4490</v>
      </c>
      <c r="C1223" t="s">
        <v>28</v>
      </c>
      <c r="D1223" s="1" t="b">
        <v>0</v>
      </c>
      <c r="E1223">
        <v>1.0900000000000001E-5</v>
      </c>
      <c r="F1223">
        <v>4.9625735019999997</v>
      </c>
      <c r="G1223">
        <v>45</v>
      </c>
      <c r="H1223">
        <v>1.22E-6</v>
      </c>
      <c r="I1223">
        <v>1.36</v>
      </c>
      <c r="J1223">
        <v>27</v>
      </c>
      <c r="K1223">
        <v>5.0199999999999996</v>
      </c>
      <c r="L1223">
        <v>9.4800000000000007E-6</v>
      </c>
      <c r="M1223">
        <v>25</v>
      </c>
      <c r="N1223" t="s">
        <v>2176</v>
      </c>
      <c r="O1223" t="s">
        <v>2177</v>
      </c>
      <c r="P1223" t="s">
        <v>2182</v>
      </c>
      <c r="Q1223" t="s">
        <v>2176</v>
      </c>
      <c r="R1223" t="s">
        <v>2176</v>
      </c>
      <c r="T1223" t="s">
        <v>2176</v>
      </c>
      <c r="U1223" t="s">
        <v>2176</v>
      </c>
      <c r="W1223" t="s">
        <v>4491</v>
      </c>
      <c r="X1223" t="s">
        <v>4492</v>
      </c>
      <c r="Y1223" t="s">
        <v>4493</v>
      </c>
      <c r="Z1223">
        <v>910.45463119999999</v>
      </c>
    </row>
    <row r="1224" spans="1:26" hidden="1">
      <c r="A1224">
        <v>1223</v>
      </c>
      <c r="B1224" t="s">
        <v>4494</v>
      </c>
      <c r="C1224" t="s">
        <v>28</v>
      </c>
      <c r="D1224" s="1" t="b">
        <v>0</v>
      </c>
      <c r="E1224">
        <v>2.0699999999999998E-5</v>
      </c>
      <c r="F1224">
        <v>4.6840296549999998</v>
      </c>
      <c r="G1224">
        <v>41.6</v>
      </c>
      <c r="H1224">
        <v>1.06E-6</v>
      </c>
      <c r="I1224">
        <v>1.57</v>
      </c>
      <c r="J1224">
        <v>30.4</v>
      </c>
      <c r="K1224">
        <v>5.31</v>
      </c>
      <c r="L1224">
        <v>4.8899999999999998E-6</v>
      </c>
      <c r="M1224">
        <v>25</v>
      </c>
      <c r="N1224" t="s">
        <v>2176</v>
      </c>
      <c r="O1224" t="s">
        <v>2177</v>
      </c>
      <c r="P1224" t="s">
        <v>2182</v>
      </c>
      <c r="Q1224" t="s">
        <v>2176</v>
      </c>
      <c r="R1224" t="s">
        <v>2176</v>
      </c>
      <c r="T1224" t="s">
        <v>2176</v>
      </c>
      <c r="U1224" t="s">
        <v>2176</v>
      </c>
      <c r="W1224" t="s">
        <v>4495</v>
      </c>
      <c r="X1224" t="s">
        <v>4496</v>
      </c>
      <c r="Y1224" t="s">
        <v>4497</v>
      </c>
      <c r="Z1224">
        <v>882.42333110000004</v>
      </c>
    </row>
    <row r="1225" spans="1:26" hidden="1">
      <c r="A1225">
        <v>1224</v>
      </c>
      <c r="B1225" t="s">
        <v>4498</v>
      </c>
      <c r="C1225" t="s">
        <v>28</v>
      </c>
      <c r="D1225" s="1" t="b">
        <v>0</v>
      </c>
      <c r="E1225">
        <v>4.07E-5</v>
      </c>
      <c r="F1225">
        <v>4.3904055910000004</v>
      </c>
      <c r="G1225">
        <v>33.1</v>
      </c>
      <c r="H1225">
        <v>1.13E-6</v>
      </c>
      <c r="I1225">
        <v>1.47</v>
      </c>
      <c r="J1225">
        <v>38.9</v>
      </c>
      <c r="K1225">
        <v>5.53</v>
      </c>
      <c r="L1225">
        <v>2.9499999999999999E-5</v>
      </c>
      <c r="M1225">
        <v>25</v>
      </c>
      <c r="N1225" t="s">
        <v>2176</v>
      </c>
      <c r="O1225" t="s">
        <v>2177</v>
      </c>
      <c r="P1225" t="s">
        <v>2182</v>
      </c>
      <c r="Q1225" t="s">
        <v>2176</v>
      </c>
      <c r="R1225" t="s">
        <v>2176</v>
      </c>
      <c r="T1225" t="s">
        <v>2176</v>
      </c>
      <c r="U1225" t="s">
        <v>2176</v>
      </c>
      <c r="W1225" t="s">
        <v>4499</v>
      </c>
      <c r="X1225" t="s">
        <v>4500</v>
      </c>
      <c r="Y1225" t="s">
        <v>4501</v>
      </c>
      <c r="Z1225">
        <v>854.39203099999997</v>
      </c>
    </row>
    <row r="1226" spans="1:26">
      <c r="A1226">
        <v>1225</v>
      </c>
      <c r="B1226" s="2" t="s">
        <v>4502</v>
      </c>
      <c r="C1226" t="s">
        <v>28</v>
      </c>
      <c r="D1226" s="1" t="b">
        <v>1</v>
      </c>
      <c r="E1226">
        <v>1E-3</v>
      </c>
      <c r="F1226">
        <v>3</v>
      </c>
      <c r="G1226">
        <v>26.2</v>
      </c>
      <c r="H1226">
        <v>8.2999999999999999E-7</v>
      </c>
      <c r="I1226">
        <v>1.98</v>
      </c>
      <c r="J1226">
        <v>45.8</v>
      </c>
      <c r="K1226">
        <v>2.872895202</v>
      </c>
      <c r="L1226">
        <v>1.34E-3</v>
      </c>
      <c r="M1226">
        <v>25</v>
      </c>
      <c r="N1226" t="s">
        <v>2704</v>
      </c>
      <c r="O1226" t="s">
        <v>2704</v>
      </c>
      <c r="R1226" t="s">
        <v>2704</v>
      </c>
      <c r="S1226" t="s">
        <v>2704</v>
      </c>
      <c r="T1226" t="s">
        <v>2704</v>
      </c>
      <c r="V1226" t="s">
        <v>2704</v>
      </c>
      <c r="X1226" t="s">
        <v>4503</v>
      </c>
      <c r="Y1226" t="s">
        <v>4504</v>
      </c>
      <c r="Z1226">
        <v>528.42799649999995</v>
      </c>
    </row>
    <row r="1227" spans="1:26" hidden="1">
      <c r="A1227">
        <v>1226</v>
      </c>
      <c r="B1227" t="s">
        <v>4505</v>
      </c>
      <c r="C1227" t="s">
        <v>28</v>
      </c>
      <c r="D1227" s="1" t="b">
        <v>0</v>
      </c>
      <c r="E1227">
        <v>1E-3</v>
      </c>
      <c r="F1227">
        <v>3</v>
      </c>
      <c r="M1227">
        <v>25</v>
      </c>
      <c r="N1227" t="s">
        <v>484</v>
      </c>
      <c r="X1227" t="s">
        <v>4506</v>
      </c>
      <c r="Y1227" t="s">
        <v>4507</v>
      </c>
      <c r="Z1227">
        <v>686.26576790000001</v>
      </c>
    </row>
    <row r="1228" spans="1:26" hidden="1">
      <c r="A1228">
        <v>1227</v>
      </c>
      <c r="B1228" t="s">
        <v>4508</v>
      </c>
      <c r="C1228" t="s">
        <v>134</v>
      </c>
      <c r="D1228" s="13" t="b">
        <v>0</v>
      </c>
      <c r="E1228">
        <v>3.9989999999999998E-2</v>
      </c>
      <c r="F1228">
        <v>1.398048596</v>
      </c>
      <c r="M1228">
        <v>25</v>
      </c>
      <c r="N1228" t="s">
        <v>3552</v>
      </c>
      <c r="P1228" t="s">
        <v>103</v>
      </c>
      <c r="W1228" t="s">
        <v>4509</v>
      </c>
      <c r="X1228" t="s">
        <v>4510</v>
      </c>
      <c r="Y1228" t="s">
        <v>4511</v>
      </c>
      <c r="Z1228">
        <v>244.1109098</v>
      </c>
    </row>
    <row r="1229" spans="1:26">
      <c r="A1229">
        <v>1228</v>
      </c>
      <c r="B1229" s="2" t="s">
        <v>4512</v>
      </c>
      <c r="C1229" t="s">
        <v>161</v>
      </c>
      <c r="D1229" s="1" t="b">
        <v>1</v>
      </c>
      <c r="E1229">
        <v>3.3000000000000003E-5</v>
      </c>
      <c r="F1229">
        <v>4.4814860599999999</v>
      </c>
      <c r="G1229">
        <v>28</v>
      </c>
      <c r="H1229">
        <v>5.0100000000000003E-6</v>
      </c>
      <c r="I1229">
        <v>0.33</v>
      </c>
      <c r="J1229">
        <v>44.75</v>
      </c>
      <c r="K1229">
        <v>5.4</v>
      </c>
      <c r="L1229">
        <v>3.98E-6</v>
      </c>
      <c r="M1229">
        <v>20</v>
      </c>
      <c r="N1229" t="s">
        <v>162</v>
      </c>
      <c r="O1229" t="s">
        <v>163</v>
      </c>
      <c r="P1229" t="s">
        <v>164</v>
      </c>
      <c r="R1229" t="s">
        <v>4513</v>
      </c>
      <c r="S1229" t="s">
        <v>31</v>
      </c>
      <c r="T1229" t="s">
        <v>4513</v>
      </c>
      <c r="U1229" t="s">
        <v>4513</v>
      </c>
      <c r="W1229" t="s">
        <v>4514</v>
      </c>
      <c r="X1229" t="s">
        <v>4515</v>
      </c>
      <c r="Y1229" t="s">
        <v>4516</v>
      </c>
      <c r="Z1229">
        <v>320.16574500000002</v>
      </c>
    </row>
    <row r="1230" spans="1:26">
      <c r="A1230">
        <v>1229</v>
      </c>
      <c r="B1230" s="2" t="s">
        <v>4517</v>
      </c>
      <c r="C1230" t="s">
        <v>161</v>
      </c>
      <c r="D1230" s="1" t="b">
        <v>1</v>
      </c>
      <c r="E1230">
        <v>2.3E-5</v>
      </c>
      <c r="F1230">
        <v>4.638272164</v>
      </c>
      <c r="G1230">
        <v>29.5</v>
      </c>
      <c r="H1230">
        <v>4.95E-6</v>
      </c>
      <c r="I1230">
        <v>0.34</v>
      </c>
      <c r="J1230">
        <v>43.25</v>
      </c>
      <c r="K1230">
        <v>5.4</v>
      </c>
      <c r="L1230">
        <v>3.98E-6</v>
      </c>
      <c r="M1230">
        <v>20</v>
      </c>
      <c r="N1230" t="s">
        <v>162</v>
      </c>
      <c r="O1230" t="s">
        <v>4513</v>
      </c>
      <c r="P1230" t="s">
        <v>164</v>
      </c>
      <c r="R1230" t="s">
        <v>4513</v>
      </c>
      <c r="S1230" t="s">
        <v>31</v>
      </c>
      <c r="T1230" t="s">
        <v>4513</v>
      </c>
      <c r="U1230" t="s">
        <v>4513</v>
      </c>
      <c r="W1230" t="s">
        <v>4518</v>
      </c>
      <c r="X1230" t="s">
        <v>4519</v>
      </c>
      <c r="Y1230" t="s">
        <v>4520</v>
      </c>
      <c r="Z1230">
        <v>320.16574500000002</v>
      </c>
    </row>
    <row r="1231" spans="1:26">
      <c r="A1231">
        <v>1230</v>
      </c>
      <c r="B1231" s="2" t="s">
        <v>4521</v>
      </c>
      <c r="C1231" t="s">
        <v>161</v>
      </c>
      <c r="D1231" s="1" t="b">
        <v>1</v>
      </c>
      <c r="E1231">
        <v>4.0000000000000002E-4</v>
      </c>
      <c r="F1231">
        <v>3.397940009</v>
      </c>
      <c r="G1231">
        <v>28.2</v>
      </c>
      <c r="H1231">
        <v>3.63E-6</v>
      </c>
      <c r="I1231">
        <v>0.46</v>
      </c>
      <c r="J1231">
        <v>44.55</v>
      </c>
      <c r="K1231">
        <v>5.4</v>
      </c>
      <c r="L1231">
        <v>3.98E-6</v>
      </c>
      <c r="M1231">
        <v>20</v>
      </c>
      <c r="N1231" t="s">
        <v>162</v>
      </c>
      <c r="O1231" t="s">
        <v>4513</v>
      </c>
      <c r="P1231" t="s">
        <v>164</v>
      </c>
      <c r="R1231" t="s">
        <v>4513</v>
      </c>
      <c r="S1231" t="s">
        <v>31</v>
      </c>
      <c r="T1231" t="s">
        <v>4513</v>
      </c>
      <c r="U1231" t="s">
        <v>4513</v>
      </c>
      <c r="W1231" t="s">
        <v>4522</v>
      </c>
      <c r="X1231" t="s">
        <v>4523</v>
      </c>
      <c r="Y1231" t="s">
        <v>4524</v>
      </c>
      <c r="Z1231">
        <v>308.20213050000001</v>
      </c>
    </row>
    <row r="1232" spans="1:26" hidden="1">
      <c r="A1232">
        <v>1231</v>
      </c>
      <c r="B1232" t="s">
        <v>4525</v>
      </c>
      <c r="C1232" t="s">
        <v>54</v>
      </c>
      <c r="D1232" s="1" t="b">
        <v>0</v>
      </c>
      <c r="E1232">
        <v>4.7600000000000003E-3</v>
      </c>
      <c r="F1232">
        <v>2.3223930469999998</v>
      </c>
      <c r="G1232">
        <v>36.200000000000003</v>
      </c>
      <c r="H1232">
        <v>3.0199999999999999E-6</v>
      </c>
      <c r="I1232">
        <v>0.55000000000000004</v>
      </c>
      <c r="J1232">
        <v>35.770000000000003</v>
      </c>
      <c r="K1232">
        <v>2.780595291</v>
      </c>
      <c r="L1232">
        <v>6.2001586999999997E-2</v>
      </c>
      <c r="M1232">
        <v>25</v>
      </c>
      <c r="N1232" t="s">
        <v>4526</v>
      </c>
      <c r="O1232" t="s">
        <v>2735</v>
      </c>
      <c r="P1232" t="s">
        <v>103</v>
      </c>
      <c r="Q1232" t="s">
        <v>4527</v>
      </c>
      <c r="R1232" t="s">
        <v>2205</v>
      </c>
      <c r="S1232" t="s">
        <v>31</v>
      </c>
      <c r="T1232" t="s">
        <v>2205</v>
      </c>
      <c r="U1232" t="s">
        <v>31</v>
      </c>
      <c r="V1232" t="s">
        <v>31</v>
      </c>
      <c r="W1232" t="s">
        <v>4528</v>
      </c>
      <c r="X1232" t="s">
        <v>4529</v>
      </c>
      <c r="Y1232" t="s">
        <v>4530</v>
      </c>
      <c r="Z1232">
        <v>279.15616210000002</v>
      </c>
    </row>
    <row r="1233" spans="1:26" hidden="1">
      <c r="A1233">
        <v>1232</v>
      </c>
      <c r="B1233" t="s">
        <v>4531</v>
      </c>
      <c r="C1233" t="s">
        <v>54</v>
      </c>
      <c r="D1233" s="1" t="b">
        <v>0</v>
      </c>
      <c r="E1233">
        <v>6.8000000000000005E-2</v>
      </c>
      <c r="F1233">
        <v>1.1674910869999999</v>
      </c>
      <c r="M1233">
        <v>25</v>
      </c>
      <c r="N1233" t="s">
        <v>4532</v>
      </c>
      <c r="P1233" t="s">
        <v>103</v>
      </c>
      <c r="W1233" t="s">
        <v>4533</v>
      </c>
      <c r="X1233" t="s">
        <v>4534</v>
      </c>
      <c r="Y1233" t="s">
        <v>4535</v>
      </c>
      <c r="Z1233">
        <v>235.20667760000001</v>
      </c>
    </row>
    <row r="1234" spans="1:26" hidden="1">
      <c r="A1234">
        <v>1233</v>
      </c>
      <c r="B1234" t="s">
        <v>4536</v>
      </c>
      <c r="C1234" t="s">
        <v>28</v>
      </c>
      <c r="D1234" s="1" t="b">
        <v>0</v>
      </c>
      <c r="E1234">
        <v>1.389953E-3</v>
      </c>
      <c r="F1234">
        <v>2.8570000000000002</v>
      </c>
      <c r="M1234">
        <v>25</v>
      </c>
      <c r="N1234" t="s">
        <v>1849</v>
      </c>
      <c r="X1234" t="s">
        <v>4537</v>
      </c>
      <c r="Y1234" t="s">
        <v>4538</v>
      </c>
      <c r="Z1234">
        <v>580.29667410000002</v>
      </c>
    </row>
    <row r="1235" spans="1:26" hidden="1">
      <c r="A1235">
        <v>1234</v>
      </c>
      <c r="B1235" t="s">
        <v>4539</v>
      </c>
      <c r="C1235" t="s">
        <v>28</v>
      </c>
      <c r="D1235" s="1" t="b">
        <v>0</v>
      </c>
      <c r="E1235">
        <v>8.5899999999999995E-4</v>
      </c>
      <c r="F1235">
        <v>3.0660068360000001</v>
      </c>
      <c r="G1235">
        <v>32.6</v>
      </c>
      <c r="H1235">
        <v>1.4699999999999999E-6</v>
      </c>
      <c r="I1235">
        <v>1.33</v>
      </c>
      <c r="J1235">
        <v>39.4</v>
      </c>
      <c r="K1235">
        <v>3.86</v>
      </c>
      <c r="L1235">
        <v>1.37E-4</v>
      </c>
      <c r="M1235">
        <v>25</v>
      </c>
      <c r="N1235" t="s">
        <v>2250</v>
      </c>
      <c r="O1235" t="s">
        <v>29</v>
      </c>
      <c r="Q1235" t="s">
        <v>2250</v>
      </c>
      <c r="R1235" t="s">
        <v>2250</v>
      </c>
      <c r="T1235" t="s">
        <v>2250</v>
      </c>
      <c r="U1235" t="s">
        <v>2250</v>
      </c>
      <c r="W1235" t="s">
        <v>4540</v>
      </c>
      <c r="X1235" t="s">
        <v>4541</v>
      </c>
      <c r="Y1235" t="s">
        <v>4542</v>
      </c>
      <c r="Z1235">
        <v>700.33893279999995</v>
      </c>
    </row>
    <row r="1236" spans="1:26" hidden="1">
      <c r="A1236">
        <v>1235</v>
      </c>
      <c r="B1236" t="s">
        <v>4543</v>
      </c>
      <c r="C1236" t="s">
        <v>28</v>
      </c>
      <c r="D1236" s="1" t="b">
        <v>0</v>
      </c>
      <c r="E1236">
        <v>1.73E-3</v>
      </c>
      <c r="F1236">
        <v>2.7619538970000002</v>
      </c>
      <c r="G1236">
        <v>37.9</v>
      </c>
      <c r="H1236">
        <v>1.0300000000000001E-6</v>
      </c>
      <c r="I1236">
        <v>1.61</v>
      </c>
      <c r="J1236">
        <v>34.1</v>
      </c>
      <c r="K1236">
        <v>3.3614121720000001</v>
      </c>
      <c r="L1236">
        <v>3.4686241E-2</v>
      </c>
      <c r="M1236">
        <v>25</v>
      </c>
      <c r="N1236" t="s">
        <v>2205</v>
      </c>
      <c r="O1236" t="s">
        <v>29</v>
      </c>
      <c r="Q1236" t="s">
        <v>2205</v>
      </c>
      <c r="R1236" t="s">
        <v>2205</v>
      </c>
      <c r="T1236" t="s">
        <v>2205</v>
      </c>
      <c r="U1236" t="s">
        <v>31</v>
      </c>
      <c r="V1236" t="s">
        <v>31</v>
      </c>
      <c r="W1236" t="s">
        <v>4544</v>
      </c>
      <c r="X1236" t="s">
        <v>4545</v>
      </c>
      <c r="Y1236" t="s">
        <v>4546</v>
      </c>
      <c r="Z1236">
        <v>1064.511473</v>
      </c>
    </row>
    <row r="1237" spans="1:26" hidden="1">
      <c r="A1237">
        <v>1236</v>
      </c>
      <c r="B1237" t="s">
        <v>4547</v>
      </c>
      <c r="C1237" t="s">
        <v>311</v>
      </c>
      <c r="D1237" s="1" t="b">
        <v>0</v>
      </c>
      <c r="E1237">
        <v>1.7999999999999999E-2</v>
      </c>
      <c r="F1237">
        <v>1.744727495</v>
      </c>
      <c r="G1237">
        <v>37</v>
      </c>
      <c r="H1237">
        <v>4.1500000000000001E-6</v>
      </c>
      <c r="I1237">
        <v>0.40012989599999998</v>
      </c>
      <c r="J1237">
        <v>39.700000000000003</v>
      </c>
      <c r="M1237">
        <v>23</v>
      </c>
      <c r="N1237" t="s">
        <v>89</v>
      </c>
      <c r="P1237" t="s">
        <v>135</v>
      </c>
      <c r="R1237" t="s">
        <v>137</v>
      </c>
      <c r="S1237" t="s">
        <v>137</v>
      </c>
      <c r="T1237" t="s">
        <v>31</v>
      </c>
      <c r="V1237" t="s">
        <v>137</v>
      </c>
      <c r="W1237" t="s">
        <v>4548</v>
      </c>
      <c r="X1237" t="s">
        <v>4549</v>
      </c>
      <c r="Y1237" t="s">
        <v>4550</v>
      </c>
      <c r="Z1237">
        <v>243.21982919999999</v>
      </c>
    </row>
    <row r="1238" spans="1:26" hidden="1">
      <c r="A1238">
        <v>1237</v>
      </c>
      <c r="B1238" t="s">
        <v>4551</v>
      </c>
      <c r="C1238" t="s">
        <v>28</v>
      </c>
      <c r="D1238" s="1" t="b">
        <v>0</v>
      </c>
      <c r="E1238">
        <v>3.6979999999999999E-3</v>
      </c>
      <c r="F1238">
        <v>2.4320330929999998</v>
      </c>
      <c r="M1238">
        <v>25</v>
      </c>
      <c r="N1238" t="s">
        <v>484</v>
      </c>
      <c r="X1238" t="s">
        <v>4552</v>
      </c>
      <c r="Y1238" t="s">
        <v>4553</v>
      </c>
      <c r="Z1238">
        <v>616.3178034</v>
      </c>
    </row>
    <row r="1239" spans="1:26" hidden="1">
      <c r="A1239">
        <v>1238</v>
      </c>
      <c r="B1239" t="s">
        <v>4554</v>
      </c>
      <c r="C1239" t="s">
        <v>28</v>
      </c>
      <c r="D1239" s="1" t="b">
        <v>0</v>
      </c>
      <c r="E1239">
        <v>3.6999849999999998E-3</v>
      </c>
      <c r="F1239">
        <v>2.4318</v>
      </c>
      <c r="M1239">
        <v>25</v>
      </c>
      <c r="N1239" t="s">
        <v>1849</v>
      </c>
      <c r="X1239" t="s">
        <v>4555</v>
      </c>
      <c r="Y1239" t="s">
        <v>4556</v>
      </c>
      <c r="Z1239">
        <v>616.3178034</v>
      </c>
    </row>
    <row r="1240" spans="1:26" hidden="1">
      <c r="A1240">
        <v>1239</v>
      </c>
      <c r="B1240" t="s">
        <v>4557</v>
      </c>
      <c r="C1240" t="s">
        <v>28</v>
      </c>
      <c r="D1240" s="1" t="b">
        <v>0</v>
      </c>
      <c r="G1240">
        <v>32.6</v>
      </c>
      <c r="O1240" t="s">
        <v>29</v>
      </c>
      <c r="Q1240" t="s">
        <v>2250</v>
      </c>
      <c r="X1240" t="s">
        <v>4558</v>
      </c>
      <c r="Y1240" t="s">
        <v>4559</v>
      </c>
      <c r="Z1240">
        <v>704.37023290000002</v>
      </c>
    </row>
    <row r="1241" spans="1:26" hidden="1">
      <c r="A1241">
        <v>1240</v>
      </c>
      <c r="B1241" t="s">
        <v>4560</v>
      </c>
      <c r="C1241" t="s">
        <v>28</v>
      </c>
      <c r="D1241" s="1" t="b">
        <v>0</v>
      </c>
      <c r="E1241">
        <v>1.6999999999999999E-3</v>
      </c>
      <c r="F1241">
        <v>2.7695510790000002</v>
      </c>
      <c r="G1241">
        <v>47</v>
      </c>
      <c r="H1241">
        <v>4.1699999999999999E-7</v>
      </c>
      <c r="I1241">
        <v>3.98</v>
      </c>
      <c r="J1241">
        <v>25</v>
      </c>
      <c r="K1241">
        <v>3.22</v>
      </c>
      <c r="L1241">
        <v>5.9999999999999995E-4</v>
      </c>
      <c r="M1241">
        <v>25</v>
      </c>
      <c r="N1241" t="s">
        <v>2250</v>
      </c>
      <c r="O1241" t="s">
        <v>29</v>
      </c>
      <c r="Q1241" t="s">
        <v>2250</v>
      </c>
      <c r="R1241" t="s">
        <v>2250</v>
      </c>
      <c r="T1241" t="s">
        <v>2250</v>
      </c>
      <c r="U1241" t="s">
        <v>2250</v>
      </c>
      <c r="W1241" t="s">
        <v>4561</v>
      </c>
      <c r="X1241" t="s">
        <v>4562</v>
      </c>
      <c r="Y1241" t="s">
        <v>4563</v>
      </c>
      <c r="Z1241">
        <v>748.39644769999995</v>
      </c>
    </row>
    <row r="1242" spans="1:26" hidden="1">
      <c r="A1242">
        <v>1241</v>
      </c>
      <c r="B1242" t="s">
        <v>4564</v>
      </c>
      <c r="C1242" t="s">
        <v>28</v>
      </c>
      <c r="D1242" s="1" t="b">
        <v>0</v>
      </c>
      <c r="E1242">
        <v>6.4899999999999995E-4</v>
      </c>
      <c r="F1242">
        <v>3.1877553029999999</v>
      </c>
      <c r="G1242">
        <v>48.3</v>
      </c>
      <c r="H1242">
        <v>5.1900000000000003E-7</v>
      </c>
      <c r="I1242">
        <v>2.0099999999999998</v>
      </c>
      <c r="J1242">
        <v>23.7</v>
      </c>
      <c r="K1242">
        <v>3.54</v>
      </c>
      <c r="L1242">
        <v>2.8899999999999998E-4</v>
      </c>
      <c r="M1242">
        <v>25</v>
      </c>
      <c r="N1242" t="s">
        <v>2250</v>
      </c>
      <c r="O1242" t="s">
        <v>29</v>
      </c>
      <c r="Q1242" t="s">
        <v>2250</v>
      </c>
      <c r="R1242" t="s">
        <v>2250</v>
      </c>
      <c r="T1242" t="s">
        <v>2250</v>
      </c>
      <c r="U1242" t="s">
        <v>2250</v>
      </c>
      <c r="W1242" t="s">
        <v>4565</v>
      </c>
      <c r="X1242" t="s">
        <v>4566</v>
      </c>
      <c r="Y1242" t="s">
        <v>4567</v>
      </c>
      <c r="Z1242">
        <v>792.42266240000004</v>
      </c>
    </row>
    <row r="1243" spans="1:26" hidden="1">
      <c r="A1243">
        <v>1242</v>
      </c>
      <c r="B1243" t="s">
        <v>4568</v>
      </c>
      <c r="C1243" t="s">
        <v>28</v>
      </c>
      <c r="D1243" s="1" t="b">
        <v>0</v>
      </c>
      <c r="E1243">
        <v>3.2000000000000002E-3</v>
      </c>
      <c r="F1243">
        <v>2.4948500220000001</v>
      </c>
      <c r="G1243">
        <v>36.5</v>
      </c>
      <c r="J1243">
        <v>35.5</v>
      </c>
      <c r="K1243">
        <v>2.9</v>
      </c>
      <c r="L1243">
        <v>1.2600000000000001E-3</v>
      </c>
      <c r="M1243">
        <v>25</v>
      </c>
      <c r="N1243" t="s">
        <v>2267</v>
      </c>
      <c r="O1243" t="s">
        <v>29</v>
      </c>
      <c r="Q1243" t="s">
        <v>2267</v>
      </c>
      <c r="U1243" t="s">
        <v>2267</v>
      </c>
      <c r="W1243" t="s">
        <v>4569</v>
      </c>
      <c r="X1243" t="s">
        <v>4570</v>
      </c>
      <c r="Y1243" t="s">
        <v>4571</v>
      </c>
      <c r="Z1243">
        <v>498.40826989999999</v>
      </c>
    </row>
    <row r="1244" spans="1:26" hidden="1">
      <c r="A1244">
        <v>1243</v>
      </c>
      <c r="B1244" t="s">
        <v>4572</v>
      </c>
      <c r="C1244" t="s">
        <v>54</v>
      </c>
      <c r="D1244" s="1" t="b">
        <v>0</v>
      </c>
      <c r="G1244">
        <v>32.1</v>
      </c>
      <c r="O1244" t="s">
        <v>29</v>
      </c>
      <c r="Q1244" t="s">
        <v>2272</v>
      </c>
      <c r="X1244" t="s">
        <v>4573</v>
      </c>
      <c r="Y1244" t="s">
        <v>4574</v>
      </c>
      <c r="Z1244">
        <v>470.25079069999998</v>
      </c>
    </row>
    <row r="1245" spans="1:26">
      <c r="A1245">
        <v>1244</v>
      </c>
      <c r="B1245" s="2" t="s">
        <v>4575</v>
      </c>
      <c r="C1245" t="s">
        <v>311</v>
      </c>
      <c r="D1245" s="1" t="b">
        <v>1</v>
      </c>
      <c r="E1245">
        <v>4.5999999999999999E-3</v>
      </c>
      <c r="F1245">
        <v>2.337242168</v>
      </c>
      <c r="G1245" s="2"/>
      <c r="H1245" s="2"/>
      <c r="I1245" s="2"/>
      <c r="J1245" s="2"/>
      <c r="K1245" s="2"/>
      <c r="L1245" s="2"/>
      <c r="M1245">
        <v>25</v>
      </c>
      <c r="N1245" t="s">
        <v>135</v>
      </c>
      <c r="W1245" t="s">
        <v>4576</v>
      </c>
      <c r="X1245" t="s">
        <v>4577</v>
      </c>
      <c r="Y1245" t="s">
        <v>4578</v>
      </c>
      <c r="Z1245">
        <v>271.2511293</v>
      </c>
    </row>
    <row r="1246" spans="1:26">
      <c r="A1246">
        <v>1245</v>
      </c>
      <c r="B1246" s="2" t="s">
        <v>4579</v>
      </c>
      <c r="C1246" t="s">
        <v>311</v>
      </c>
      <c r="D1246" s="1" t="b">
        <v>1</v>
      </c>
      <c r="E1246">
        <v>2.5999999999999999E-3</v>
      </c>
      <c r="F1246">
        <v>2.5850266519999998</v>
      </c>
      <c r="G1246" s="2"/>
      <c r="H1246" s="2"/>
      <c r="I1246" s="2"/>
      <c r="J1246" s="2"/>
      <c r="K1246" s="2"/>
      <c r="L1246" s="2"/>
      <c r="M1246">
        <v>25</v>
      </c>
      <c r="N1246" t="s">
        <v>135</v>
      </c>
      <c r="X1246" t="s">
        <v>4580</v>
      </c>
      <c r="Y1246" t="s">
        <v>4581</v>
      </c>
      <c r="Z1246">
        <v>299.28242940000001</v>
      </c>
    </row>
    <row r="1247" spans="1:26">
      <c r="A1247">
        <v>1246</v>
      </c>
      <c r="B1247" s="2" t="s">
        <v>4582</v>
      </c>
      <c r="C1247" t="s">
        <v>311</v>
      </c>
      <c r="D1247" s="1" t="b">
        <v>1</v>
      </c>
      <c r="E1247">
        <v>1.5E-3</v>
      </c>
      <c r="F1247">
        <v>2.8239087409999999</v>
      </c>
      <c r="G1247" s="2"/>
      <c r="H1247" s="2"/>
      <c r="I1247" s="2"/>
      <c r="J1247" s="2"/>
      <c r="K1247" s="2"/>
      <c r="L1247" s="2"/>
      <c r="M1247">
        <v>25</v>
      </c>
      <c r="N1247" t="s">
        <v>135</v>
      </c>
      <c r="X1247" t="s">
        <v>4583</v>
      </c>
      <c r="Y1247" t="s">
        <v>4584</v>
      </c>
      <c r="Z1247">
        <v>327.31372959999999</v>
      </c>
    </row>
    <row r="1248" spans="1:26">
      <c r="A1248">
        <v>1247</v>
      </c>
      <c r="B1248" s="2" t="s">
        <v>2934</v>
      </c>
      <c r="C1248" t="s">
        <v>54</v>
      </c>
      <c r="D1248" s="1" t="b">
        <v>1</v>
      </c>
      <c r="E1248">
        <v>1.1999999999999999E-3</v>
      </c>
      <c r="F1248">
        <v>2.9208187539999999</v>
      </c>
      <c r="G1248">
        <v>24</v>
      </c>
      <c r="H1248">
        <v>2.3E-6</v>
      </c>
      <c r="I1248">
        <v>0.72</v>
      </c>
      <c r="J1248">
        <v>47</v>
      </c>
      <c r="K1248">
        <v>3.9870152800000001</v>
      </c>
      <c r="L1248">
        <v>1.8555012999999999E-2</v>
      </c>
      <c r="M1248">
        <v>25</v>
      </c>
      <c r="N1248" t="s">
        <v>4585</v>
      </c>
      <c r="O1248" t="s">
        <v>29</v>
      </c>
      <c r="P1248" t="s">
        <v>103</v>
      </c>
      <c r="Q1248" t="s">
        <v>1769</v>
      </c>
      <c r="R1248" t="s">
        <v>3736</v>
      </c>
      <c r="S1248" t="s">
        <v>3736</v>
      </c>
      <c r="T1248" t="s">
        <v>3736</v>
      </c>
      <c r="U1248" t="s">
        <v>31</v>
      </c>
      <c r="V1248" t="s">
        <v>31</v>
      </c>
      <c r="W1248" t="s">
        <v>4586</v>
      </c>
      <c r="X1248" t="s">
        <v>4587</v>
      </c>
      <c r="Y1248" t="s">
        <v>4588</v>
      </c>
      <c r="Z1248">
        <v>405.29701260000002</v>
      </c>
    </row>
    <row r="1249" spans="1:26" hidden="1">
      <c r="A1249">
        <v>1248</v>
      </c>
      <c r="B1249" t="s">
        <v>4589</v>
      </c>
      <c r="C1249" t="s">
        <v>54</v>
      </c>
      <c r="D1249" s="1" t="b">
        <v>0</v>
      </c>
      <c r="G1249">
        <v>27.7</v>
      </c>
      <c r="O1249" t="s">
        <v>29</v>
      </c>
      <c r="Q1249" t="s">
        <v>4590</v>
      </c>
      <c r="X1249" t="s">
        <v>4591</v>
      </c>
      <c r="Y1249" t="s">
        <v>4592</v>
      </c>
      <c r="Z1249">
        <v>361.3475282</v>
      </c>
    </row>
    <row r="1250" spans="1:26" hidden="1">
      <c r="A1250">
        <v>1249</v>
      </c>
      <c r="B1250" t="s">
        <v>4593</v>
      </c>
      <c r="C1250" t="s">
        <v>28</v>
      </c>
      <c r="D1250" s="1" t="b">
        <v>0</v>
      </c>
      <c r="E1250">
        <v>2.1998849999999999E-3</v>
      </c>
      <c r="F1250">
        <v>2.6576</v>
      </c>
      <c r="M1250">
        <v>25</v>
      </c>
      <c r="N1250" t="s">
        <v>1849</v>
      </c>
      <c r="X1250" t="s">
        <v>4594</v>
      </c>
      <c r="Y1250" t="s">
        <v>4595</v>
      </c>
      <c r="Z1250">
        <v>696.45317469999998</v>
      </c>
    </row>
    <row r="1251" spans="1:26" hidden="1">
      <c r="A1251">
        <v>1250</v>
      </c>
      <c r="B1251" t="s">
        <v>4596</v>
      </c>
      <c r="C1251" t="s">
        <v>28</v>
      </c>
      <c r="D1251" s="1" t="b">
        <v>0</v>
      </c>
      <c r="E1251">
        <v>4.1995230000000001E-3</v>
      </c>
      <c r="F1251">
        <v>2.3767999999999998</v>
      </c>
      <c r="M1251">
        <v>25</v>
      </c>
      <c r="N1251" t="s">
        <v>1849</v>
      </c>
      <c r="X1251" t="s">
        <v>4597</v>
      </c>
      <c r="Y1251" t="s">
        <v>4598</v>
      </c>
      <c r="Z1251">
        <v>668.42187460000002</v>
      </c>
    </row>
    <row r="1252" spans="1:26" hidden="1">
      <c r="A1252">
        <v>1251</v>
      </c>
      <c r="B1252" t="s">
        <v>4599</v>
      </c>
      <c r="C1252" t="s">
        <v>28</v>
      </c>
      <c r="D1252" s="1" t="b">
        <v>0</v>
      </c>
      <c r="E1252">
        <v>7.5006689999999997E-3</v>
      </c>
      <c r="F1252">
        <v>2.1248999999999998</v>
      </c>
      <c r="M1252">
        <v>25</v>
      </c>
      <c r="N1252" t="s">
        <v>1849</v>
      </c>
      <c r="X1252" t="s">
        <v>4600</v>
      </c>
      <c r="Y1252" t="s">
        <v>4601</v>
      </c>
      <c r="Z1252">
        <v>640.39057439999999</v>
      </c>
    </row>
    <row r="1253" spans="1:26" hidden="1">
      <c r="A1253">
        <v>1252</v>
      </c>
      <c r="B1253" t="s">
        <v>4602</v>
      </c>
      <c r="C1253" t="s">
        <v>28</v>
      </c>
      <c r="D1253" s="1" t="b">
        <v>0</v>
      </c>
      <c r="E1253">
        <v>9.2002579999999994E-3</v>
      </c>
      <c r="F1253">
        <v>2.0362</v>
      </c>
      <c r="M1253">
        <v>25</v>
      </c>
      <c r="N1253" t="s">
        <v>1849</v>
      </c>
      <c r="W1253" t="s">
        <v>4603</v>
      </c>
      <c r="X1253" t="s">
        <v>4604</v>
      </c>
      <c r="Y1253" t="s">
        <v>4605</v>
      </c>
      <c r="Z1253">
        <v>612.35927430000004</v>
      </c>
    </row>
    <row r="1254" spans="1:26" hidden="1">
      <c r="A1254">
        <v>1253</v>
      </c>
      <c r="B1254" t="s">
        <v>4606</v>
      </c>
      <c r="C1254" t="s">
        <v>28</v>
      </c>
      <c r="D1254" s="1" t="b">
        <v>0</v>
      </c>
      <c r="E1254">
        <v>7.7000000000000002E-3</v>
      </c>
      <c r="F1254">
        <v>2.1135092750000002</v>
      </c>
      <c r="G1254">
        <v>39.5</v>
      </c>
      <c r="H1254">
        <v>1.3E-6</v>
      </c>
      <c r="I1254">
        <v>1.28</v>
      </c>
      <c r="J1254">
        <v>32.5</v>
      </c>
      <c r="K1254">
        <v>2.6749222810000002</v>
      </c>
      <c r="L1254">
        <v>6.8912184000000001E-2</v>
      </c>
      <c r="M1254">
        <v>25</v>
      </c>
      <c r="N1254" t="s">
        <v>1911</v>
      </c>
      <c r="O1254" t="s">
        <v>29</v>
      </c>
      <c r="Q1254" t="s">
        <v>1912</v>
      </c>
      <c r="R1254" t="s">
        <v>1912</v>
      </c>
      <c r="U1254" t="s">
        <v>31</v>
      </c>
      <c r="V1254" t="s">
        <v>31</v>
      </c>
      <c r="W1254" t="s">
        <v>4607</v>
      </c>
      <c r="X1254" t="s">
        <v>4608</v>
      </c>
      <c r="Y1254" t="s">
        <v>4609</v>
      </c>
      <c r="Z1254">
        <v>598.34362420000002</v>
      </c>
    </row>
    <row r="1255" spans="1:26" hidden="1">
      <c r="A1255">
        <v>1254</v>
      </c>
      <c r="B1255" t="s">
        <v>4610</v>
      </c>
      <c r="C1255" t="s">
        <v>28</v>
      </c>
      <c r="D1255" s="1" t="b">
        <v>0</v>
      </c>
      <c r="E1255">
        <v>8.400401E-3</v>
      </c>
      <c r="F1255">
        <v>2.0756999999999999</v>
      </c>
      <c r="M1255">
        <v>25</v>
      </c>
      <c r="N1255" t="s">
        <v>1849</v>
      </c>
      <c r="X1255" t="s">
        <v>4611</v>
      </c>
      <c r="Y1255" t="s">
        <v>4612</v>
      </c>
      <c r="Z1255">
        <v>613.35452329999998</v>
      </c>
    </row>
    <row r="1256" spans="1:26" hidden="1">
      <c r="A1256">
        <v>1255</v>
      </c>
      <c r="B1256" t="s">
        <v>4613</v>
      </c>
      <c r="C1256" t="s">
        <v>28</v>
      </c>
      <c r="D1256" s="1" t="b">
        <v>0</v>
      </c>
      <c r="E1256">
        <v>7.7001639999999998E-3</v>
      </c>
      <c r="F1256">
        <v>2.1135000000000002</v>
      </c>
      <c r="M1256">
        <v>25</v>
      </c>
      <c r="N1256" t="s">
        <v>1849</v>
      </c>
      <c r="X1256" t="s">
        <v>4614</v>
      </c>
      <c r="Y1256" t="s">
        <v>4615</v>
      </c>
      <c r="Z1256">
        <v>600.32288879999999</v>
      </c>
    </row>
    <row r="1257" spans="1:26" hidden="1">
      <c r="A1257">
        <v>1256</v>
      </c>
      <c r="B1257" t="s">
        <v>4616</v>
      </c>
      <c r="C1257" t="s">
        <v>28</v>
      </c>
      <c r="D1257" s="1" t="b">
        <v>0</v>
      </c>
      <c r="E1257">
        <v>8.6996139999999996E-3</v>
      </c>
      <c r="F1257">
        <v>2.0605000000000002</v>
      </c>
      <c r="M1257">
        <v>25</v>
      </c>
      <c r="N1257" t="s">
        <v>1849</v>
      </c>
      <c r="X1257" t="s">
        <v>4617</v>
      </c>
      <c r="Y1257" t="s">
        <v>4618</v>
      </c>
      <c r="Z1257">
        <v>584.32797419999997</v>
      </c>
    </row>
    <row r="1258" spans="1:26" hidden="1">
      <c r="A1258">
        <v>1257</v>
      </c>
      <c r="B1258" t="s">
        <v>4619</v>
      </c>
      <c r="C1258" t="s">
        <v>28</v>
      </c>
      <c r="D1258" s="1" t="b">
        <v>0</v>
      </c>
      <c r="G1258">
        <v>40</v>
      </c>
      <c r="O1258" t="s">
        <v>29</v>
      </c>
      <c r="Q1258" t="s">
        <v>2313</v>
      </c>
      <c r="X1258" t="s">
        <v>4620</v>
      </c>
      <c r="Y1258" t="s">
        <v>4621</v>
      </c>
      <c r="Z1258">
        <v>496.42900529999997</v>
      </c>
    </row>
    <row r="1259" spans="1:26" hidden="1">
      <c r="A1259">
        <v>1258</v>
      </c>
      <c r="B1259" t="s">
        <v>4622</v>
      </c>
      <c r="C1259" t="s">
        <v>54</v>
      </c>
      <c r="D1259" s="1" t="b">
        <v>0</v>
      </c>
      <c r="G1259">
        <v>32.9</v>
      </c>
      <c r="O1259" t="s">
        <v>29</v>
      </c>
      <c r="Q1259" t="s">
        <v>2317</v>
      </c>
      <c r="X1259" t="s">
        <v>4623</v>
      </c>
      <c r="Y1259" t="s">
        <v>4624</v>
      </c>
      <c r="Z1259">
        <v>410.22966129999998</v>
      </c>
    </row>
    <row r="1260" spans="1:26">
      <c r="A1260">
        <v>1259</v>
      </c>
      <c r="B1260" s="2" t="s">
        <v>4625</v>
      </c>
      <c r="C1260" t="s">
        <v>28</v>
      </c>
      <c r="D1260" s="1" t="b">
        <v>1</v>
      </c>
      <c r="G1260">
        <v>33.700000000000003</v>
      </c>
      <c r="O1260" t="s">
        <v>29</v>
      </c>
      <c r="Q1260" t="s">
        <v>3796</v>
      </c>
      <c r="X1260" t="s">
        <v>4626</v>
      </c>
      <c r="Y1260" t="s">
        <v>4627</v>
      </c>
      <c r="Z1260">
        <v>470.16197149999999</v>
      </c>
    </row>
    <row r="1261" spans="1:26" hidden="1">
      <c r="A1261">
        <v>1260</v>
      </c>
      <c r="B1261" t="s">
        <v>4628</v>
      </c>
      <c r="C1261" t="s">
        <v>28</v>
      </c>
      <c r="D1261" s="1" t="b">
        <v>0</v>
      </c>
      <c r="E1261">
        <v>6.4998E-3</v>
      </c>
      <c r="F1261">
        <v>2.1871</v>
      </c>
      <c r="M1261">
        <v>25</v>
      </c>
      <c r="N1261" t="s">
        <v>1849</v>
      </c>
      <c r="X1261" t="s">
        <v>4629</v>
      </c>
      <c r="Y1261" t="s">
        <v>4630</v>
      </c>
      <c r="Z1261">
        <v>570.31232409999996</v>
      </c>
    </row>
    <row r="1262" spans="1:26" hidden="1">
      <c r="A1262">
        <v>1261</v>
      </c>
      <c r="B1262" t="s">
        <v>4631</v>
      </c>
      <c r="C1262" t="s">
        <v>54</v>
      </c>
      <c r="D1262" s="1" t="b">
        <v>0</v>
      </c>
      <c r="G1262">
        <v>31.7</v>
      </c>
      <c r="O1262" t="s">
        <v>29</v>
      </c>
      <c r="Q1262" t="s">
        <v>1888</v>
      </c>
      <c r="X1262" t="s">
        <v>4632</v>
      </c>
      <c r="Y1262" t="s">
        <v>4633</v>
      </c>
      <c r="Z1262">
        <v>880.4884548</v>
      </c>
    </row>
    <row r="1263" spans="1:26" hidden="1">
      <c r="A1263">
        <v>1262</v>
      </c>
      <c r="B1263" t="s">
        <v>4634</v>
      </c>
      <c r="C1263" t="s">
        <v>54</v>
      </c>
      <c r="D1263" s="1" t="b">
        <v>0</v>
      </c>
      <c r="G1263">
        <v>27.1</v>
      </c>
      <c r="O1263" t="s">
        <v>29</v>
      </c>
      <c r="Q1263" t="s">
        <v>1888</v>
      </c>
      <c r="X1263" t="s">
        <v>4635</v>
      </c>
      <c r="Y1263" t="s">
        <v>4636</v>
      </c>
      <c r="Z1263">
        <v>480.25626999999997</v>
      </c>
    </row>
    <row r="1264" spans="1:26" hidden="1">
      <c r="A1264">
        <v>1263</v>
      </c>
      <c r="B1264" t="s">
        <v>4637</v>
      </c>
      <c r="C1264" t="s">
        <v>28</v>
      </c>
      <c r="D1264" s="1" t="b">
        <v>0</v>
      </c>
      <c r="E1264">
        <v>1.17E-3</v>
      </c>
      <c r="F1264">
        <v>2.931814138</v>
      </c>
      <c r="G1264">
        <v>33.4</v>
      </c>
      <c r="H1264">
        <v>8.8299999999999995E-7</v>
      </c>
      <c r="I1264">
        <v>1.88</v>
      </c>
      <c r="J1264">
        <v>38.6</v>
      </c>
      <c r="K1264">
        <v>3.8542354159999999</v>
      </c>
      <c r="L1264">
        <v>2.1189797999999999E-2</v>
      </c>
      <c r="M1264">
        <v>25</v>
      </c>
      <c r="N1264" t="s">
        <v>2842</v>
      </c>
      <c r="O1264" t="s">
        <v>29</v>
      </c>
      <c r="Q1264" t="s">
        <v>2842</v>
      </c>
      <c r="R1264" t="s">
        <v>2842</v>
      </c>
      <c r="T1264" t="s">
        <v>2842</v>
      </c>
      <c r="U1264" t="s">
        <v>31</v>
      </c>
      <c r="V1264" t="s">
        <v>31</v>
      </c>
      <c r="W1264" t="s">
        <v>4638</v>
      </c>
      <c r="X1264" t="s">
        <v>4639</v>
      </c>
      <c r="Y1264" t="s">
        <v>4640</v>
      </c>
      <c r="Z1264">
        <v>890.49503530000004</v>
      </c>
    </row>
    <row r="1265" spans="1:26" hidden="1">
      <c r="A1265">
        <v>1264</v>
      </c>
      <c r="B1265" t="s">
        <v>4641</v>
      </c>
      <c r="C1265" t="s">
        <v>28</v>
      </c>
      <c r="D1265" s="1" t="b">
        <v>0</v>
      </c>
      <c r="G1265">
        <v>39.6</v>
      </c>
      <c r="O1265" t="s">
        <v>29</v>
      </c>
      <c r="Q1265" t="s">
        <v>1895</v>
      </c>
      <c r="X1265" t="s">
        <v>4642</v>
      </c>
      <c r="Y1265" t="s">
        <v>4643</v>
      </c>
      <c r="Z1265">
        <v>612.43996400000003</v>
      </c>
    </row>
    <row r="1266" spans="1:26" hidden="1">
      <c r="A1266">
        <v>1265</v>
      </c>
      <c r="B1266" t="s">
        <v>4644</v>
      </c>
      <c r="C1266" t="s">
        <v>28</v>
      </c>
      <c r="D1266" s="1" t="b">
        <v>0</v>
      </c>
      <c r="G1266">
        <v>32</v>
      </c>
      <c r="O1266" t="s">
        <v>29</v>
      </c>
      <c r="Q1266" t="s">
        <v>1895</v>
      </c>
      <c r="X1266" t="s">
        <v>4645</v>
      </c>
      <c r="Y1266" t="s">
        <v>4646</v>
      </c>
      <c r="Z1266">
        <v>668.50256420000005</v>
      </c>
    </row>
    <row r="1267" spans="1:26" hidden="1">
      <c r="A1267">
        <v>1266</v>
      </c>
      <c r="B1267" t="s">
        <v>4647</v>
      </c>
      <c r="C1267" t="s">
        <v>28</v>
      </c>
      <c r="D1267" s="1" t="b">
        <v>0</v>
      </c>
      <c r="E1267">
        <v>6.5900000000000004E-3</v>
      </c>
      <c r="F1267">
        <v>2.181114585</v>
      </c>
      <c r="G1267">
        <v>40.799999999999997</v>
      </c>
      <c r="H1267">
        <v>1.2300000000000001E-6</v>
      </c>
      <c r="I1267">
        <v>1.35</v>
      </c>
      <c r="J1267">
        <v>31.2</v>
      </c>
      <c r="K1267">
        <v>2.7127681369999999</v>
      </c>
      <c r="L1267">
        <v>6.6352878000000004E-2</v>
      </c>
      <c r="M1267">
        <v>25</v>
      </c>
      <c r="N1267" t="s">
        <v>4648</v>
      </c>
      <c r="O1267" t="s">
        <v>29</v>
      </c>
      <c r="Q1267" t="s">
        <v>1912</v>
      </c>
      <c r="R1267" t="s">
        <v>1912</v>
      </c>
      <c r="U1267" t="s">
        <v>31</v>
      </c>
      <c r="V1267" t="s">
        <v>31</v>
      </c>
      <c r="W1267" t="s">
        <v>4649</v>
      </c>
      <c r="X1267" t="s">
        <v>4650</v>
      </c>
      <c r="Y1267" t="s">
        <v>4651</v>
      </c>
      <c r="Z1267">
        <v>600.32288879999999</v>
      </c>
    </row>
    <row r="1268" spans="1:26" hidden="1">
      <c r="A1268">
        <v>1267</v>
      </c>
      <c r="B1268" t="s">
        <v>4652</v>
      </c>
      <c r="C1268" t="s">
        <v>1848</v>
      </c>
      <c r="D1268" s="1" t="b">
        <v>0</v>
      </c>
      <c r="E1268">
        <v>1.1000199999999999E-4</v>
      </c>
      <c r="F1268">
        <v>3.9586000000000001</v>
      </c>
      <c r="M1268">
        <v>25</v>
      </c>
      <c r="N1268" t="s">
        <v>1849</v>
      </c>
      <c r="X1268" t="s">
        <v>4653</v>
      </c>
      <c r="Y1268" t="s">
        <v>4654</v>
      </c>
      <c r="Z1268">
        <v>421.3320956</v>
      </c>
    </row>
    <row r="1269" spans="1:26" hidden="1">
      <c r="A1269">
        <v>1268</v>
      </c>
      <c r="B1269" t="s">
        <v>4655</v>
      </c>
      <c r="C1269" t="s">
        <v>28</v>
      </c>
      <c r="D1269" s="1" t="b">
        <v>0</v>
      </c>
      <c r="G1269">
        <v>41.4</v>
      </c>
      <c r="O1269" t="s">
        <v>29</v>
      </c>
      <c r="Q1269" t="s">
        <v>2374</v>
      </c>
      <c r="X1269" t="s">
        <v>4656</v>
      </c>
      <c r="Y1269" t="s">
        <v>4657</v>
      </c>
      <c r="Z1269">
        <v>820.51486020000004</v>
      </c>
    </row>
    <row r="1270" spans="1:26" hidden="1">
      <c r="A1270">
        <v>1269</v>
      </c>
      <c r="B1270" t="s">
        <v>4658</v>
      </c>
      <c r="C1270" t="s">
        <v>28</v>
      </c>
      <c r="D1270" s="1" t="b">
        <v>0</v>
      </c>
      <c r="E1270">
        <v>6.2001189999999996E-3</v>
      </c>
      <c r="F1270">
        <v>2.2075999999999998</v>
      </c>
      <c r="G1270">
        <v>35</v>
      </c>
      <c r="H1270">
        <v>1.95E-6</v>
      </c>
      <c r="I1270">
        <v>0.85</v>
      </c>
      <c r="J1270">
        <v>37</v>
      </c>
      <c r="K1270">
        <v>2.716614458</v>
      </c>
      <c r="L1270">
        <v>6.6098154000000006E-2</v>
      </c>
      <c r="M1270">
        <v>25</v>
      </c>
      <c r="N1270" t="s">
        <v>1911</v>
      </c>
      <c r="O1270" t="s">
        <v>29</v>
      </c>
      <c r="Q1270" t="s">
        <v>1912</v>
      </c>
      <c r="R1270" t="s">
        <v>1912</v>
      </c>
      <c r="U1270" t="s">
        <v>31</v>
      </c>
      <c r="V1270" t="s">
        <v>31</v>
      </c>
      <c r="W1270" t="s">
        <v>4659</v>
      </c>
      <c r="X1270" t="s">
        <v>4660</v>
      </c>
      <c r="Y1270" t="s">
        <v>4661</v>
      </c>
      <c r="Z1270">
        <v>616.3000452</v>
      </c>
    </row>
    <row r="1271" spans="1:26" hidden="1">
      <c r="A1271">
        <v>1270</v>
      </c>
      <c r="B1271" t="s">
        <v>4662</v>
      </c>
      <c r="C1271" t="s">
        <v>28</v>
      </c>
      <c r="D1271" s="1" t="b">
        <v>0</v>
      </c>
      <c r="E1271">
        <v>6.2001189999999996E-3</v>
      </c>
      <c r="F1271">
        <v>2.2075999999999998</v>
      </c>
      <c r="G1271">
        <v>32</v>
      </c>
      <c r="J1271">
        <v>39.97</v>
      </c>
      <c r="M1271">
        <v>25</v>
      </c>
      <c r="N1271" t="s">
        <v>1849</v>
      </c>
      <c r="O1271" t="s">
        <v>29</v>
      </c>
      <c r="Q1271" t="s">
        <v>3751</v>
      </c>
      <c r="S1271" t="s">
        <v>31</v>
      </c>
      <c r="X1271" t="s">
        <v>4663</v>
      </c>
      <c r="Y1271" t="s">
        <v>4664</v>
      </c>
      <c r="Z1271">
        <v>556.29667410000002</v>
      </c>
    </row>
    <row r="1272" spans="1:26" hidden="1">
      <c r="A1272">
        <v>1271</v>
      </c>
      <c r="B1272" t="s">
        <v>4665</v>
      </c>
      <c r="C1272" t="s">
        <v>28</v>
      </c>
      <c r="D1272" s="1" t="b">
        <v>0</v>
      </c>
      <c r="E1272">
        <v>9.5E-4</v>
      </c>
      <c r="F1272">
        <v>3.022276395</v>
      </c>
      <c r="G1272">
        <v>25.8</v>
      </c>
      <c r="H1272">
        <v>1.3799999999999999E-6</v>
      </c>
      <c r="I1272">
        <v>1.21</v>
      </c>
      <c r="J1272">
        <v>46.2</v>
      </c>
      <c r="K1272">
        <v>3.8536558279999999</v>
      </c>
      <c r="L1272">
        <v>2.1202083E-2</v>
      </c>
      <c r="M1272">
        <v>25</v>
      </c>
      <c r="N1272" t="s">
        <v>3891</v>
      </c>
      <c r="O1272" t="s">
        <v>29</v>
      </c>
      <c r="Q1272" t="s">
        <v>3891</v>
      </c>
      <c r="R1272" t="s">
        <v>3891</v>
      </c>
      <c r="T1272" t="s">
        <v>3891</v>
      </c>
      <c r="U1272" t="s">
        <v>31</v>
      </c>
      <c r="V1272" t="s">
        <v>31</v>
      </c>
      <c r="W1272" t="s">
        <v>4666</v>
      </c>
      <c r="X1272" t="s">
        <v>4667</v>
      </c>
      <c r="Y1272" t="s">
        <v>4668</v>
      </c>
      <c r="Z1272">
        <v>833.43718609999996</v>
      </c>
    </row>
    <row r="1273" spans="1:26" hidden="1">
      <c r="A1273">
        <v>1272</v>
      </c>
      <c r="B1273" t="s">
        <v>4669</v>
      </c>
      <c r="C1273" t="s">
        <v>54</v>
      </c>
      <c r="D1273" s="1" t="b">
        <v>0</v>
      </c>
      <c r="E1273">
        <v>3.9E-2</v>
      </c>
      <c r="F1273">
        <v>1.4089353929999999</v>
      </c>
      <c r="M1273">
        <v>25</v>
      </c>
      <c r="N1273" t="s">
        <v>89</v>
      </c>
      <c r="P1273" t="s">
        <v>103</v>
      </c>
      <c r="W1273" t="s">
        <v>4670</v>
      </c>
      <c r="X1273" t="s">
        <v>4671</v>
      </c>
      <c r="Y1273" t="s">
        <v>4672</v>
      </c>
      <c r="Z1273">
        <v>311.23797780000001</v>
      </c>
    </row>
    <row r="1274" spans="1:26" hidden="1">
      <c r="A1274">
        <v>1273</v>
      </c>
      <c r="B1274" t="s">
        <v>4673</v>
      </c>
      <c r="C1274" t="s">
        <v>54</v>
      </c>
      <c r="D1274" s="1" t="b">
        <v>0</v>
      </c>
      <c r="E1274">
        <v>6.7000000000000002E-4</v>
      </c>
      <c r="F1274">
        <v>3.173925197</v>
      </c>
      <c r="G1274">
        <v>28.2</v>
      </c>
      <c r="H1274">
        <v>2.3999999999999999E-6</v>
      </c>
      <c r="I1274">
        <v>0.69</v>
      </c>
      <c r="J1274">
        <v>43.8</v>
      </c>
      <c r="K1274">
        <v>4.0999999999999996</v>
      </c>
      <c r="L1274">
        <v>8.7000000000000001E-5</v>
      </c>
      <c r="M1274">
        <v>25</v>
      </c>
      <c r="N1274" t="s">
        <v>2897</v>
      </c>
      <c r="O1274" t="s">
        <v>29</v>
      </c>
      <c r="Q1274" t="s">
        <v>2897</v>
      </c>
      <c r="R1274" t="s">
        <v>2897</v>
      </c>
      <c r="T1274" t="s">
        <v>2897</v>
      </c>
      <c r="U1274" t="s">
        <v>2897</v>
      </c>
      <c r="W1274" t="s">
        <v>4674</v>
      </c>
      <c r="X1274" t="s">
        <v>4675</v>
      </c>
      <c r="Y1274" t="s">
        <v>4676</v>
      </c>
      <c r="Z1274">
        <v>530.25666390000004</v>
      </c>
    </row>
    <row r="1275" spans="1:26">
      <c r="A1275">
        <v>1274</v>
      </c>
      <c r="B1275" s="2" t="s">
        <v>4677</v>
      </c>
      <c r="C1275" t="s">
        <v>54</v>
      </c>
      <c r="D1275" s="1" t="b">
        <v>1</v>
      </c>
      <c r="E1275">
        <v>1.52E-2</v>
      </c>
      <c r="F1275">
        <v>1.818156412</v>
      </c>
      <c r="G1275">
        <v>27.5</v>
      </c>
      <c r="H1275">
        <v>1.9999999999999999E-6</v>
      </c>
      <c r="I1275">
        <v>1.05</v>
      </c>
      <c r="J1275">
        <v>45.9</v>
      </c>
      <c r="K1275">
        <v>2.71</v>
      </c>
      <c r="L1275">
        <v>1.9499999999999999E-3</v>
      </c>
      <c r="M1275">
        <v>20</v>
      </c>
      <c r="N1275" t="s">
        <v>4678</v>
      </c>
      <c r="O1275" t="s">
        <v>29</v>
      </c>
      <c r="Q1275" t="s">
        <v>4678</v>
      </c>
      <c r="R1275" t="s">
        <v>4678</v>
      </c>
      <c r="S1275" t="s">
        <v>4678</v>
      </c>
      <c r="T1275" t="s">
        <v>4678</v>
      </c>
      <c r="U1275" t="s">
        <v>4678</v>
      </c>
      <c r="W1275" t="s">
        <v>4679</v>
      </c>
      <c r="X1275" t="s">
        <v>4680</v>
      </c>
      <c r="Y1275" t="s">
        <v>4681</v>
      </c>
      <c r="Z1275">
        <v>294.14325159999999</v>
      </c>
    </row>
    <row r="1276" spans="1:26" hidden="1">
      <c r="A1276">
        <v>1275</v>
      </c>
      <c r="B1276" t="s">
        <v>4682</v>
      </c>
      <c r="C1276" t="s">
        <v>28</v>
      </c>
      <c r="D1276" s="1" t="b">
        <v>0</v>
      </c>
      <c r="E1276">
        <v>6.7200000000000003E-3</v>
      </c>
      <c r="F1276">
        <v>2.172630727</v>
      </c>
      <c r="G1276">
        <v>45.6</v>
      </c>
      <c r="H1276">
        <v>8.9999999999999996E-7</v>
      </c>
      <c r="I1276">
        <v>1.85</v>
      </c>
      <c r="J1276">
        <v>26.4</v>
      </c>
      <c r="K1276">
        <v>2.6</v>
      </c>
      <c r="L1276">
        <v>2.5200000000000001E-3</v>
      </c>
      <c r="M1276">
        <v>25</v>
      </c>
      <c r="N1276" t="s">
        <v>2915</v>
      </c>
      <c r="O1276" t="s">
        <v>29</v>
      </c>
      <c r="Q1276" t="s">
        <v>2915</v>
      </c>
      <c r="R1276" t="s">
        <v>2915</v>
      </c>
      <c r="T1276" t="s">
        <v>2915</v>
      </c>
      <c r="V1276" t="s">
        <v>2915</v>
      </c>
      <c r="W1276" t="s">
        <v>4683</v>
      </c>
      <c r="X1276" t="s">
        <v>4684</v>
      </c>
      <c r="Y1276" t="s">
        <v>4685</v>
      </c>
      <c r="Z1276">
        <v>638.50323289999994</v>
      </c>
    </row>
    <row r="1277" spans="1:26" hidden="1">
      <c r="A1277">
        <v>1276</v>
      </c>
      <c r="B1277" t="s">
        <v>4686</v>
      </c>
      <c r="C1277" t="s">
        <v>28</v>
      </c>
      <c r="D1277" s="1" t="b">
        <v>0</v>
      </c>
      <c r="E1277">
        <v>4.0400000000000002E-3</v>
      </c>
      <c r="F1277">
        <v>2.3936186350000002</v>
      </c>
      <c r="G1277">
        <v>38.5</v>
      </c>
      <c r="H1277">
        <v>1.08E-6</v>
      </c>
      <c r="I1277">
        <v>1.53</v>
      </c>
      <c r="J1277">
        <v>33.47</v>
      </c>
      <c r="K1277">
        <v>3.1234555419999999</v>
      </c>
      <c r="L1277">
        <v>4.4004845000000001E-2</v>
      </c>
      <c r="M1277">
        <v>25</v>
      </c>
      <c r="N1277" t="s">
        <v>2419</v>
      </c>
      <c r="O1277" t="s">
        <v>29</v>
      </c>
      <c r="Q1277" t="s">
        <v>2419</v>
      </c>
      <c r="R1277" t="s">
        <v>2419</v>
      </c>
      <c r="S1277" t="s">
        <v>31</v>
      </c>
      <c r="T1277" t="s">
        <v>2419</v>
      </c>
      <c r="U1277" t="s">
        <v>31</v>
      </c>
      <c r="V1277" t="s">
        <v>31</v>
      </c>
      <c r="X1277" t="s">
        <v>4687</v>
      </c>
      <c r="Y1277" t="s">
        <v>4688</v>
      </c>
      <c r="Z1277">
        <v>696.45317469999998</v>
      </c>
    </row>
    <row r="1278" spans="1:26" hidden="1">
      <c r="A1278">
        <v>1277</v>
      </c>
      <c r="B1278" t="s">
        <v>4689</v>
      </c>
      <c r="C1278" t="s">
        <v>28</v>
      </c>
      <c r="D1278" s="1" t="b">
        <v>0</v>
      </c>
      <c r="E1278" s="4">
        <v>5.5999999999999995E-4</v>
      </c>
      <c r="F1278">
        <v>3.2518119730000001</v>
      </c>
      <c r="G1278">
        <v>34.1</v>
      </c>
      <c r="H1278">
        <v>1.6199999999999999E-6</v>
      </c>
      <c r="I1278">
        <v>1.02</v>
      </c>
      <c r="J1278">
        <v>37.9</v>
      </c>
      <c r="K1278">
        <v>3.92</v>
      </c>
      <c r="L1278">
        <v>1.2E-4</v>
      </c>
      <c r="M1278">
        <v>25</v>
      </c>
      <c r="N1278" t="s">
        <v>2939</v>
      </c>
      <c r="O1278" t="s">
        <v>29</v>
      </c>
      <c r="Q1278" t="s">
        <v>2939</v>
      </c>
      <c r="R1278" t="s">
        <v>2939</v>
      </c>
      <c r="S1278" t="s">
        <v>2939</v>
      </c>
      <c r="T1278" t="s">
        <v>2939</v>
      </c>
      <c r="U1278" t="s">
        <v>2939</v>
      </c>
      <c r="W1278" t="s">
        <v>4690</v>
      </c>
      <c r="X1278" t="s">
        <v>4691</v>
      </c>
      <c r="Y1278" t="s">
        <v>4692</v>
      </c>
      <c r="Z1278">
        <v>788.46413329999996</v>
      </c>
    </row>
    <row r="1279" spans="1:26">
      <c r="A1279">
        <v>1278</v>
      </c>
      <c r="B1279" s="2" t="s">
        <v>4693</v>
      </c>
      <c r="C1279" t="s">
        <v>28</v>
      </c>
      <c r="D1279" s="1" t="b">
        <v>1</v>
      </c>
      <c r="E1279" s="4">
        <v>5.9900000000000003E-4</v>
      </c>
      <c r="F1279">
        <v>3.2225731780000002</v>
      </c>
      <c r="G1279">
        <v>38</v>
      </c>
      <c r="H1279">
        <v>2.03E-6</v>
      </c>
      <c r="I1279">
        <v>0.82</v>
      </c>
      <c r="J1279">
        <v>34</v>
      </c>
      <c r="K1279">
        <v>3.55</v>
      </c>
      <c r="L1279">
        <v>2.8200000000000002E-4</v>
      </c>
      <c r="M1279">
        <v>25</v>
      </c>
      <c r="N1279" t="s">
        <v>2939</v>
      </c>
      <c r="O1279" t="s">
        <v>29</v>
      </c>
      <c r="Q1279" t="s">
        <v>2939</v>
      </c>
      <c r="R1279" t="s">
        <v>2939</v>
      </c>
      <c r="S1279" t="s">
        <v>2939</v>
      </c>
      <c r="T1279" t="s">
        <v>2939</v>
      </c>
      <c r="U1279" t="s">
        <v>2939</v>
      </c>
      <c r="W1279" t="s">
        <v>4694</v>
      </c>
      <c r="X1279" t="s">
        <v>4695</v>
      </c>
      <c r="Y1279" t="s">
        <v>4696</v>
      </c>
      <c r="Z1279">
        <v>670.36475359999997</v>
      </c>
    </row>
    <row r="1280" spans="1:26" hidden="1">
      <c r="A1280">
        <v>1279</v>
      </c>
      <c r="B1280" t="s">
        <v>4697</v>
      </c>
      <c r="C1280" t="s">
        <v>54</v>
      </c>
      <c r="D1280" s="1" t="b">
        <v>0</v>
      </c>
      <c r="E1280">
        <v>1.6500000000000001E-2</v>
      </c>
      <c r="F1280">
        <v>1.782516056</v>
      </c>
      <c r="G1280">
        <v>28.9</v>
      </c>
      <c r="H1280">
        <v>1.68E-6</v>
      </c>
      <c r="I1280">
        <v>1.24</v>
      </c>
      <c r="J1280">
        <v>42.4</v>
      </c>
      <c r="K1280">
        <v>2.79</v>
      </c>
      <c r="L1280">
        <v>1.6199999999999999E-3</v>
      </c>
      <c r="M1280">
        <v>20</v>
      </c>
      <c r="N1280" t="s">
        <v>4678</v>
      </c>
      <c r="O1280" t="s">
        <v>29</v>
      </c>
      <c r="Q1280" t="s">
        <v>4678</v>
      </c>
      <c r="R1280" t="s">
        <v>4678</v>
      </c>
      <c r="S1280" t="s">
        <v>4678</v>
      </c>
      <c r="T1280" t="s">
        <v>4678</v>
      </c>
      <c r="U1280" t="s">
        <v>4678</v>
      </c>
      <c r="W1280" t="s">
        <v>4698</v>
      </c>
      <c r="X1280" t="s">
        <v>4699</v>
      </c>
      <c r="Y1280" t="s">
        <v>4700</v>
      </c>
      <c r="Z1280">
        <v>369.18785609999998</v>
      </c>
    </row>
    <row r="1281" spans="1:26">
      <c r="A1281">
        <v>1280</v>
      </c>
      <c r="B1281" s="2" t="s">
        <v>4701</v>
      </c>
      <c r="C1281" t="s">
        <v>54</v>
      </c>
      <c r="D1281" s="1" t="b">
        <v>1</v>
      </c>
      <c r="E1281">
        <v>1.7000000000000001E-2</v>
      </c>
      <c r="F1281">
        <v>1.769551079</v>
      </c>
      <c r="G1281">
        <v>29</v>
      </c>
      <c r="H1281">
        <v>1.13E-6</v>
      </c>
      <c r="I1281">
        <v>1.23</v>
      </c>
      <c r="J1281">
        <v>43.3</v>
      </c>
      <c r="K1281">
        <v>2.67</v>
      </c>
      <c r="L1281">
        <v>2.14E-3</v>
      </c>
      <c r="M1281">
        <v>20</v>
      </c>
      <c r="N1281" t="s">
        <v>4678</v>
      </c>
      <c r="O1281" t="s">
        <v>29</v>
      </c>
      <c r="Q1281" t="s">
        <v>4678</v>
      </c>
      <c r="R1281" t="s">
        <v>4678</v>
      </c>
      <c r="S1281" t="s">
        <v>4678</v>
      </c>
      <c r="T1281" t="s">
        <v>4678</v>
      </c>
      <c r="U1281" t="s">
        <v>4678</v>
      </c>
      <c r="W1281" t="s">
        <v>4702</v>
      </c>
      <c r="X1281" t="s">
        <v>4703</v>
      </c>
      <c r="Y1281" t="s">
        <v>4704</v>
      </c>
      <c r="Z1281">
        <v>324.15381630000002</v>
      </c>
    </row>
    <row r="1282" spans="1:26" hidden="1">
      <c r="A1282">
        <v>1281</v>
      </c>
      <c r="B1282" t="s">
        <v>4705</v>
      </c>
      <c r="C1282" t="s">
        <v>28</v>
      </c>
      <c r="D1282" s="1" t="b">
        <v>0</v>
      </c>
      <c r="E1282">
        <v>5.3090000000000004E-3</v>
      </c>
      <c r="F1282">
        <v>2.274987275</v>
      </c>
      <c r="M1282">
        <v>25</v>
      </c>
      <c r="N1282" t="s">
        <v>484</v>
      </c>
      <c r="X1282" t="s">
        <v>4706</v>
      </c>
      <c r="Y1282" t="s">
        <v>4707</v>
      </c>
      <c r="Z1282">
        <v>632.32797419999997</v>
      </c>
    </row>
    <row r="1283" spans="1:26" hidden="1">
      <c r="A1283">
        <v>1282</v>
      </c>
      <c r="B1283" t="s">
        <v>4708</v>
      </c>
      <c r="C1283" t="s">
        <v>28</v>
      </c>
      <c r="D1283" s="1" t="b">
        <v>0</v>
      </c>
      <c r="E1283">
        <v>5.9569999999999996E-3</v>
      </c>
      <c r="F1283">
        <v>2.2249724</v>
      </c>
      <c r="M1283">
        <v>25</v>
      </c>
      <c r="N1283" t="s">
        <v>484</v>
      </c>
      <c r="X1283" t="s">
        <v>4709</v>
      </c>
      <c r="Y1283" t="s">
        <v>4710</v>
      </c>
      <c r="Z1283">
        <v>660.35927430000004</v>
      </c>
    </row>
    <row r="1284" spans="1:26" hidden="1">
      <c r="A1284">
        <v>1283</v>
      </c>
      <c r="B1284" t="s">
        <v>4711</v>
      </c>
      <c r="C1284" t="s">
        <v>28</v>
      </c>
      <c r="D1284" s="1" t="b">
        <v>0</v>
      </c>
      <c r="E1284">
        <v>5.7540000000000004E-3</v>
      </c>
      <c r="F1284">
        <v>2.2400301420000002</v>
      </c>
      <c r="G1284">
        <v>39.1</v>
      </c>
      <c r="J1284">
        <v>32.869999999999997</v>
      </c>
      <c r="M1284">
        <v>25</v>
      </c>
      <c r="N1284" t="s">
        <v>484</v>
      </c>
      <c r="O1284" t="s">
        <v>29</v>
      </c>
      <c r="Q1284" t="s">
        <v>2443</v>
      </c>
      <c r="S1284" t="s">
        <v>31</v>
      </c>
      <c r="X1284" t="s">
        <v>4712</v>
      </c>
      <c r="Y1284" t="s">
        <v>4713</v>
      </c>
      <c r="Z1284">
        <v>636.35927430000004</v>
      </c>
    </row>
    <row r="1285" spans="1:26" hidden="1">
      <c r="A1285">
        <v>1284</v>
      </c>
      <c r="B1285" t="s">
        <v>4714</v>
      </c>
      <c r="C1285" t="s">
        <v>28</v>
      </c>
      <c r="D1285" s="1" t="b">
        <v>0</v>
      </c>
      <c r="E1285">
        <v>2.859E-3</v>
      </c>
      <c r="F1285">
        <v>2.5437858449999999</v>
      </c>
      <c r="G1285">
        <v>36</v>
      </c>
      <c r="H1285">
        <v>1.3200000000000001E-6</v>
      </c>
      <c r="I1285">
        <v>1.26</v>
      </c>
      <c r="J1285">
        <v>36</v>
      </c>
      <c r="K1285">
        <v>3.37</v>
      </c>
      <c r="L1285">
        <v>4.2700000000000002E-4</v>
      </c>
      <c r="M1285">
        <v>25</v>
      </c>
      <c r="N1285" t="s">
        <v>2447</v>
      </c>
      <c r="O1285" t="s">
        <v>29</v>
      </c>
      <c r="Q1285" t="s">
        <v>2447</v>
      </c>
      <c r="R1285" t="s">
        <v>2447</v>
      </c>
      <c r="T1285" t="s">
        <v>2447</v>
      </c>
      <c r="U1285" t="s">
        <v>2447</v>
      </c>
      <c r="W1285" t="s">
        <v>4715</v>
      </c>
      <c r="X1285" t="s">
        <v>4716</v>
      </c>
      <c r="Y1285" t="s">
        <v>4717</v>
      </c>
      <c r="Z1285">
        <v>704.48143479999999</v>
      </c>
    </row>
    <row r="1286" spans="1:26" hidden="1">
      <c r="A1286">
        <v>1285</v>
      </c>
      <c r="B1286" t="s">
        <v>4718</v>
      </c>
      <c r="C1286" t="s">
        <v>28</v>
      </c>
      <c r="D1286" s="1" t="b">
        <v>0</v>
      </c>
      <c r="E1286">
        <v>6.4869999999999997E-3</v>
      </c>
      <c r="F1286">
        <v>2.1879561019999998</v>
      </c>
      <c r="G1286">
        <v>39.9</v>
      </c>
      <c r="H1286">
        <v>1.6300000000000001E-6</v>
      </c>
      <c r="I1286">
        <v>1.02</v>
      </c>
      <c r="J1286">
        <v>32.1</v>
      </c>
      <c r="K1286">
        <v>2.56</v>
      </c>
      <c r="L1286">
        <v>2.7499999999999998E-3</v>
      </c>
      <c r="M1286">
        <v>25</v>
      </c>
      <c r="N1286" t="s">
        <v>2447</v>
      </c>
      <c r="O1286" t="s">
        <v>29</v>
      </c>
      <c r="Q1286" t="s">
        <v>2447</v>
      </c>
      <c r="R1286" t="s">
        <v>2447</v>
      </c>
      <c r="S1286" t="s">
        <v>2447</v>
      </c>
      <c r="T1286" t="s">
        <v>2447</v>
      </c>
      <c r="U1286" t="s">
        <v>2447</v>
      </c>
      <c r="V1286" t="s">
        <v>2447</v>
      </c>
      <c r="W1286" t="s">
        <v>4719</v>
      </c>
      <c r="X1286" t="s">
        <v>4720</v>
      </c>
      <c r="Y1286" t="s">
        <v>4721</v>
      </c>
      <c r="Z1286">
        <v>628.45013470000004</v>
      </c>
    </row>
    <row r="1287" spans="1:26">
      <c r="A1287">
        <v>1286</v>
      </c>
      <c r="B1287" s="2" t="s">
        <v>4722</v>
      </c>
      <c r="C1287" t="s">
        <v>54</v>
      </c>
      <c r="D1287" s="1" t="b">
        <v>1</v>
      </c>
      <c r="E1287">
        <v>6.5000000000000002E-2</v>
      </c>
      <c r="F1287">
        <v>1.187086643</v>
      </c>
      <c r="M1287">
        <v>25</v>
      </c>
      <c r="N1287" t="s">
        <v>1832</v>
      </c>
      <c r="X1287" t="s">
        <v>4723</v>
      </c>
      <c r="Y1287" t="s">
        <v>4724</v>
      </c>
      <c r="Z1287">
        <v>260.21450270000003</v>
      </c>
    </row>
    <row r="1288" spans="1:26">
      <c r="A1288">
        <v>1287</v>
      </c>
      <c r="B1288" s="2" t="s">
        <v>4725</v>
      </c>
      <c r="C1288" t="s">
        <v>28</v>
      </c>
      <c r="D1288" s="1" t="b">
        <v>1</v>
      </c>
      <c r="E1288">
        <v>6.2200000000000005E-4</v>
      </c>
      <c r="F1288">
        <v>3.2062096150000001</v>
      </c>
      <c r="G1288">
        <v>34.799999999999997</v>
      </c>
      <c r="H1288">
        <v>2.7999999999999999E-6</v>
      </c>
      <c r="I1288">
        <v>0.59</v>
      </c>
      <c r="J1288">
        <v>37.200000000000003</v>
      </c>
      <c r="K1288">
        <v>4.21</v>
      </c>
      <c r="L1288">
        <v>6.0999999999999999E-5</v>
      </c>
      <c r="M1288">
        <v>25</v>
      </c>
      <c r="N1288" t="s">
        <v>1872</v>
      </c>
      <c r="O1288" t="s">
        <v>29</v>
      </c>
      <c r="Q1288" t="s">
        <v>1872</v>
      </c>
      <c r="R1288" t="s">
        <v>1872</v>
      </c>
      <c r="S1288" t="s">
        <v>1872</v>
      </c>
      <c r="U1288" t="s">
        <v>1872</v>
      </c>
      <c r="W1288" t="s">
        <v>4726</v>
      </c>
      <c r="X1288" t="s">
        <v>4727</v>
      </c>
      <c r="Y1288" t="s">
        <v>4728</v>
      </c>
      <c r="Z1288">
        <v>861.58952060000001</v>
      </c>
    </row>
    <row r="1289" spans="1:26">
      <c r="A1289">
        <v>1288</v>
      </c>
      <c r="B1289" s="2" t="s">
        <v>4729</v>
      </c>
      <c r="C1289" t="s">
        <v>54</v>
      </c>
      <c r="D1289" s="1" t="b">
        <v>1</v>
      </c>
      <c r="E1289">
        <v>3.6999999999999998E-2</v>
      </c>
      <c r="F1289">
        <v>1.4317982760000001</v>
      </c>
      <c r="G1289">
        <v>33</v>
      </c>
      <c r="H1289">
        <v>1.31E-6</v>
      </c>
      <c r="I1289">
        <v>1.27</v>
      </c>
      <c r="J1289">
        <v>39.299999999999997</v>
      </c>
      <c r="K1289">
        <v>2.6</v>
      </c>
      <c r="L1289">
        <v>2.5100000000000001E-3</v>
      </c>
      <c r="M1289">
        <v>20</v>
      </c>
      <c r="N1289" t="s">
        <v>4678</v>
      </c>
      <c r="O1289" t="s">
        <v>29</v>
      </c>
      <c r="Q1289" t="s">
        <v>4678</v>
      </c>
      <c r="R1289" t="s">
        <v>4678</v>
      </c>
      <c r="S1289" t="s">
        <v>4678</v>
      </c>
      <c r="T1289" t="s">
        <v>4678</v>
      </c>
      <c r="U1289" t="s">
        <v>4678</v>
      </c>
      <c r="W1289" t="s">
        <v>4730</v>
      </c>
      <c r="X1289" t="s">
        <v>4731</v>
      </c>
      <c r="Y1289" t="s">
        <v>4732</v>
      </c>
      <c r="Z1289">
        <v>279.11977660000002</v>
      </c>
    </row>
    <row r="1290" spans="1:26" hidden="1">
      <c r="A1290">
        <v>1289</v>
      </c>
      <c r="B1290" t="s">
        <v>4733</v>
      </c>
      <c r="C1290" t="s">
        <v>28</v>
      </c>
      <c r="D1290" s="1" t="b">
        <v>0</v>
      </c>
      <c r="E1290">
        <v>2.8400000000000001E-3</v>
      </c>
      <c r="F1290">
        <v>2.54668166</v>
      </c>
      <c r="G1290">
        <v>47.3</v>
      </c>
      <c r="H1290">
        <v>1.3999999999999999E-6</v>
      </c>
      <c r="I1290">
        <v>1.19</v>
      </c>
      <c r="J1290">
        <v>24.7</v>
      </c>
      <c r="K1290">
        <v>4.7</v>
      </c>
      <c r="L1290">
        <v>2.0000000000000002E-5</v>
      </c>
      <c r="M1290">
        <v>25</v>
      </c>
      <c r="N1290" t="s">
        <v>2992</v>
      </c>
      <c r="R1290" t="s">
        <v>2992</v>
      </c>
      <c r="T1290" t="s">
        <v>2992</v>
      </c>
      <c r="U1290" t="s">
        <v>2992</v>
      </c>
      <c r="W1290" t="s">
        <v>4734</v>
      </c>
      <c r="X1290" t="s">
        <v>4735</v>
      </c>
      <c r="Y1290" t="s">
        <v>4736</v>
      </c>
      <c r="Z1290">
        <v>766.33960149999996</v>
      </c>
    </row>
    <row r="1291" spans="1:26" hidden="1">
      <c r="A1291">
        <v>1290</v>
      </c>
      <c r="B1291" t="s">
        <v>4737</v>
      </c>
      <c r="C1291" t="s">
        <v>28</v>
      </c>
      <c r="D1291" s="1" t="b">
        <v>0</v>
      </c>
      <c r="E1291">
        <v>8.4599999999999996E-4</v>
      </c>
      <c r="F1291">
        <v>3.0726296369999999</v>
      </c>
      <c r="G1291">
        <v>33.5</v>
      </c>
      <c r="J1291">
        <v>38.47</v>
      </c>
      <c r="M1291">
        <v>25</v>
      </c>
      <c r="N1291" t="s">
        <v>2997</v>
      </c>
      <c r="O1291" t="s">
        <v>2997</v>
      </c>
      <c r="P1291" t="s">
        <v>2997</v>
      </c>
      <c r="S1291" t="s">
        <v>31</v>
      </c>
      <c r="T1291" t="s">
        <v>2997</v>
      </c>
      <c r="U1291" t="s">
        <v>2997</v>
      </c>
      <c r="V1291" t="s">
        <v>2997</v>
      </c>
      <c r="X1291" t="s">
        <v>4738</v>
      </c>
      <c r="Y1291" t="s">
        <v>4739</v>
      </c>
      <c r="Z1291">
        <v>654.2507865</v>
      </c>
    </row>
    <row r="1292" spans="1:26" hidden="1">
      <c r="A1292">
        <v>1291</v>
      </c>
      <c r="B1292" t="s">
        <v>4740</v>
      </c>
      <c r="C1292" t="s">
        <v>54</v>
      </c>
      <c r="D1292" s="1" t="b">
        <v>0</v>
      </c>
      <c r="E1292">
        <v>4.3999999999999997E-2</v>
      </c>
      <c r="F1292">
        <v>1.3565473240000001</v>
      </c>
      <c r="G1292">
        <v>40.1</v>
      </c>
      <c r="H1292">
        <v>2.0099999999999998E-6</v>
      </c>
      <c r="I1292">
        <v>0.82613883899999996</v>
      </c>
      <c r="J1292">
        <v>31.7</v>
      </c>
      <c r="K1292">
        <v>1.96</v>
      </c>
      <c r="L1292">
        <v>1.11E-2</v>
      </c>
      <c r="M1292">
        <v>25</v>
      </c>
      <c r="N1292" t="s">
        <v>89</v>
      </c>
      <c r="O1292" t="s">
        <v>29</v>
      </c>
      <c r="P1292" t="s">
        <v>103</v>
      </c>
      <c r="Q1292" t="s">
        <v>578</v>
      </c>
      <c r="R1292" t="s">
        <v>137</v>
      </c>
      <c r="S1292" t="s">
        <v>137</v>
      </c>
      <c r="T1292" t="s">
        <v>31</v>
      </c>
      <c r="W1292" t="s">
        <v>4741</v>
      </c>
      <c r="X1292" t="s">
        <v>4742</v>
      </c>
      <c r="Y1292" t="s">
        <v>4743</v>
      </c>
      <c r="Z1292">
        <v>299.12486189999998</v>
      </c>
    </row>
    <row r="1293" spans="1:26">
      <c r="A1293">
        <v>1292</v>
      </c>
      <c r="B1293" s="2" t="s">
        <v>4740</v>
      </c>
      <c r="C1293" t="s">
        <v>54</v>
      </c>
      <c r="D1293" s="1" t="b">
        <v>1</v>
      </c>
      <c r="E1293" s="2">
        <v>4.3999999999999997E-2</v>
      </c>
      <c r="F1293" s="2">
        <f>-LOG10(E1293)</f>
        <v>1.3565473235138126</v>
      </c>
      <c r="M1293">
        <v>25</v>
      </c>
      <c r="N1293" t="s">
        <v>135</v>
      </c>
      <c r="W1293" t="s">
        <v>4744</v>
      </c>
      <c r="X1293" t="s">
        <v>4745</v>
      </c>
      <c r="Y1293" t="s">
        <v>4746</v>
      </c>
      <c r="Z1293">
        <v>299.12486189999998</v>
      </c>
    </row>
    <row r="1294" spans="1:26" hidden="1">
      <c r="A1294">
        <v>1293</v>
      </c>
      <c r="B1294" t="s">
        <v>4747</v>
      </c>
      <c r="C1294" t="s">
        <v>134</v>
      </c>
      <c r="D1294" s="13" t="b">
        <v>0</v>
      </c>
      <c r="E1294">
        <v>3.3040000000000001E-4</v>
      </c>
      <c r="F1294">
        <v>3.4809599609999999</v>
      </c>
      <c r="M1294">
        <v>25</v>
      </c>
      <c r="N1294" t="s">
        <v>179</v>
      </c>
      <c r="X1294" t="s">
        <v>4748</v>
      </c>
      <c r="Y1294" t="s">
        <v>4749</v>
      </c>
      <c r="Z1294">
        <v>483.20553849999999</v>
      </c>
    </row>
    <row r="1295" spans="1:26" hidden="1">
      <c r="A1295">
        <v>1294</v>
      </c>
      <c r="B1295" t="s">
        <v>4750</v>
      </c>
      <c r="C1295" t="s">
        <v>134</v>
      </c>
      <c r="D1295" s="13" t="b">
        <v>0</v>
      </c>
      <c r="E1295">
        <v>3.0969999999999999E-3</v>
      </c>
      <c r="F1295">
        <v>2.5090587950000001</v>
      </c>
      <c r="M1295">
        <v>25</v>
      </c>
      <c r="N1295" t="s">
        <v>179</v>
      </c>
      <c r="P1295" t="s">
        <v>294</v>
      </c>
      <c r="W1295" t="s">
        <v>4751</v>
      </c>
      <c r="X1295" t="s">
        <v>4752</v>
      </c>
      <c r="Y1295" t="s">
        <v>4753</v>
      </c>
      <c r="Z1295">
        <v>320.14220990000001</v>
      </c>
    </row>
    <row r="1296" spans="1:26" hidden="1">
      <c r="A1296">
        <v>1295</v>
      </c>
      <c r="B1296" t="s">
        <v>4754</v>
      </c>
      <c r="C1296" t="s">
        <v>28</v>
      </c>
      <c r="D1296" s="1" t="b">
        <v>0</v>
      </c>
      <c r="E1296">
        <v>2.1580000000000002E-3</v>
      </c>
      <c r="F1296">
        <v>2.6659485599999999</v>
      </c>
      <c r="M1296">
        <v>25</v>
      </c>
      <c r="N1296" t="s">
        <v>484</v>
      </c>
      <c r="X1296" t="s">
        <v>4755</v>
      </c>
      <c r="Y1296" t="s">
        <v>4756</v>
      </c>
      <c r="Z1296">
        <v>680.32797419999997</v>
      </c>
    </row>
    <row r="1297" spans="1:26" hidden="1">
      <c r="A1297">
        <v>1296</v>
      </c>
      <c r="B1297" t="s">
        <v>4757</v>
      </c>
      <c r="C1297" t="s">
        <v>28</v>
      </c>
      <c r="D1297" s="1" t="b">
        <v>0</v>
      </c>
      <c r="E1297">
        <v>0.01</v>
      </c>
      <c r="F1297">
        <v>2</v>
      </c>
      <c r="M1297">
        <v>25</v>
      </c>
      <c r="N1297" t="s">
        <v>484</v>
      </c>
      <c r="X1297" t="s">
        <v>4758</v>
      </c>
      <c r="Y1297" t="s">
        <v>4759</v>
      </c>
      <c r="Z1297">
        <v>652.29667410000002</v>
      </c>
    </row>
    <row r="1298" spans="1:26" hidden="1">
      <c r="A1298">
        <v>1297</v>
      </c>
      <c r="B1298" t="s">
        <v>4760</v>
      </c>
      <c r="C1298" t="s">
        <v>54</v>
      </c>
      <c r="D1298" s="1" t="b">
        <v>0</v>
      </c>
      <c r="E1298">
        <v>9.1999999999999998E-3</v>
      </c>
      <c r="F1298">
        <v>2.036212173</v>
      </c>
      <c r="G1298">
        <v>38.200000000000003</v>
      </c>
      <c r="H1298">
        <v>2.1600000000000001E-6</v>
      </c>
      <c r="I1298">
        <v>0.76700000000000002</v>
      </c>
      <c r="J1298">
        <v>38.200000000000003</v>
      </c>
      <c r="K1298">
        <v>2.74</v>
      </c>
      <c r="L1298">
        <v>6.4570347E-2</v>
      </c>
      <c r="M1298">
        <v>25</v>
      </c>
      <c r="N1298" t="s">
        <v>4206</v>
      </c>
      <c r="O1298" t="s">
        <v>29</v>
      </c>
      <c r="Q1298" t="s">
        <v>4206</v>
      </c>
      <c r="R1298" t="s">
        <v>4206</v>
      </c>
      <c r="S1298" t="s">
        <v>4206</v>
      </c>
      <c r="T1298" t="s">
        <v>4206</v>
      </c>
      <c r="U1298" t="s">
        <v>4206</v>
      </c>
      <c r="V1298" t="s">
        <v>31</v>
      </c>
      <c r="W1298" t="s">
        <v>4761</v>
      </c>
      <c r="X1298" t="s">
        <v>4762</v>
      </c>
      <c r="Y1298" t="s">
        <v>4763</v>
      </c>
      <c r="Z1298">
        <v>310.22034209999998</v>
      </c>
    </row>
    <row r="1299" spans="1:26" hidden="1">
      <c r="A1299">
        <v>1298</v>
      </c>
      <c r="B1299" t="s">
        <v>4764</v>
      </c>
      <c r="C1299" t="s">
        <v>54</v>
      </c>
      <c r="D1299" s="1" t="b">
        <v>0</v>
      </c>
      <c r="E1299">
        <v>1.09E-2</v>
      </c>
      <c r="F1299">
        <v>1.9625735019999999</v>
      </c>
      <c r="G1299">
        <v>39.700000000000003</v>
      </c>
      <c r="H1299">
        <v>1.72E-6</v>
      </c>
      <c r="I1299">
        <v>0.96699999999999997</v>
      </c>
      <c r="J1299">
        <v>33.299999999999997</v>
      </c>
      <c r="K1299">
        <v>2.15</v>
      </c>
      <c r="L1299">
        <v>0.116484158</v>
      </c>
      <c r="M1299">
        <v>25</v>
      </c>
      <c r="N1299" t="s">
        <v>4206</v>
      </c>
      <c r="O1299" t="s">
        <v>29</v>
      </c>
      <c r="Q1299" t="s">
        <v>4206</v>
      </c>
      <c r="R1299" t="s">
        <v>4206</v>
      </c>
      <c r="S1299" t="s">
        <v>4206</v>
      </c>
      <c r="T1299" t="s">
        <v>4206</v>
      </c>
      <c r="U1299" t="s">
        <v>4206</v>
      </c>
      <c r="V1299" t="s">
        <v>31</v>
      </c>
      <c r="W1299" t="s">
        <v>4765</v>
      </c>
      <c r="X1299" t="s">
        <v>4766</v>
      </c>
      <c r="Y1299" t="s">
        <v>4767</v>
      </c>
      <c r="Z1299">
        <v>302.135761</v>
      </c>
    </row>
    <row r="1300" spans="1:26" hidden="1">
      <c r="A1300">
        <v>1299</v>
      </c>
      <c r="B1300" t="s">
        <v>4768</v>
      </c>
      <c r="C1300" t="s">
        <v>28</v>
      </c>
      <c r="D1300" s="1" t="b">
        <v>0</v>
      </c>
      <c r="E1300">
        <v>2.529E-3</v>
      </c>
      <c r="F1300">
        <v>2.5970511709999999</v>
      </c>
      <c r="M1300">
        <v>25</v>
      </c>
      <c r="N1300" t="s">
        <v>484</v>
      </c>
      <c r="P1300" t="s">
        <v>648</v>
      </c>
      <c r="X1300" t="s">
        <v>4769</v>
      </c>
      <c r="Y1300" t="s">
        <v>4770</v>
      </c>
      <c r="Z1300">
        <v>544.36746770000002</v>
      </c>
    </row>
    <row r="1301" spans="1:26" hidden="1">
      <c r="A1301">
        <v>1300</v>
      </c>
      <c r="B1301" t="s">
        <v>4771</v>
      </c>
      <c r="C1301" t="s">
        <v>28</v>
      </c>
      <c r="D1301" s="1" t="b">
        <v>0</v>
      </c>
      <c r="E1301">
        <v>5.0699999999999999E-3</v>
      </c>
      <c r="F1301">
        <v>2.294992041</v>
      </c>
      <c r="M1301">
        <v>25</v>
      </c>
      <c r="N1301" t="s">
        <v>484</v>
      </c>
      <c r="W1301" t="s">
        <v>4772</v>
      </c>
      <c r="X1301" t="s">
        <v>4773</v>
      </c>
      <c r="Y1301" t="s">
        <v>4774</v>
      </c>
      <c r="Z1301">
        <v>630.28717200000006</v>
      </c>
    </row>
    <row r="1302" spans="1:26" hidden="1">
      <c r="A1302">
        <v>1301</v>
      </c>
      <c r="B1302" t="s">
        <v>4775</v>
      </c>
      <c r="C1302" t="s">
        <v>28</v>
      </c>
      <c r="D1302" s="1" t="b">
        <v>0</v>
      </c>
      <c r="E1302">
        <v>3.3730000000000001E-3</v>
      </c>
      <c r="F1302">
        <v>2.4719836590000002</v>
      </c>
      <c r="M1302">
        <v>25</v>
      </c>
      <c r="N1302" t="s">
        <v>484</v>
      </c>
      <c r="X1302" t="s">
        <v>4776</v>
      </c>
      <c r="Y1302" t="s">
        <v>4777</v>
      </c>
      <c r="Z1302">
        <v>616.27152190000004</v>
      </c>
    </row>
    <row r="1303" spans="1:26" hidden="1">
      <c r="A1303">
        <v>1302</v>
      </c>
      <c r="B1303" t="s">
        <v>4778</v>
      </c>
      <c r="C1303" t="s">
        <v>28</v>
      </c>
      <c r="D1303" s="1" t="b">
        <v>0</v>
      </c>
      <c r="E1303">
        <v>8.5113799999999998E-4</v>
      </c>
      <c r="F1303">
        <v>3.07</v>
      </c>
      <c r="G1303">
        <v>32.200000000000003</v>
      </c>
      <c r="H1303">
        <v>2.1500000000000002E-6</v>
      </c>
      <c r="I1303">
        <v>0.83</v>
      </c>
      <c r="J1303">
        <v>39.799999999999997</v>
      </c>
      <c r="K1303">
        <v>3.607703098</v>
      </c>
      <c r="L1303">
        <v>2.7114053999999999E-2</v>
      </c>
      <c r="M1303">
        <v>25</v>
      </c>
      <c r="N1303" t="s">
        <v>2484</v>
      </c>
      <c r="O1303" t="s">
        <v>2484</v>
      </c>
      <c r="P1303" t="s">
        <v>2484</v>
      </c>
      <c r="R1303" t="s">
        <v>2484</v>
      </c>
      <c r="S1303" t="s">
        <v>2484</v>
      </c>
      <c r="T1303" t="s">
        <v>2484</v>
      </c>
      <c r="U1303" t="s">
        <v>31</v>
      </c>
      <c r="V1303" t="s">
        <v>31</v>
      </c>
      <c r="W1303" t="s">
        <v>4779</v>
      </c>
      <c r="X1303" t="s">
        <v>4780</v>
      </c>
      <c r="Y1303" t="s">
        <v>4781</v>
      </c>
      <c r="Z1303">
        <v>630.44063259999996</v>
      </c>
    </row>
    <row r="1304" spans="1:26" hidden="1">
      <c r="A1304">
        <v>1303</v>
      </c>
      <c r="B1304" t="s">
        <v>4782</v>
      </c>
      <c r="C1304" t="s">
        <v>28</v>
      </c>
      <c r="D1304" s="1" t="b">
        <v>0</v>
      </c>
      <c r="E1304">
        <v>8.5113799999999998E-4</v>
      </c>
      <c r="F1304">
        <v>3.07</v>
      </c>
      <c r="G1304">
        <v>41.9</v>
      </c>
      <c r="H1304">
        <v>2.3199999999999998E-6</v>
      </c>
      <c r="I1304">
        <v>0.76</v>
      </c>
      <c r="J1304">
        <v>30.1</v>
      </c>
      <c r="K1304">
        <v>3.3241845780000001</v>
      </c>
      <c r="L1304">
        <v>3.6001863000000002E-2</v>
      </c>
      <c r="M1304">
        <v>25</v>
      </c>
      <c r="N1304" t="s">
        <v>2484</v>
      </c>
      <c r="O1304" t="s">
        <v>2484</v>
      </c>
      <c r="P1304" t="s">
        <v>2484</v>
      </c>
      <c r="R1304" t="s">
        <v>2484</v>
      </c>
      <c r="S1304" t="s">
        <v>2484</v>
      </c>
      <c r="T1304" t="s">
        <v>2484</v>
      </c>
      <c r="U1304" t="s">
        <v>31</v>
      </c>
      <c r="V1304" t="s">
        <v>31</v>
      </c>
      <c r="W1304" t="s">
        <v>4783</v>
      </c>
      <c r="X1304" t="s">
        <v>4784</v>
      </c>
      <c r="Y1304" t="s">
        <v>4785</v>
      </c>
      <c r="Z1304">
        <v>616.42498260000002</v>
      </c>
    </row>
    <row r="1305" spans="1:26" hidden="1">
      <c r="A1305">
        <v>1304</v>
      </c>
      <c r="B1305" t="s">
        <v>4786</v>
      </c>
      <c r="C1305" t="s">
        <v>28</v>
      </c>
      <c r="D1305" s="1" t="b">
        <v>0</v>
      </c>
      <c r="E1305">
        <v>1E-3</v>
      </c>
      <c r="F1305">
        <v>3</v>
      </c>
      <c r="G1305">
        <v>43</v>
      </c>
      <c r="H1305">
        <v>2.3499999999999999E-6</v>
      </c>
      <c r="I1305">
        <v>0.74</v>
      </c>
      <c r="J1305">
        <v>28.97</v>
      </c>
      <c r="K1305">
        <v>3.2236096060000001</v>
      </c>
      <c r="L1305">
        <v>3.9811095999999997E-2</v>
      </c>
      <c r="M1305">
        <v>25</v>
      </c>
      <c r="N1305" t="s">
        <v>2484</v>
      </c>
      <c r="O1305" t="s">
        <v>2484</v>
      </c>
      <c r="P1305" t="s">
        <v>648</v>
      </c>
      <c r="R1305" t="s">
        <v>2484</v>
      </c>
      <c r="S1305" t="s">
        <v>31</v>
      </c>
      <c r="T1305" t="s">
        <v>2484</v>
      </c>
      <c r="U1305" t="s">
        <v>31</v>
      </c>
      <c r="V1305" t="s">
        <v>31</v>
      </c>
      <c r="W1305" t="s">
        <v>4787</v>
      </c>
      <c r="X1305" t="s">
        <v>4788</v>
      </c>
      <c r="Y1305" t="s">
        <v>4789</v>
      </c>
      <c r="Z1305">
        <v>602.4093325</v>
      </c>
    </row>
    <row r="1306" spans="1:26" hidden="1">
      <c r="A1306">
        <v>1305</v>
      </c>
      <c r="B1306" t="s">
        <v>4790</v>
      </c>
      <c r="C1306" t="s">
        <v>28</v>
      </c>
      <c r="D1306" s="1" t="b">
        <v>0</v>
      </c>
      <c r="E1306">
        <v>1.122018E-3</v>
      </c>
      <c r="F1306">
        <v>2.95</v>
      </c>
      <c r="G1306">
        <v>44.2</v>
      </c>
      <c r="H1306">
        <v>2.3800000000000001E-6</v>
      </c>
      <c r="I1306">
        <v>0.72</v>
      </c>
      <c r="J1306">
        <v>27.8</v>
      </c>
      <c r="K1306">
        <v>3.1413521979999999</v>
      </c>
      <c r="L1306">
        <v>4.3224311000000001E-2</v>
      </c>
      <c r="M1306">
        <v>25</v>
      </c>
      <c r="N1306" t="s">
        <v>2484</v>
      </c>
      <c r="O1306" t="s">
        <v>2484</v>
      </c>
      <c r="P1306" t="s">
        <v>2484</v>
      </c>
      <c r="R1306" t="s">
        <v>2484</v>
      </c>
      <c r="S1306" t="s">
        <v>2484</v>
      </c>
      <c r="T1306" t="s">
        <v>2484</v>
      </c>
      <c r="U1306" t="s">
        <v>31</v>
      </c>
      <c r="V1306" t="s">
        <v>31</v>
      </c>
      <c r="W1306" t="s">
        <v>4791</v>
      </c>
      <c r="X1306" t="s">
        <v>4792</v>
      </c>
      <c r="Y1306" t="s">
        <v>4793</v>
      </c>
      <c r="Z1306">
        <v>588.39368249999995</v>
      </c>
    </row>
    <row r="1307" spans="1:26" hidden="1">
      <c r="A1307">
        <v>1306</v>
      </c>
      <c r="B1307" t="s">
        <v>4794</v>
      </c>
      <c r="C1307" t="s">
        <v>28</v>
      </c>
      <c r="D1307" s="1" t="b">
        <v>0</v>
      </c>
      <c r="E1307">
        <v>1.202264E-3</v>
      </c>
      <c r="F1307">
        <v>2.92</v>
      </c>
      <c r="G1307">
        <v>45.3</v>
      </c>
      <c r="H1307">
        <v>2.4099999999999998E-6</v>
      </c>
      <c r="I1307">
        <v>0.7</v>
      </c>
      <c r="J1307">
        <v>26.67</v>
      </c>
      <c r="K1307">
        <v>3.0823205740000001</v>
      </c>
      <c r="L1307">
        <v>4.5852728000000002E-2</v>
      </c>
      <c r="M1307">
        <v>25</v>
      </c>
      <c r="N1307" t="s">
        <v>2484</v>
      </c>
      <c r="O1307" t="s">
        <v>2484</v>
      </c>
      <c r="P1307" t="s">
        <v>648</v>
      </c>
      <c r="R1307" t="s">
        <v>2484</v>
      </c>
      <c r="S1307" t="s">
        <v>31</v>
      </c>
      <c r="T1307" t="s">
        <v>2484</v>
      </c>
      <c r="U1307" t="s">
        <v>31</v>
      </c>
      <c r="V1307" t="s">
        <v>31</v>
      </c>
      <c r="W1307" t="s">
        <v>4795</v>
      </c>
      <c r="X1307" t="s">
        <v>4796</v>
      </c>
      <c r="Y1307" t="s">
        <v>4797</v>
      </c>
      <c r="Z1307">
        <v>574.37803240000005</v>
      </c>
    </row>
    <row r="1308" spans="1:26">
      <c r="A1308">
        <v>1307</v>
      </c>
      <c r="B1308" s="2" t="s">
        <v>4798</v>
      </c>
      <c r="C1308" t="s">
        <v>161</v>
      </c>
      <c r="D1308" s="1" t="b">
        <v>1</v>
      </c>
      <c r="E1308">
        <v>5.7000000000000002E-3</v>
      </c>
      <c r="F1308">
        <v>2.2441251439999998</v>
      </c>
      <c r="G1308">
        <v>31.8</v>
      </c>
      <c r="H1308">
        <v>4.2599999999999999E-6</v>
      </c>
      <c r="I1308">
        <v>0.39</v>
      </c>
      <c r="J1308">
        <v>40.200000000000003</v>
      </c>
      <c r="K1308">
        <v>3.1</v>
      </c>
      <c r="L1308">
        <v>7.94E-4</v>
      </c>
      <c r="M1308">
        <v>25</v>
      </c>
      <c r="N1308" t="s">
        <v>162</v>
      </c>
      <c r="O1308" t="s">
        <v>163</v>
      </c>
      <c r="P1308" t="s">
        <v>164</v>
      </c>
      <c r="R1308" t="s">
        <v>3155</v>
      </c>
      <c r="W1308" t="s">
        <v>4799</v>
      </c>
      <c r="X1308" t="s">
        <v>4800</v>
      </c>
      <c r="Y1308" t="s">
        <v>4801</v>
      </c>
      <c r="Z1308">
        <v>483.26796109999998</v>
      </c>
    </row>
    <row r="1309" spans="1:26">
      <c r="A1309">
        <v>1308</v>
      </c>
      <c r="B1309" s="2" t="s">
        <v>4802</v>
      </c>
      <c r="C1309" t="s">
        <v>161</v>
      </c>
      <c r="D1309" s="1" t="b">
        <v>1</v>
      </c>
      <c r="E1309">
        <v>4.4000000000000003E-3</v>
      </c>
      <c r="F1309">
        <v>2.3565473240000001</v>
      </c>
      <c r="G1309">
        <v>25.4</v>
      </c>
      <c r="H1309" s="3">
        <v>4.5000000000000001E-6</v>
      </c>
      <c r="I1309" s="2">
        <v>0.37</v>
      </c>
      <c r="J1309">
        <v>46.57</v>
      </c>
      <c r="K1309" s="2">
        <v>3.3</v>
      </c>
      <c r="L1309" s="2">
        <f>10^(-K1309)</f>
        <v>5.0118723362727209E-4</v>
      </c>
      <c r="M1309">
        <v>25</v>
      </c>
      <c r="N1309" t="s">
        <v>162</v>
      </c>
      <c r="O1309" t="s">
        <v>163</v>
      </c>
      <c r="P1309" t="s">
        <v>164</v>
      </c>
      <c r="Q1309" s="2" t="s">
        <v>4345</v>
      </c>
      <c r="R1309" s="2" t="s">
        <v>4345</v>
      </c>
      <c r="S1309" t="s">
        <v>31</v>
      </c>
      <c r="T1309" s="2" t="s">
        <v>4345</v>
      </c>
      <c r="U1309" s="2" t="s">
        <v>4345</v>
      </c>
      <c r="V1309" s="2" t="s">
        <v>31</v>
      </c>
      <c r="W1309" t="s">
        <v>4803</v>
      </c>
      <c r="X1309" t="s">
        <v>4804</v>
      </c>
      <c r="Y1309" t="s">
        <v>4805</v>
      </c>
      <c r="Z1309">
        <v>366.225368</v>
      </c>
    </row>
    <row r="1310" spans="1:26">
      <c r="A1310">
        <v>1309</v>
      </c>
      <c r="B1310" s="2" t="s">
        <v>4806</v>
      </c>
      <c r="C1310" t="s">
        <v>161</v>
      </c>
      <c r="D1310" s="1" t="b">
        <v>1</v>
      </c>
      <c r="E1310">
        <v>2.0999999999999999E-3</v>
      </c>
      <c r="F1310">
        <v>2.677780705</v>
      </c>
      <c r="H1310">
        <v>5.6999999999999996E-6</v>
      </c>
      <c r="I1310">
        <v>0.28999999999999998</v>
      </c>
      <c r="K1310">
        <v>3.4</v>
      </c>
      <c r="L1310">
        <v>3.9810699999999997E-4</v>
      </c>
      <c r="M1310">
        <v>25</v>
      </c>
      <c r="N1310" t="s">
        <v>162</v>
      </c>
      <c r="P1310" t="s">
        <v>164</v>
      </c>
      <c r="R1310" t="s">
        <v>4345</v>
      </c>
      <c r="T1310" t="s">
        <v>4345</v>
      </c>
      <c r="U1310" t="s">
        <v>4345</v>
      </c>
      <c r="W1310" t="s">
        <v>4807</v>
      </c>
      <c r="X1310" t="s">
        <v>4808</v>
      </c>
      <c r="Y1310" t="s">
        <v>4809</v>
      </c>
      <c r="Z1310">
        <v>338.23045339999999</v>
      </c>
    </row>
    <row r="1311" spans="1:26">
      <c r="A1311">
        <v>1310</v>
      </c>
      <c r="B1311" s="2" t="s">
        <v>4810</v>
      </c>
      <c r="C1311" t="s">
        <v>161</v>
      </c>
      <c r="D1311" s="1" t="b">
        <v>1</v>
      </c>
      <c r="E1311">
        <v>6.8999999999999999E-3</v>
      </c>
      <c r="F1311">
        <v>2.1611509089999998</v>
      </c>
      <c r="G1311">
        <v>30.4</v>
      </c>
      <c r="H1311">
        <v>3.6100000000000002E-6</v>
      </c>
      <c r="I1311">
        <v>0.46</v>
      </c>
      <c r="J1311">
        <v>42.35</v>
      </c>
      <c r="K1311">
        <v>3.2270805220000001</v>
      </c>
      <c r="L1311">
        <v>3.9673155000000002E-2</v>
      </c>
      <c r="M1311">
        <v>20</v>
      </c>
      <c r="N1311" t="s">
        <v>162</v>
      </c>
      <c r="O1311" t="s">
        <v>163</v>
      </c>
      <c r="P1311" t="s">
        <v>164</v>
      </c>
      <c r="R1311" t="s">
        <v>4811</v>
      </c>
      <c r="S1311" t="s">
        <v>31</v>
      </c>
      <c r="U1311" t="s">
        <v>31</v>
      </c>
      <c r="V1311" t="s">
        <v>31</v>
      </c>
      <c r="W1311" t="s">
        <v>4812</v>
      </c>
      <c r="X1311" t="s">
        <v>4813</v>
      </c>
      <c r="Y1311" t="s">
        <v>4814</v>
      </c>
      <c r="Z1311">
        <v>306.20423870000002</v>
      </c>
    </row>
    <row r="1312" spans="1:26">
      <c r="A1312">
        <v>1311</v>
      </c>
      <c r="B1312" s="2" t="s">
        <v>4815</v>
      </c>
      <c r="C1312" t="s">
        <v>83</v>
      </c>
      <c r="D1312" s="1" t="b">
        <v>1</v>
      </c>
      <c r="E1312">
        <v>2.0990000000000002E-3</v>
      </c>
      <c r="F1312">
        <v>2.6779875610000001</v>
      </c>
      <c r="M1312">
        <v>25</v>
      </c>
      <c r="N1312" t="s">
        <v>207</v>
      </c>
      <c r="X1312" t="s">
        <v>4816</v>
      </c>
      <c r="Y1312" t="s">
        <v>4817</v>
      </c>
      <c r="Z1312">
        <v>275.18584900000002</v>
      </c>
    </row>
    <row r="1313" spans="1:26">
      <c r="A1313">
        <v>1312</v>
      </c>
      <c r="B1313" s="2" t="s">
        <v>4818</v>
      </c>
      <c r="C1313" t="s">
        <v>134</v>
      </c>
      <c r="D1313" s="1" t="b">
        <v>1</v>
      </c>
      <c r="E1313">
        <v>1.5900000000000001E-3</v>
      </c>
      <c r="F1313">
        <v>2.7986028759999999</v>
      </c>
      <c r="G1313" s="2">
        <f>72-J1313</f>
        <v>41.2</v>
      </c>
      <c r="H1313" s="3">
        <v>3.2200000000000001E-6</v>
      </c>
      <c r="I1313" s="2">
        <v>0.51500000000000001</v>
      </c>
      <c r="J1313" s="2">
        <v>30.8</v>
      </c>
      <c r="K1313" s="2">
        <v>2.1</v>
      </c>
      <c r="L1313" s="2">
        <f>10^(-K1313)</f>
        <v>7.9432823472428121E-3</v>
      </c>
      <c r="M1313">
        <v>25</v>
      </c>
      <c r="N1313" t="s">
        <v>135</v>
      </c>
      <c r="P1313" s="2" t="s">
        <v>4251</v>
      </c>
      <c r="Q1313" s="2" t="s">
        <v>4251</v>
      </c>
      <c r="R1313" s="2" t="s">
        <v>4251</v>
      </c>
      <c r="S1313" s="2" t="s">
        <v>4251</v>
      </c>
      <c r="T1313" s="2" t="s">
        <v>4251</v>
      </c>
      <c r="U1313" s="2" t="s">
        <v>4251</v>
      </c>
      <c r="V1313" s="2" t="s">
        <v>31</v>
      </c>
      <c r="X1313" t="s">
        <v>4819</v>
      </c>
      <c r="Y1313" t="s">
        <v>4820</v>
      </c>
      <c r="Z1313">
        <v>274.12147449999998</v>
      </c>
    </row>
    <row r="1314" spans="1:26">
      <c r="A1314">
        <v>1313</v>
      </c>
      <c r="B1314" s="2" t="s">
        <v>4821</v>
      </c>
      <c r="C1314" t="s">
        <v>83</v>
      </c>
      <c r="D1314" s="1" t="b">
        <v>1</v>
      </c>
      <c r="E1314">
        <v>1.799E-3</v>
      </c>
      <c r="F1314">
        <v>2.7449688370000001</v>
      </c>
      <c r="M1314">
        <v>25</v>
      </c>
      <c r="N1314" t="s">
        <v>207</v>
      </c>
      <c r="X1314" t="s">
        <v>4822</v>
      </c>
      <c r="Y1314" t="s">
        <v>4823</v>
      </c>
      <c r="Z1314">
        <v>305.19641360000003</v>
      </c>
    </row>
    <row r="1315" spans="1:26" hidden="1">
      <c r="A1315">
        <v>1314</v>
      </c>
      <c r="B1315" t="s">
        <v>4824</v>
      </c>
      <c r="C1315" t="s">
        <v>83</v>
      </c>
      <c r="D1315" s="1" t="b">
        <v>0</v>
      </c>
      <c r="E1315">
        <v>3.0200000000000001E-3</v>
      </c>
      <c r="F1315">
        <v>2.5199930570000002</v>
      </c>
      <c r="M1315">
        <v>25</v>
      </c>
      <c r="N1315" t="s">
        <v>207</v>
      </c>
      <c r="X1315" t="s">
        <v>4825</v>
      </c>
      <c r="Y1315" t="s">
        <v>4826</v>
      </c>
      <c r="Z1315">
        <v>496.36113319999998</v>
      </c>
    </row>
    <row r="1316" spans="1:26" hidden="1">
      <c r="A1316">
        <v>1315</v>
      </c>
      <c r="B1316" t="s">
        <v>4827</v>
      </c>
      <c r="C1316" t="s">
        <v>134</v>
      </c>
      <c r="D1316" s="13" t="b">
        <v>0</v>
      </c>
      <c r="E1316">
        <v>5.9979999999999999E-2</v>
      </c>
      <c r="F1316">
        <v>1.2219935390000001</v>
      </c>
      <c r="M1316">
        <v>25</v>
      </c>
      <c r="N1316" t="s">
        <v>179</v>
      </c>
      <c r="P1316" t="s">
        <v>294</v>
      </c>
      <c r="W1316" t="s">
        <v>4828</v>
      </c>
      <c r="X1316" t="s">
        <v>4829</v>
      </c>
      <c r="Y1316" t="s">
        <v>4830</v>
      </c>
      <c r="Z1316">
        <v>246.0901744</v>
      </c>
    </row>
    <row r="1317" spans="1:26">
      <c r="A1317">
        <v>1316</v>
      </c>
      <c r="B1317" t="s">
        <v>4831</v>
      </c>
      <c r="C1317" t="s">
        <v>161</v>
      </c>
      <c r="D1317" s="1" t="b">
        <v>1</v>
      </c>
      <c r="E1317">
        <v>7.0000000000000001E-3</v>
      </c>
      <c r="F1317">
        <v>2.1549019600000001</v>
      </c>
      <c r="G1317">
        <v>30.2</v>
      </c>
      <c r="H1317">
        <v>3.6100000000000002E-6</v>
      </c>
      <c r="I1317">
        <v>0.46</v>
      </c>
      <c r="J1317">
        <v>41.77</v>
      </c>
      <c r="K1317">
        <v>3.212660048</v>
      </c>
      <c r="L1317">
        <v>4.0249405000000002E-2</v>
      </c>
      <c r="M1317">
        <v>25</v>
      </c>
      <c r="N1317" t="s">
        <v>162</v>
      </c>
      <c r="O1317" t="s">
        <v>163</v>
      </c>
      <c r="P1317" t="s">
        <v>164</v>
      </c>
      <c r="R1317" t="s">
        <v>4832</v>
      </c>
      <c r="S1317" t="s">
        <v>31</v>
      </c>
      <c r="T1317" t="s">
        <v>4832</v>
      </c>
      <c r="U1317" t="s">
        <v>31</v>
      </c>
      <c r="V1317" t="s">
        <v>31</v>
      </c>
      <c r="W1317" t="s">
        <v>4833</v>
      </c>
      <c r="X1317" t="s">
        <v>4834</v>
      </c>
      <c r="Y1317" t="s">
        <v>4835</v>
      </c>
      <c r="Z1317">
        <v>305.2202231</v>
      </c>
    </row>
    <row r="1318" spans="1:26" hidden="1">
      <c r="A1318">
        <v>1317</v>
      </c>
      <c r="B1318" t="s">
        <v>4836</v>
      </c>
      <c r="C1318" t="s">
        <v>28</v>
      </c>
      <c r="D1318" s="1" t="b">
        <v>0</v>
      </c>
      <c r="E1318">
        <v>4.15E-3</v>
      </c>
      <c r="F1318">
        <v>2.381951903</v>
      </c>
      <c r="G1318">
        <v>39.700000000000003</v>
      </c>
      <c r="H1318">
        <v>1.28E-6</v>
      </c>
      <c r="I1318">
        <v>1.3</v>
      </c>
      <c r="J1318">
        <v>32.299999999999997</v>
      </c>
      <c r="K1318">
        <v>2.9430140260000002</v>
      </c>
      <c r="L1318">
        <v>5.2706629999999997E-2</v>
      </c>
      <c r="M1318">
        <v>25</v>
      </c>
      <c r="N1318" t="s">
        <v>1911</v>
      </c>
      <c r="O1318" t="s">
        <v>29</v>
      </c>
      <c r="Q1318" t="s">
        <v>1912</v>
      </c>
      <c r="R1318" t="s">
        <v>1912</v>
      </c>
      <c r="U1318" t="s">
        <v>31</v>
      </c>
      <c r="V1318" t="s">
        <v>31</v>
      </c>
      <c r="W1318" t="s">
        <v>4837</v>
      </c>
      <c r="X1318" t="s">
        <v>4838</v>
      </c>
      <c r="Y1318" t="s">
        <v>4839</v>
      </c>
      <c r="Z1318">
        <v>570.31232409999996</v>
      </c>
    </row>
    <row r="1319" spans="1:26" hidden="1">
      <c r="A1319">
        <v>1318</v>
      </c>
      <c r="B1319" t="s">
        <v>4840</v>
      </c>
      <c r="C1319" t="s">
        <v>28</v>
      </c>
      <c r="D1319" s="1" t="b">
        <v>0</v>
      </c>
      <c r="E1319">
        <v>1.8001139999999999E-2</v>
      </c>
      <c r="F1319">
        <v>1.7446999999999999</v>
      </c>
      <c r="M1319">
        <v>25</v>
      </c>
      <c r="N1319" t="s">
        <v>1849</v>
      </c>
      <c r="X1319" t="s">
        <v>4841</v>
      </c>
      <c r="Y1319" t="s">
        <v>4842</v>
      </c>
      <c r="Z1319">
        <v>585.32322320000003</v>
      </c>
    </row>
    <row r="1320" spans="1:26" hidden="1">
      <c r="A1320">
        <v>1319</v>
      </c>
      <c r="B1320" t="s">
        <v>4843</v>
      </c>
      <c r="C1320" t="s">
        <v>28</v>
      </c>
      <c r="D1320" s="1" t="b">
        <v>0</v>
      </c>
      <c r="E1320">
        <v>2.1998851E-2</v>
      </c>
      <c r="F1320">
        <v>1.6576</v>
      </c>
      <c r="M1320">
        <v>25</v>
      </c>
      <c r="N1320" t="s">
        <v>1849</v>
      </c>
      <c r="X1320" t="s">
        <v>4844</v>
      </c>
      <c r="Y1320" t="s">
        <v>4845</v>
      </c>
      <c r="Z1320">
        <v>572.29158870000003</v>
      </c>
    </row>
    <row r="1321" spans="1:26" hidden="1">
      <c r="A1321">
        <v>1320</v>
      </c>
      <c r="B1321" t="s">
        <v>4846</v>
      </c>
      <c r="C1321" t="s">
        <v>28</v>
      </c>
      <c r="D1321" s="1" t="b">
        <v>0</v>
      </c>
      <c r="E1321">
        <v>1.4999999999999999E-2</v>
      </c>
      <c r="F1321">
        <v>1.8239087409999999</v>
      </c>
      <c r="G1321">
        <v>38</v>
      </c>
      <c r="H1321">
        <v>1.66E-6</v>
      </c>
      <c r="I1321">
        <v>1</v>
      </c>
      <c r="J1321">
        <v>34</v>
      </c>
      <c r="K1321">
        <v>2.3163288230000001</v>
      </c>
      <c r="L1321">
        <v>9.8635028E-2</v>
      </c>
      <c r="M1321">
        <v>25</v>
      </c>
      <c r="N1321" t="s">
        <v>1912</v>
      </c>
      <c r="O1321" t="s">
        <v>29</v>
      </c>
      <c r="Q1321" t="s">
        <v>1912</v>
      </c>
      <c r="R1321" t="s">
        <v>1912</v>
      </c>
      <c r="U1321" t="s">
        <v>31</v>
      </c>
      <c r="V1321" t="s">
        <v>31</v>
      </c>
      <c r="W1321" t="s">
        <v>4847</v>
      </c>
      <c r="X1321" t="s">
        <v>4848</v>
      </c>
      <c r="Y1321" t="s">
        <v>4849</v>
      </c>
      <c r="Z1321">
        <v>585.32322320000003</v>
      </c>
    </row>
    <row r="1322" spans="1:26" hidden="1">
      <c r="A1322">
        <v>1321</v>
      </c>
      <c r="B1322" t="s">
        <v>4850</v>
      </c>
      <c r="C1322" t="s">
        <v>28</v>
      </c>
      <c r="D1322" s="1" t="b">
        <v>0</v>
      </c>
      <c r="E1322">
        <v>1.7000000000000001E-2</v>
      </c>
      <c r="F1322">
        <v>1.769551079</v>
      </c>
      <c r="G1322">
        <v>40.4</v>
      </c>
      <c r="H1322">
        <v>1.2500000000000001E-6</v>
      </c>
      <c r="I1322">
        <v>1.33</v>
      </c>
      <c r="J1322">
        <v>31.6</v>
      </c>
      <c r="K1322">
        <v>2.311381999</v>
      </c>
      <c r="L1322">
        <v>9.9124166999999999E-2</v>
      </c>
      <c r="M1322">
        <v>25</v>
      </c>
      <c r="N1322" t="s">
        <v>1912</v>
      </c>
      <c r="O1322" t="s">
        <v>29</v>
      </c>
      <c r="Q1322" t="s">
        <v>1912</v>
      </c>
      <c r="R1322" t="s">
        <v>1912</v>
      </c>
      <c r="U1322" t="s">
        <v>31</v>
      </c>
      <c r="V1322" t="s">
        <v>31</v>
      </c>
      <c r="W1322" t="s">
        <v>4851</v>
      </c>
      <c r="X1322" t="s">
        <v>4852</v>
      </c>
      <c r="Y1322" t="s">
        <v>4853</v>
      </c>
      <c r="Z1322">
        <v>572.29158870000003</v>
      </c>
    </row>
    <row r="1323" spans="1:26" hidden="1">
      <c r="A1323">
        <v>1322</v>
      </c>
      <c r="B1323" t="s">
        <v>4854</v>
      </c>
      <c r="C1323" t="s">
        <v>28</v>
      </c>
      <c r="D1323" s="1" t="b">
        <v>0</v>
      </c>
      <c r="E1323" s="4">
        <v>6.1799999999999995E-4</v>
      </c>
      <c r="F1323">
        <v>3.2090115250000002</v>
      </c>
      <c r="G1323">
        <v>34.9</v>
      </c>
      <c r="H1323">
        <v>1.57E-6</v>
      </c>
      <c r="I1323">
        <v>1.06</v>
      </c>
      <c r="J1323">
        <v>37.1</v>
      </c>
      <c r="K1323">
        <v>3.78</v>
      </c>
      <c r="L1323">
        <v>1.66E-4</v>
      </c>
      <c r="M1323">
        <v>25</v>
      </c>
      <c r="N1323" t="s">
        <v>2939</v>
      </c>
      <c r="O1323" t="s">
        <v>29</v>
      </c>
      <c r="Q1323" t="s">
        <v>2939</v>
      </c>
      <c r="R1323" t="s">
        <v>2939</v>
      </c>
      <c r="S1323" t="s">
        <v>2939</v>
      </c>
      <c r="T1323" t="s">
        <v>2939</v>
      </c>
      <c r="U1323" t="s">
        <v>2939</v>
      </c>
      <c r="W1323" t="s">
        <v>4855</v>
      </c>
      <c r="X1323" t="s">
        <v>4856</v>
      </c>
      <c r="Y1323" t="s">
        <v>4857</v>
      </c>
      <c r="Z1323">
        <v>760.4328332</v>
      </c>
    </row>
    <row r="1324" spans="1:26">
      <c r="A1324">
        <v>1323</v>
      </c>
      <c r="B1324" s="2" t="s">
        <v>4858</v>
      </c>
      <c r="C1324" t="s">
        <v>28</v>
      </c>
      <c r="D1324" s="1" t="b">
        <v>1</v>
      </c>
      <c r="E1324" s="4">
        <v>8.4999999999999995E-4</v>
      </c>
      <c r="F1324">
        <v>3.0705810740000001</v>
      </c>
      <c r="G1324">
        <v>42.2</v>
      </c>
      <c r="H1324">
        <v>1.95E-6</v>
      </c>
      <c r="I1324">
        <v>0.85</v>
      </c>
      <c r="J1324">
        <v>29.8</v>
      </c>
      <c r="K1324">
        <v>3.4</v>
      </c>
      <c r="L1324">
        <v>3.9800000000000002E-4</v>
      </c>
      <c r="M1324">
        <v>25</v>
      </c>
      <c r="N1324" t="s">
        <v>2939</v>
      </c>
      <c r="O1324" t="s">
        <v>29</v>
      </c>
      <c r="Q1324" t="s">
        <v>2939</v>
      </c>
      <c r="R1324" t="s">
        <v>2939</v>
      </c>
      <c r="S1324" t="s">
        <v>2939</v>
      </c>
      <c r="T1324" t="s">
        <v>2939</v>
      </c>
      <c r="U1324" t="s">
        <v>2939</v>
      </c>
      <c r="W1324" t="s">
        <v>4859</v>
      </c>
      <c r="X1324" t="s">
        <v>4860</v>
      </c>
      <c r="Y1324" t="s">
        <v>4861</v>
      </c>
      <c r="Z1324">
        <v>642.33345350000002</v>
      </c>
    </row>
    <row r="1325" spans="1:26" hidden="1">
      <c r="A1325">
        <v>1324</v>
      </c>
      <c r="B1325" t="s">
        <v>4862</v>
      </c>
      <c r="C1325" t="s">
        <v>28</v>
      </c>
      <c r="D1325" s="1" t="b">
        <v>0</v>
      </c>
      <c r="E1325">
        <v>2.2699999999999999E-3</v>
      </c>
      <c r="F1325">
        <v>2.6439741429999999</v>
      </c>
      <c r="G1325">
        <v>28</v>
      </c>
      <c r="H1325">
        <v>1.9800000000000001E-6</v>
      </c>
      <c r="I1325">
        <v>1.26</v>
      </c>
      <c r="J1325">
        <v>44</v>
      </c>
      <c r="K1325">
        <v>4.04</v>
      </c>
      <c r="L1325">
        <v>9.1199999999999994E-5</v>
      </c>
      <c r="M1325">
        <v>25</v>
      </c>
      <c r="N1325" t="s">
        <v>2423</v>
      </c>
      <c r="O1325" t="s">
        <v>29</v>
      </c>
      <c r="Q1325" t="s">
        <v>2423</v>
      </c>
      <c r="R1325" t="s">
        <v>2423</v>
      </c>
      <c r="S1325" t="s">
        <v>2423</v>
      </c>
      <c r="T1325" t="s">
        <v>2423</v>
      </c>
      <c r="U1325" t="s">
        <v>2423</v>
      </c>
      <c r="W1325" t="s">
        <v>4863</v>
      </c>
      <c r="X1325" t="s">
        <v>4864</v>
      </c>
      <c r="Y1325" t="s">
        <v>4865</v>
      </c>
      <c r="Z1325">
        <v>746.41718309999999</v>
      </c>
    </row>
    <row r="1326" spans="1:26">
      <c r="A1326">
        <v>1325</v>
      </c>
      <c r="B1326" s="2" t="s">
        <v>4866</v>
      </c>
      <c r="C1326" t="s">
        <v>28</v>
      </c>
      <c r="D1326" s="1" t="b">
        <v>1</v>
      </c>
      <c r="E1326">
        <v>2.4500000000000001E-2</v>
      </c>
      <c r="F1326">
        <v>1.610833916</v>
      </c>
      <c r="G1326">
        <v>25.7</v>
      </c>
      <c r="H1326">
        <v>2.1600000000000001E-6</v>
      </c>
      <c r="I1326">
        <v>1.1499999999999999</v>
      </c>
      <c r="J1326">
        <v>46.3</v>
      </c>
      <c r="K1326">
        <v>3.04</v>
      </c>
      <c r="L1326">
        <v>9.1200000000000005E-4</v>
      </c>
      <c r="M1326">
        <v>25</v>
      </c>
      <c r="N1326" t="s">
        <v>2423</v>
      </c>
      <c r="O1326" t="s">
        <v>29</v>
      </c>
      <c r="Q1326" t="s">
        <v>2423</v>
      </c>
      <c r="R1326" t="s">
        <v>2423</v>
      </c>
      <c r="S1326" t="s">
        <v>2423</v>
      </c>
      <c r="T1326" t="s">
        <v>2423</v>
      </c>
      <c r="U1326" t="s">
        <v>2423</v>
      </c>
      <c r="W1326" t="s">
        <v>4867</v>
      </c>
      <c r="X1326" t="s">
        <v>4868</v>
      </c>
      <c r="Y1326" t="s">
        <v>4869</v>
      </c>
      <c r="Z1326">
        <v>628.3178034</v>
      </c>
    </row>
    <row r="1327" spans="1:26" hidden="1">
      <c r="A1327">
        <v>1326</v>
      </c>
      <c r="B1327" t="s">
        <v>4870</v>
      </c>
      <c r="C1327" t="s">
        <v>54</v>
      </c>
      <c r="D1327" s="1" t="b">
        <v>0</v>
      </c>
      <c r="E1327">
        <v>1.07E-3</v>
      </c>
      <c r="F1327">
        <v>2.9706162219999999</v>
      </c>
      <c r="G1327">
        <v>24.1</v>
      </c>
      <c r="H1327">
        <v>2.6199999999999999E-6</v>
      </c>
      <c r="I1327">
        <v>0.63</v>
      </c>
      <c r="J1327">
        <v>47.9</v>
      </c>
      <c r="K1327">
        <v>3.9</v>
      </c>
      <c r="L1327">
        <v>1.26E-4</v>
      </c>
      <c r="M1327">
        <v>25</v>
      </c>
      <c r="N1327" t="s">
        <v>4871</v>
      </c>
      <c r="O1327" t="s">
        <v>29</v>
      </c>
      <c r="Q1327" t="s">
        <v>4871</v>
      </c>
      <c r="R1327" t="s">
        <v>4871</v>
      </c>
      <c r="U1327" t="s">
        <v>4871</v>
      </c>
      <c r="W1327" t="s">
        <v>4872</v>
      </c>
      <c r="X1327" t="s">
        <v>4873</v>
      </c>
      <c r="Y1327" t="s">
        <v>4874</v>
      </c>
      <c r="Z1327">
        <v>355.17220600000002</v>
      </c>
    </row>
    <row r="1328" spans="1:26" hidden="1">
      <c r="A1328">
        <v>1327</v>
      </c>
      <c r="B1328" t="s">
        <v>4875</v>
      </c>
      <c r="C1328" t="s">
        <v>54</v>
      </c>
      <c r="D1328" s="1" t="b">
        <v>0</v>
      </c>
      <c r="E1328">
        <v>9.5E-4</v>
      </c>
      <c r="F1328">
        <v>3.022276395</v>
      </c>
      <c r="G1328">
        <v>28.4</v>
      </c>
      <c r="H1328">
        <v>2.1600000000000001E-6</v>
      </c>
      <c r="I1328">
        <v>0.77</v>
      </c>
      <c r="J1328">
        <v>43.6</v>
      </c>
      <c r="K1328">
        <v>4.05</v>
      </c>
      <c r="L1328">
        <v>8.9099999999999997E-5</v>
      </c>
      <c r="M1328">
        <v>25</v>
      </c>
      <c r="N1328" t="s">
        <v>4871</v>
      </c>
      <c r="O1328" t="s">
        <v>29</v>
      </c>
      <c r="Q1328" t="s">
        <v>4871</v>
      </c>
      <c r="R1328" t="s">
        <v>4871</v>
      </c>
      <c r="U1328" t="s">
        <v>4871</v>
      </c>
      <c r="W1328" t="s">
        <v>4876</v>
      </c>
      <c r="X1328" t="s">
        <v>4877</v>
      </c>
      <c r="Y1328" t="s">
        <v>4878</v>
      </c>
      <c r="Z1328">
        <v>403.15834189999998</v>
      </c>
    </row>
    <row r="1329" spans="1:26">
      <c r="A1329">
        <v>1328</v>
      </c>
      <c r="B1329" s="2" t="s">
        <v>4879</v>
      </c>
      <c r="C1329" t="s">
        <v>54</v>
      </c>
      <c r="D1329" s="1" t="b">
        <v>1</v>
      </c>
      <c r="E1329">
        <v>1.2199999999999999E-3</v>
      </c>
      <c r="F1329">
        <v>2.9136401689999998</v>
      </c>
      <c r="G1329">
        <v>27.9</v>
      </c>
      <c r="H1329">
        <v>2.2699999999999999E-6</v>
      </c>
      <c r="I1329">
        <v>0.73</v>
      </c>
      <c r="J1329">
        <v>44.1</v>
      </c>
      <c r="K1329">
        <v>3.8</v>
      </c>
      <c r="L1329">
        <v>1.5799999999999999E-4</v>
      </c>
      <c r="M1329">
        <v>25</v>
      </c>
      <c r="N1329" t="s">
        <v>4871</v>
      </c>
      <c r="O1329" t="s">
        <v>29</v>
      </c>
      <c r="Q1329" t="s">
        <v>4871</v>
      </c>
      <c r="R1329" t="s">
        <v>4871</v>
      </c>
      <c r="U1329" t="s">
        <v>4871</v>
      </c>
      <c r="W1329" t="s">
        <v>4880</v>
      </c>
      <c r="X1329" t="s">
        <v>4881</v>
      </c>
      <c r="Y1329" t="s">
        <v>4882</v>
      </c>
      <c r="Z1329">
        <v>310.13816630000002</v>
      </c>
    </row>
    <row r="1330" spans="1:26">
      <c r="A1330">
        <v>1329</v>
      </c>
      <c r="B1330" s="2" t="s">
        <v>4883</v>
      </c>
      <c r="C1330" t="s">
        <v>54</v>
      </c>
      <c r="D1330" s="1" t="b">
        <v>1</v>
      </c>
      <c r="E1330">
        <v>1.1000000000000001E-3</v>
      </c>
      <c r="F1330">
        <v>2.9586073150000001</v>
      </c>
      <c r="G1330">
        <v>28.8</v>
      </c>
      <c r="H1330">
        <v>2.1399999999999998E-6</v>
      </c>
      <c r="I1330">
        <v>0.78</v>
      </c>
      <c r="J1330">
        <v>43.2</v>
      </c>
      <c r="K1330">
        <v>3.87</v>
      </c>
      <c r="L1330">
        <v>1.35E-4</v>
      </c>
      <c r="M1330">
        <v>25</v>
      </c>
      <c r="N1330" t="s">
        <v>4871</v>
      </c>
      <c r="O1330" t="s">
        <v>29</v>
      </c>
      <c r="Q1330" t="s">
        <v>4871</v>
      </c>
      <c r="R1330" t="s">
        <v>4871</v>
      </c>
      <c r="U1330" t="s">
        <v>4871</v>
      </c>
      <c r="W1330" t="s">
        <v>4884</v>
      </c>
      <c r="X1330" t="s">
        <v>4885</v>
      </c>
      <c r="Y1330" t="s">
        <v>4886</v>
      </c>
      <c r="Z1330">
        <v>358.12430219999999</v>
      </c>
    </row>
    <row r="1331" spans="1:26" hidden="1">
      <c r="A1331">
        <v>1330</v>
      </c>
      <c r="B1331" t="s">
        <v>4887</v>
      </c>
      <c r="C1331" t="s">
        <v>28</v>
      </c>
      <c r="D1331" s="1" t="b">
        <v>0</v>
      </c>
      <c r="E1331">
        <v>3.4403292000000002E-2</v>
      </c>
      <c r="F1331">
        <v>1.4634</v>
      </c>
      <c r="M1331">
        <v>25</v>
      </c>
      <c r="N1331" t="s">
        <v>1849</v>
      </c>
      <c r="X1331" t="s">
        <v>4888</v>
      </c>
      <c r="Y1331" t="s">
        <v>4889</v>
      </c>
      <c r="Z1331">
        <v>632.32797419999997</v>
      </c>
    </row>
    <row r="1332" spans="1:26" hidden="1">
      <c r="A1332">
        <v>1331</v>
      </c>
      <c r="B1332" t="s">
        <v>4890</v>
      </c>
      <c r="C1332" t="s">
        <v>28</v>
      </c>
      <c r="D1332" s="1" t="b">
        <v>0</v>
      </c>
      <c r="E1332">
        <v>4.7796930000000001E-2</v>
      </c>
      <c r="F1332">
        <v>1.3206</v>
      </c>
      <c r="M1332">
        <v>25</v>
      </c>
      <c r="N1332" t="s">
        <v>1849</v>
      </c>
      <c r="X1332" t="s">
        <v>4891</v>
      </c>
      <c r="Y1332" t="s">
        <v>4892</v>
      </c>
      <c r="Z1332">
        <v>660.35927430000004</v>
      </c>
    </row>
    <row r="1333" spans="1:26">
      <c r="A1333">
        <v>1332</v>
      </c>
      <c r="B1333" s="2" t="s">
        <v>4893</v>
      </c>
      <c r="C1333" t="s">
        <v>54</v>
      </c>
      <c r="D1333" s="1" t="b">
        <v>1</v>
      </c>
      <c r="E1333">
        <v>1.4499999999999999E-3</v>
      </c>
      <c r="F1333">
        <v>2.8386319979999999</v>
      </c>
      <c r="G1333">
        <v>30</v>
      </c>
      <c r="H1333">
        <v>1.4500000000000001E-6</v>
      </c>
      <c r="I1333">
        <v>1.1499999999999999</v>
      </c>
      <c r="J1333">
        <v>42</v>
      </c>
      <c r="K1333">
        <v>4.4000000000000004</v>
      </c>
      <c r="L1333">
        <v>3.9799999999999998E-5</v>
      </c>
      <c r="M1333">
        <v>25</v>
      </c>
      <c r="N1333" t="s">
        <v>4871</v>
      </c>
      <c r="O1333" t="s">
        <v>29</v>
      </c>
      <c r="Q1333" t="s">
        <v>4871</v>
      </c>
      <c r="R1333" t="s">
        <v>4871</v>
      </c>
      <c r="U1333" t="s">
        <v>4871</v>
      </c>
      <c r="W1333" t="s">
        <v>4894</v>
      </c>
      <c r="X1333" t="s">
        <v>4895</v>
      </c>
      <c r="Y1333" t="s">
        <v>4896</v>
      </c>
      <c r="Z1333">
        <v>265.10412650000001</v>
      </c>
    </row>
    <row r="1334" spans="1:26">
      <c r="A1334">
        <v>1333</v>
      </c>
      <c r="B1334" s="2" t="s">
        <v>4897</v>
      </c>
      <c r="C1334" t="s">
        <v>54</v>
      </c>
      <c r="D1334" s="1" t="b">
        <v>1</v>
      </c>
      <c r="E1334" s="2">
        <v>1.25E-3</v>
      </c>
      <c r="F1334" s="2">
        <f>-LOG10(E1334)</f>
        <v>2.9030899869919438</v>
      </c>
      <c r="G1334">
        <v>30.6</v>
      </c>
      <c r="H1334">
        <v>1.53E-6</v>
      </c>
      <c r="I1334">
        <v>1.0900000000000001</v>
      </c>
      <c r="J1334">
        <v>41.4</v>
      </c>
      <c r="K1334">
        <v>4.2699999999999996</v>
      </c>
      <c r="L1334">
        <v>5.3699999999999997E-5</v>
      </c>
      <c r="M1334">
        <v>25</v>
      </c>
      <c r="N1334" t="s">
        <v>4871</v>
      </c>
      <c r="O1334" t="s">
        <v>29</v>
      </c>
      <c r="Q1334" t="s">
        <v>4871</v>
      </c>
      <c r="R1334" t="s">
        <v>4871</v>
      </c>
      <c r="U1334" t="s">
        <v>4871</v>
      </c>
      <c r="W1334" t="s">
        <v>4898</v>
      </c>
      <c r="X1334" t="s">
        <v>4899</v>
      </c>
      <c r="Y1334" t="s">
        <v>4900</v>
      </c>
      <c r="Z1334">
        <v>313.09026239999997</v>
      </c>
    </row>
    <row r="1335" spans="1:26" hidden="1">
      <c r="A1335">
        <v>1334</v>
      </c>
      <c r="B1335" t="s">
        <v>4901</v>
      </c>
      <c r="C1335" t="s">
        <v>134</v>
      </c>
      <c r="D1335" s="1" t="b">
        <v>0</v>
      </c>
      <c r="E1335">
        <v>1.2E-5</v>
      </c>
      <c r="F1335">
        <v>4.9208187539999999</v>
      </c>
      <c r="G1335">
        <v>36.9</v>
      </c>
      <c r="H1335">
        <v>9.7000000000000003E-7</v>
      </c>
      <c r="I1335">
        <v>1.708</v>
      </c>
      <c r="J1335">
        <v>35.07</v>
      </c>
      <c r="K1335">
        <v>6.28</v>
      </c>
      <c r="L1335">
        <v>1.873401E-3</v>
      </c>
      <c r="M1335">
        <v>25</v>
      </c>
      <c r="N1335" t="s">
        <v>4902</v>
      </c>
      <c r="O1335" t="s">
        <v>4902</v>
      </c>
      <c r="R1335" t="s">
        <v>4902</v>
      </c>
      <c r="S1335" t="s">
        <v>31</v>
      </c>
      <c r="T1335" t="s">
        <v>4902</v>
      </c>
      <c r="U1335" t="s">
        <v>4902</v>
      </c>
      <c r="V1335" t="s">
        <v>31</v>
      </c>
      <c r="X1335" t="s">
        <v>4903</v>
      </c>
      <c r="Y1335" t="s">
        <v>4904</v>
      </c>
      <c r="Z1335">
        <v>1002.6289379999999</v>
      </c>
    </row>
    <row r="1336" spans="1:26" hidden="1">
      <c r="A1336">
        <v>1335</v>
      </c>
      <c r="B1336" t="s">
        <v>4905</v>
      </c>
      <c r="C1336" t="s">
        <v>134</v>
      </c>
      <c r="D1336" s="1" t="b">
        <v>0</v>
      </c>
      <c r="E1336">
        <v>1.5999999999999999E-5</v>
      </c>
      <c r="F1336">
        <v>4.795880017</v>
      </c>
      <c r="G1336">
        <v>33.700000000000003</v>
      </c>
      <c r="H1336">
        <v>1.17E-6</v>
      </c>
      <c r="I1336">
        <v>1.4139999999999999</v>
      </c>
      <c r="J1336">
        <v>38.270000000000003</v>
      </c>
      <c r="K1336">
        <v>6.17</v>
      </c>
      <c r="L1336">
        <v>2.0912359999999998E-3</v>
      </c>
      <c r="M1336">
        <v>25</v>
      </c>
      <c r="N1336" t="s">
        <v>4902</v>
      </c>
      <c r="O1336" t="s">
        <v>4902</v>
      </c>
      <c r="R1336" t="s">
        <v>4902</v>
      </c>
      <c r="S1336" t="s">
        <v>31</v>
      </c>
      <c r="T1336" t="s">
        <v>4902</v>
      </c>
      <c r="U1336" t="s">
        <v>4902</v>
      </c>
      <c r="V1336" t="s">
        <v>31</v>
      </c>
      <c r="X1336" t="s">
        <v>4906</v>
      </c>
      <c r="Y1336" t="s">
        <v>4907</v>
      </c>
      <c r="Z1336">
        <v>828.50334320000002</v>
      </c>
    </row>
    <row r="1337" spans="1:26" hidden="1">
      <c r="A1337">
        <v>1336</v>
      </c>
      <c r="B1337" t="s">
        <v>4908</v>
      </c>
      <c r="C1337" t="s">
        <v>134</v>
      </c>
      <c r="D1337" s="1" t="b">
        <v>0</v>
      </c>
      <c r="E1337">
        <v>3.0000000000000001E-5</v>
      </c>
      <c r="F1337">
        <v>4.5228787449999999</v>
      </c>
      <c r="G1337">
        <v>34.1</v>
      </c>
      <c r="H1337">
        <v>1.2899999999999999E-6</v>
      </c>
      <c r="I1337">
        <v>1.288</v>
      </c>
      <c r="J1337">
        <v>37.869999999999997</v>
      </c>
      <c r="K1337">
        <v>5.73</v>
      </c>
      <c r="L1337">
        <v>3.2470770000000001E-3</v>
      </c>
      <c r="M1337">
        <v>25</v>
      </c>
      <c r="N1337" t="s">
        <v>4902</v>
      </c>
      <c r="O1337" t="s">
        <v>4902</v>
      </c>
      <c r="R1337" t="s">
        <v>4902</v>
      </c>
      <c r="S1337" t="s">
        <v>31</v>
      </c>
      <c r="T1337" t="s">
        <v>4902</v>
      </c>
      <c r="U1337" t="s">
        <v>4902</v>
      </c>
      <c r="V1337" t="s">
        <v>31</v>
      </c>
      <c r="X1337" t="s">
        <v>4909</v>
      </c>
      <c r="Y1337" t="s">
        <v>4910</v>
      </c>
      <c r="Z1337">
        <v>654.37774869999998</v>
      </c>
    </row>
    <row r="1338" spans="1:26" hidden="1">
      <c r="A1338">
        <v>1337</v>
      </c>
      <c r="B1338" t="s">
        <v>4911</v>
      </c>
      <c r="C1338" t="s">
        <v>134</v>
      </c>
      <c r="D1338" s="1" t="b">
        <v>0</v>
      </c>
      <c r="E1338">
        <v>5.8999999999999998E-5</v>
      </c>
      <c r="F1338">
        <v>4.2291479880000002</v>
      </c>
      <c r="G1338">
        <v>34.4</v>
      </c>
      <c r="H1338">
        <v>1.66E-6</v>
      </c>
      <c r="I1338">
        <v>1.0009999999999999</v>
      </c>
      <c r="J1338">
        <v>37.57</v>
      </c>
      <c r="K1338">
        <v>5.17</v>
      </c>
      <c r="L1338">
        <v>5.6845690000000004E-3</v>
      </c>
      <c r="M1338">
        <v>25</v>
      </c>
      <c r="N1338" t="s">
        <v>4902</v>
      </c>
      <c r="O1338" t="s">
        <v>4902</v>
      </c>
      <c r="R1338" t="s">
        <v>4902</v>
      </c>
      <c r="S1338" t="s">
        <v>31</v>
      </c>
      <c r="T1338" t="s">
        <v>4902</v>
      </c>
      <c r="U1338" t="s">
        <v>4902</v>
      </c>
      <c r="V1338" t="s">
        <v>31</v>
      </c>
      <c r="X1338" t="s">
        <v>4912</v>
      </c>
      <c r="Y1338" t="s">
        <v>4913</v>
      </c>
      <c r="Z1338">
        <v>480.25215429999997</v>
      </c>
    </row>
    <row r="1339" spans="1:26" hidden="1">
      <c r="A1339">
        <v>1338</v>
      </c>
      <c r="B1339" t="s">
        <v>4914</v>
      </c>
      <c r="C1339" t="s">
        <v>54</v>
      </c>
      <c r="D1339" s="1" t="b">
        <v>0</v>
      </c>
      <c r="G1339">
        <v>29.5</v>
      </c>
      <c r="O1339" t="s">
        <v>29</v>
      </c>
      <c r="Q1339" t="s">
        <v>4915</v>
      </c>
      <c r="X1339" t="s">
        <v>4916</v>
      </c>
      <c r="Y1339" t="s">
        <v>4917</v>
      </c>
      <c r="Z1339">
        <v>415.20859159999998</v>
      </c>
    </row>
    <row r="1340" spans="1:26">
      <c r="A1340">
        <v>1339</v>
      </c>
      <c r="B1340" s="2" t="s">
        <v>4918</v>
      </c>
      <c r="C1340" t="s">
        <v>83</v>
      </c>
      <c r="D1340" s="1" t="b">
        <v>1</v>
      </c>
      <c r="E1340" s="4">
        <v>7.4999999999999993E-5</v>
      </c>
      <c r="F1340">
        <v>4.1249387369999999</v>
      </c>
      <c r="G1340" s="2"/>
      <c r="H1340" s="2"/>
      <c r="I1340" s="2"/>
      <c r="J1340" s="2"/>
      <c r="K1340" s="2"/>
      <c r="L1340" s="2"/>
      <c r="M1340">
        <v>25</v>
      </c>
      <c r="N1340" t="s">
        <v>135</v>
      </c>
      <c r="X1340" t="s">
        <v>4919</v>
      </c>
      <c r="Y1340" t="s">
        <v>4920</v>
      </c>
      <c r="Z1340">
        <v>512.37130400000001</v>
      </c>
    </row>
    <row r="1341" spans="1:26" hidden="1">
      <c r="A1341">
        <v>1340</v>
      </c>
      <c r="B1341" t="s">
        <v>4921</v>
      </c>
      <c r="C1341" t="s">
        <v>83</v>
      </c>
      <c r="D1341" s="1" t="b">
        <v>0</v>
      </c>
      <c r="E1341">
        <v>4.1980000000000001E-4</v>
      </c>
      <c r="F1341">
        <v>3.3769575660000002</v>
      </c>
      <c r="M1341">
        <v>25</v>
      </c>
      <c r="N1341" t="s">
        <v>207</v>
      </c>
      <c r="X1341" t="s">
        <v>4922</v>
      </c>
      <c r="Y1341" t="s">
        <v>4923</v>
      </c>
      <c r="Z1341">
        <v>308.23514490000002</v>
      </c>
    </row>
    <row r="1342" spans="1:26" hidden="1">
      <c r="A1342">
        <v>1341</v>
      </c>
      <c r="B1342" t="s">
        <v>4924</v>
      </c>
      <c r="C1342" t="s">
        <v>83</v>
      </c>
      <c r="D1342" s="1" t="b">
        <v>0</v>
      </c>
      <c r="E1342">
        <v>4.6989999999999998E-4</v>
      </c>
      <c r="F1342">
        <v>3.3279945550000001</v>
      </c>
      <c r="M1342">
        <v>25</v>
      </c>
      <c r="N1342" t="s">
        <v>207</v>
      </c>
      <c r="X1342" t="s">
        <v>4925</v>
      </c>
      <c r="Y1342" t="s">
        <v>4926</v>
      </c>
      <c r="Z1342">
        <v>440.31378910000001</v>
      </c>
    </row>
    <row r="1343" spans="1:26" hidden="1">
      <c r="A1343">
        <v>1342</v>
      </c>
      <c r="B1343" t="s">
        <v>4927</v>
      </c>
      <c r="C1343" t="s">
        <v>83</v>
      </c>
      <c r="D1343" s="1" t="b">
        <v>0</v>
      </c>
      <c r="E1343">
        <v>5.0000000000000001E-4</v>
      </c>
      <c r="F1343">
        <v>3.301029996</v>
      </c>
      <c r="M1343">
        <v>25</v>
      </c>
      <c r="N1343" t="s">
        <v>207</v>
      </c>
      <c r="X1343" t="s">
        <v>4928</v>
      </c>
      <c r="Y1343" t="s">
        <v>4929</v>
      </c>
      <c r="Z1343">
        <v>748.49729239999999</v>
      </c>
    </row>
    <row r="1344" spans="1:26" hidden="1">
      <c r="A1344">
        <v>1343</v>
      </c>
      <c r="B1344" t="s">
        <v>4930</v>
      </c>
      <c r="C1344" t="s">
        <v>28</v>
      </c>
      <c r="D1344" s="1" t="b">
        <v>0</v>
      </c>
      <c r="E1344">
        <v>1.122018E-3</v>
      </c>
      <c r="F1344">
        <v>2.95</v>
      </c>
      <c r="G1344">
        <v>33.299999999999997</v>
      </c>
      <c r="H1344">
        <v>2.2199999999999999E-6</v>
      </c>
      <c r="I1344">
        <v>0.8</v>
      </c>
      <c r="J1344">
        <v>38.700000000000003</v>
      </c>
      <c r="K1344">
        <v>3.4418180239999998</v>
      </c>
      <c r="L1344">
        <v>3.2006444000000002E-2</v>
      </c>
      <c r="M1344">
        <v>25</v>
      </c>
      <c r="N1344" t="s">
        <v>2484</v>
      </c>
      <c r="O1344" t="s">
        <v>2484</v>
      </c>
      <c r="P1344" t="s">
        <v>2484</v>
      </c>
      <c r="R1344" t="s">
        <v>2484</v>
      </c>
      <c r="S1344" t="s">
        <v>2484</v>
      </c>
      <c r="T1344" t="s">
        <v>2484</v>
      </c>
      <c r="U1344" t="s">
        <v>31</v>
      </c>
      <c r="V1344" t="s">
        <v>31</v>
      </c>
      <c r="X1344" t="s">
        <v>4931</v>
      </c>
      <c r="Y1344" t="s">
        <v>4932</v>
      </c>
      <c r="Z1344">
        <v>602.4093325</v>
      </c>
    </row>
    <row r="1345" spans="1:26" hidden="1">
      <c r="A1345">
        <v>1344</v>
      </c>
      <c r="B1345" t="s">
        <v>4933</v>
      </c>
      <c r="C1345" t="s">
        <v>28</v>
      </c>
      <c r="D1345" s="1" t="b">
        <v>0</v>
      </c>
      <c r="E1345">
        <v>1.230269E-3</v>
      </c>
      <c r="F1345">
        <v>2.91</v>
      </c>
      <c r="G1345">
        <v>44</v>
      </c>
      <c r="H1345">
        <v>2.3599999999999999E-6</v>
      </c>
      <c r="I1345">
        <v>0.74</v>
      </c>
      <c r="J1345">
        <v>27.97</v>
      </c>
      <c r="K1345">
        <v>3.107921873</v>
      </c>
      <c r="L1345">
        <v>4.4693737999999997E-2</v>
      </c>
      <c r="M1345">
        <v>25</v>
      </c>
      <c r="N1345" t="s">
        <v>2484</v>
      </c>
      <c r="O1345" t="s">
        <v>2484</v>
      </c>
      <c r="P1345" t="s">
        <v>2484</v>
      </c>
      <c r="R1345" t="s">
        <v>2484</v>
      </c>
      <c r="S1345" t="s">
        <v>31</v>
      </c>
      <c r="T1345" t="s">
        <v>2484</v>
      </c>
      <c r="U1345" t="s">
        <v>31</v>
      </c>
      <c r="V1345" t="s">
        <v>31</v>
      </c>
      <c r="X1345" t="s">
        <v>4934</v>
      </c>
      <c r="Y1345" t="s">
        <v>4935</v>
      </c>
      <c r="Z1345">
        <v>588.39368249999995</v>
      </c>
    </row>
    <row r="1346" spans="1:26" hidden="1">
      <c r="A1346">
        <v>1345</v>
      </c>
      <c r="B1346" t="s">
        <v>4936</v>
      </c>
      <c r="C1346" t="s">
        <v>28</v>
      </c>
      <c r="D1346" s="1" t="b">
        <v>0</v>
      </c>
      <c r="E1346">
        <v>1.318257E-3</v>
      </c>
      <c r="F1346">
        <v>2.88</v>
      </c>
      <c r="G1346">
        <v>45.2</v>
      </c>
      <c r="H1346">
        <v>2.39E-6</v>
      </c>
      <c r="I1346">
        <v>0.72</v>
      </c>
      <c r="J1346">
        <v>26.8</v>
      </c>
      <c r="K1346">
        <v>3.0461218730000001</v>
      </c>
      <c r="L1346">
        <v>4.7542945000000003E-2</v>
      </c>
      <c r="M1346">
        <v>25</v>
      </c>
      <c r="N1346" t="s">
        <v>2484</v>
      </c>
      <c r="O1346" t="s">
        <v>2484</v>
      </c>
      <c r="P1346" t="s">
        <v>2484</v>
      </c>
      <c r="R1346" t="s">
        <v>2484</v>
      </c>
      <c r="S1346" t="s">
        <v>2484</v>
      </c>
      <c r="T1346" t="s">
        <v>2484</v>
      </c>
      <c r="U1346" t="s">
        <v>31</v>
      </c>
      <c r="V1346" t="s">
        <v>31</v>
      </c>
      <c r="X1346" t="s">
        <v>4937</v>
      </c>
      <c r="Y1346" t="s">
        <v>4938</v>
      </c>
      <c r="Z1346">
        <v>574.37803240000005</v>
      </c>
    </row>
    <row r="1347" spans="1:26" hidden="1">
      <c r="A1347">
        <v>1346</v>
      </c>
      <c r="B1347" t="s">
        <v>4939</v>
      </c>
      <c r="C1347" t="s">
        <v>28</v>
      </c>
      <c r="D1347" s="1" t="b">
        <v>0</v>
      </c>
      <c r="E1347">
        <v>1.4454400000000001E-3</v>
      </c>
      <c r="F1347">
        <v>2.84</v>
      </c>
      <c r="G1347">
        <v>46.4</v>
      </c>
      <c r="H1347">
        <v>2.4200000000000001E-6</v>
      </c>
      <c r="I1347">
        <v>0.7</v>
      </c>
      <c r="J1347">
        <v>25.6</v>
      </c>
      <c r="K1347">
        <v>2.9751103040000002</v>
      </c>
      <c r="L1347">
        <v>5.1041804000000003E-2</v>
      </c>
      <c r="M1347">
        <v>25</v>
      </c>
      <c r="N1347" t="s">
        <v>2484</v>
      </c>
      <c r="O1347" t="s">
        <v>2484</v>
      </c>
      <c r="P1347" t="s">
        <v>2484</v>
      </c>
      <c r="R1347" t="s">
        <v>2484</v>
      </c>
      <c r="S1347" t="s">
        <v>2484</v>
      </c>
      <c r="T1347" t="s">
        <v>2484</v>
      </c>
      <c r="U1347" t="s">
        <v>31</v>
      </c>
      <c r="V1347" t="s">
        <v>31</v>
      </c>
      <c r="X1347" t="s">
        <v>4940</v>
      </c>
      <c r="Y1347" t="s">
        <v>4941</v>
      </c>
      <c r="Z1347">
        <v>560.36238230000004</v>
      </c>
    </row>
    <row r="1348" spans="1:26" hidden="1">
      <c r="A1348">
        <v>1347</v>
      </c>
      <c r="B1348" t="s">
        <v>4942</v>
      </c>
      <c r="C1348" t="s">
        <v>28</v>
      </c>
      <c r="D1348" s="1" t="b">
        <v>0</v>
      </c>
      <c r="E1348">
        <v>1.5488170000000001E-3</v>
      </c>
      <c r="F1348">
        <v>2.81</v>
      </c>
      <c r="G1348">
        <v>47.5</v>
      </c>
      <c r="H1348">
        <v>2.4499999999999998E-6</v>
      </c>
      <c r="I1348">
        <v>0.68</v>
      </c>
      <c r="J1348">
        <v>24.5</v>
      </c>
      <c r="K1348">
        <v>2.917241341</v>
      </c>
      <c r="L1348">
        <v>5.4082677000000003E-2</v>
      </c>
      <c r="M1348">
        <v>25</v>
      </c>
      <c r="N1348" t="s">
        <v>2484</v>
      </c>
      <c r="O1348" t="s">
        <v>2484</v>
      </c>
      <c r="P1348" t="s">
        <v>2484</v>
      </c>
      <c r="R1348" t="s">
        <v>2484</v>
      </c>
      <c r="S1348" t="s">
        <v>2484</v>
      </c>
      <c r="T1348" t="s">
        <v>2484</v>
      </c>
      <c r="U1348" t="s">
        <v>31</v>
      </c>
      <c r="V1348" t="s">
        <v>31</v>
      </c>
      <c r="X1348" t="s">
        <v>4943</v>
      </c>
      <c r="Y1348" t="s">
        <v>4944</v>
      </c>
      <c r="Z1348">
        <v>546.34673229999999</v>
      </c>
    </row>
    <row r="1349" spans="1:26" hidden="1">
      <c r="A1349">
        <v>1348</v>
      </c>
      <c r="B1349" t="s">
        <v>4945</v>
      </c>
      <c r="C1349" t="s">
        <v>83</v>
      </c>
      <c r="D1349" s="1" t="b">
        <v>0</v>
      </c>
      <c r="E1349">
        <v>6.7000000000000002E-5</v>
      </c>
      <c r="F1349">
        <v>4.173925197</v>
      </c>
      <c r="G1349">
        <v>28.2</v>
      </c>
      <c r="H1349">
        <v>2.5799999999999999E-6</v>
      </c>
      <c r="I1349">
        <v>0.64</v>
      </c>
      <c r="J1349">
        <v>43.6</v>
      </c>
      <c r="K1349">
        <v>5.8</v>
      </c>
      <c r="L1349">
        <v>1.5799999999999999E-6</v>
      </c>
      <c r="M1349">
        <v>25</v>
      </c>
      <c r="N1349" t="s">
        <v>3138</v>
      </c>
      <c r="O1349" t="s">
        <v>29</v>
      </c>
      <c r="Q1349" t="s">
        <v>3138</v>
      </c>
      <c r="R1349" t="s">
        <v>3138</v>
      </c>
      <c r="T1349" t="s">
        <v>3138</v>
      </c>
      <c r="U1349" t="s">
        <v>3138</v>
      </c>
      <c r="W1349" t="s">
        <v>4946</v>
      </c>
      <c r="X1349" t="s">
        <v>4947</v>
      </c>
      <c r="Y1349" t="s">
        <v>4948</v>
      </c>
      <c r="Z1349">
        <v>754.53032380000002</v>
      </c>
    </row>
    <row r="1350" spans="1:26">
      <c r="A1350">
        <v>1349</v>
      </c>
      <c r="B1350" s="2" t="s">
        <v>4949</v>
      </c>
      <c r="C1350" t="s">
        <v>28</v>
      </c>
      <c r="D1350" s="1" t="b">
        <v>1</v>
      </c>
      <c r="E1350" s="3">
        <v>9.0200000000000002E-3</v>
      </c>
      <c r="F1350" s="2">
        <f>-LOG10(E1350)</f>
        <v>2.0447934624580584</v>
      </c>
      <c r="G1350">
        <v>28.1</v>
      </c>
      <c r="H1350" s="3">
        <v>1.1999999999999999E-6</v>
      </c>
      <c r="I1350" s="2">
        <v>1.38</v>
      </c>
      <c r="J1350" s="2">
        <f>72-G1350</f>
        <v>43.9</v>
      </c>
      <c r="K1350" s="2">
        <v>3.17</v>
      </c>
      <c r="L1350" s="2">
        <f>10^(-K1350)</f>
        <v>6.7608297539198121E-4</v>
      </c>
      <c r="M1350" s="2">
        <v>25</v>
      </c>
      <c r="O1350" t="s">
        <v>29</v>
      </c>
      <c r="Q1350" t="s">
        <v>3147</v>
      </c>
      <c r="V1350" s="2" t="s">
        <v>31</v>
      </c>
      <c r="X1350" t="s">
        <v>4950</v>
      </c>
      <c r="Y1350" t="s">
        <v>4951</v>
      </c>
      <c r="Z1350">
        <v>466.35690299999999</v>
      </c>
    </row>
    <row r="1351" spans="1:26" hidden="1">
      <c r="A1351">
        <v>1350</v>
      </c>
      <c r="B1351" t="s">
        <v>4952</v>
      </c>
      <c r="C1351" t="s">
        <v>54</v>
      </c>
      <c r="D1351" s="1" t="b">
        <v>0</v>
      </c>
      <c r="E1351">
        <v>3.0000000000000001E-3</v>
      </c>
      <c r="F1351">
        <v>2.5228787449999999</v>
      </c>
      <c r="G1351">
        <v>25</v>
      </c>
      <c r="H1351">
        <v>3.3900000000000002E-6</v>
      </c>
      <c r="I1351">
        <v>0.49</v>
      </c>
      <c r="J1351">
        <v>47</v>
      </c>
      <c r="K1351">
        <v>3.2204219840000001</v>
      </c>
      <c r="L1351">
        <v>3.9938201E-2</v>
      </c>
      <c r="M1351">
        <v>25</v>
      </c>
      <c r="N1351" t="s">
        <v>3160</v>
      </c>
      <c r="O1351" t="s">
        <v>29</v>
      </c>
      <c r="Q1351" t="s">
        <v>3160</v>
      </c>
      <c r="T1351" t="s">
        <v>3160</v>
      </c>
      <c r="U1351" t="s">
        <v>31</v>
      </c>
      <c r="V1351" t="s">
        <v>31</v>
      </c>
      <c r="W1351" t="s">
        <v>4953</v>
      </c>
      <c r="X1351" t="s">
        <v>4954</v>
      </c>
      <c r="Y1351" t="s">
        <v>4955</v>
      </c>
      <c r="Z1351">
        <v>491.3086399</v>
      </c>
    </row>
    <row r="1352" spans="1:26" hidden="1">
      <c r="A1352">
        <v>1351</v>
      </c>
      <c r="B1352" t="s">
        <v>4956</v>
      </c>
      <c r="C1352" t="s">
        <v>83</v>
      </c>
      <c r="D1352" s="1" t="b">
        <v>0</v>
      </c>
      <c r="E1352">
        <v>6.6989999999999994E-5</v>
      </c>
      <c r="F1352">
        <v>4.1739900219999999</v>
      </c>
      <c r="M1352">
        <v>25</v>
      </c>
      <c r="N1352" t="s">
        <v>207</v>
      </c>
      <c r="X1352" t="s">
        <v>4957</v>
      </c>
      <c r="Y1352" t="s">
        <v>4958</v>
      </c>
      <c r="Z1352">
        <v>754.53032380000002</v>
      </c>
    </row>
    <row r="1353" spans="1:26">
      <c r="A1353">
        <v>1352</v>
      </c>
      <c r="B1353" s="2" t="s">
        <v>4959</v>
      </c>
      <c r="C1353" t="s">
        <v>161</v>
      </c>
      <c r="D1353" s="1" t="b">
        <v>1</v>
      </c>
      <c r="E1353">
        <v>1.7999999999999999E-2</v>
      </c>
      <c r="F1353">
        <v>1.744727495</v>
      </c>
      <c r="G1353">
        <v>28.6</v>
      </c>
      <c r="H1353" s="3">
        <v>3.1999999999999999E-6</v>
      </c>
      <c r="I1353" s="2">
        <v>0.52</v>
      </c>
      <c r="J1353">
        <v>43.37</v>
      </c>
      <c r="K1353" s="2">
        <v>2.8</v>
      </c>
      <c r="L1353" s="2">
        <f>10^(-K1353)</f>
        <v>1.5848931924611134E-3</v>
      </c>
      <c r="M1353">
        <v>25</v>
      </c>
      <c r="N1353" t="s">
        <v>162</v>
      </c>
      <c r="O1353" t="s">
        <v>163</v>
      </c>
      <c r="P1353" t="s">
        <v>164</v>
      </c>
      <c r="Q1353" s="2" t="s">
        <v>4345</v>
      </c>
      <c r="R1353" s="2" t="s">
        <v>4345</v>
      </c>
      <c r="S1353" t="s">
        <v>31</v>
      </c>
      <c r="T1353" s="2" t="s">
        <v>4345</v>
      </c>
      <c r="U1353" s="2" t="s">
        <v>4345</v>
      </c>
      <c r="V1353" s="2" t="s">
        <v>31</v>
      </c>
      <c r="W1353" t="s">
        <v>4960</v>
      </c>
      <c r="X1353" t="s">
        <v>4961</v>
      </c>
      <c r="Y1353" t="s">
        <v>4962</v>
      </c>
      <c r="Z1353">
        <v>352.20971800000001</v>
      </c>
    </row>
    <row r="1354" spans="1:26">
      <c r="A1354">
        <v>1353</v>
      </c>
      <c r="B1354" s="2" t="s">
        <v>4963</v>
      </c>
      <c r="C1354" t="s">
        <v>28</v>
      </c>
      <c r="D1354" s="1" t="b">
        <v>1</v>
      </c>
      <c r="E1354">
        <v>2.5999999999999999E-2</v>
      </c>
      <c r="F1354">
        <v>1.585026652</v>
      </c>
      <c r="G1354">
        <v>35</v>
      </c>
      <c r="H1354">
        <v>1.15E-6</v>
      </c>
      <c r="I1354">
        <v>0.96</v>
      </c>
      <c r="J1354">
        <v>37</v>
      </c>
      <c r="K1354">
        <v>2.4481381249999998</v>
      </c>
      <c r="L1354">
        <v>8.6454403999999999E-2</v>
      </c>
      <c r="M1354">
        <v>25</v>
      </c>
      <c r="N1354" t="s">
        <v>627</v>
      </c>
      <c r="O1354" t="s">
        <v>29</v>
      </c>
      <c r="Q1354" t="s">
        <v>627</v>
      </c>
      <c r="R1354" t="s">
        <v>627</v>
      </c>
      <c r="S1354" t="s">
        <v>627</v>
      </c>
      <c r="T1354" t="s">
        <v>627</v>
      </c>
      <c r="U1354" t="s">
        <v>31</v>
      </c>
      <c r="V1354" t="s">
        <v>31</v>
      </c>
      <c r="W1354" t="s">
        <v>4964</v>
      </c>
      <c r="X1354" t="s">
        <v>4965</v>
      </c>
      <c r="Y1354" t="s">
        <v>4966</v>
      </c>
      <c r="Z1354">
        <v>354.15893149999999</v>
      </c>
    </row>
    <row r="1355" spans="1:26" hidden="1">
      <c r="A1355">
        <v>1354</v>
      </c>
      <c r="B1355" t="s">
        <v>4967</v>
      </c>
      <c r="C1355" t="s">
        <v>134</v>
      </c>
      <c r="D1355" s="1" t="b">
        <v>0</v>
      </c>
      <c r="E1355">
        <v>9.1E-4</v>
      </c>
      <c r="F1355">
        <v>3.040958608</v>
      </c>
      <c r="M1355">
        <v>25</v>
      </c>
      <c r="N1355" t="s">
        <v>89</v>
      </c>
      <c r="P1355" t="s">
        <v>103</v>
      </c>
      <c r="W1355" t="s">
        <v>4968</v>
      </c>
      <c r="X1355" t="s">
        <v>4969</v>
      </c>
      <c r="Y1355" t="s">
        <v>4970</v>
      </c>
      <c r="Z1355">
        <v>444.21576879999998</v>
      </c>
    </row>
    <row r="1356" spans="1:26" hidden="1">
      <c r="A1356" s="6">
        <v>1355</v>
      </c>
      <c r="B1356" s="6" t="s">
        <v>4971</v>
      </c>
      <c r="C1356" s="6" t="s">
        <v>54</v>
      </c>
      <c r="D1356" s="1" t="b">
        <v>0</v>
      </c>
      <c r="E1356" s="6"/>
      <c r="F1356" s="6"/>
      <c r="G1356" s="6">
        <v>23.4</v>
      </c>
      <c r="H1356" s="6"/>
      <c r="I1356" s="6"/>
      <c r="J1356" s="6"/>
      <c r="K1356" s="6"/>
      <c r="L1356" s="6"/>
      <c r="M1356" s="6"/>
      <c r="N1356" s="6"/>
      <c r="O1356" s="6" t="s">
        <v>29</v>
      </c>
      <c r="P1356" s="6"/>
      <c r="Q1356" s="6" t="s">
        <v>4972</v>
      </c>
      <c r="X1356" s="6" t="s">
        <v>4973</v>
      </c>
      <c r="Y1356" s="6" t="s">
        <v>4974</v>
      </c>
      <c r="Z1356" s="6">
        <v>362.20981119999999</v>
      </c>
    </row>
    <row r="1357" spans="1:26" hidden="1">
      <c r="A1357">
        <v>1356</v>
      </c>
      <c r="B1357" t="s">
        <v>4975</v>
      </c>
      <c r="C1357" t="s">
        <v>134</v>
      </c>
      <c r="D1357" s="1" t="b">
        <v>0</v>
      </c>
      <c r="E1357">
        <v>6.6000000000000003E-2</v>
      </c>
      <c r="F1357">
        <v>1.1804560639999999</v>
      </c>
      <c r="M1357">
        <v>25</v>
      </c>
      <c r="N1357" t="s">
        <v>89</v>
      </c>
      <c r="P1357" t="s">
        <v>103</v>
      </c>
      <c r="W1357" t="s">
        <v>4976</v>
      </c>
      <c r="X1357" t="s">
        <v>4977</v>
      </c>
      <c r="Y1357" t="s">
        <v>4978</v>
      </c>
      <c r="Z1357">
        <v>274.08508899999998</v>
      </c>
    </row>
    <row r="1358" spans="1:26" hidden="1">
      <c r="A1358">
        <v>1357</v>
      </c>
      <c r="B1358" t="s">
        <v>4979</v>
      </c>
      <c r="C1358" t="s">
        <v>28</v>
      </c>
      <c r="D1358" s="1" t="b">
        <v>0</v>
      </c>
      <c r="G1358">
        <v>43</v>
      </c>
      <c r="O1358" t="s">
        <v>29</v>
      </c>
      <c r="Q1358" t="s">
        <v>4980</v>
      </c>
      <c r="X1358" t="s">
        <v>4981</v>
      </c>
      <c r="Y1358" t="s">
        <v>4982</v>
      </c>
      <c r="Z1358">
        <v>528.34606359999998</v>
      </c>
    </row>
    <row r="1359" spans="1:26" hidden="1">
      <c r="A1359">
        <v>1358</v>
      </c>
      <c r="B1359" t="s">
        <v>4983</v>
      </c>
      <c r="C1359" t="s">
        <v>28</v>
      </c>
      <c r="D1359" s="1" t="b">
        <v>0</v>
      </c>
      <c r="G1359">
        <v>39.700000000000003</v>
      </c>
      <c r="O1359" t="s">
        <v>29</v>
      </c>
      <c r="Q1359" t="s">
        <v>1997</v>
      </c>
      <c r="X1359" t="s">
        <v>4984</v>
      </c>
      <c r="Y1359" t="s">
        <v>4985</v>
      </c>
      <c r="Z1359">
        <v>790.49306209999997</v>
      </c>
    </row>
    <row r="1360" spans="1:26" hidden="1">
      <c r="A1360">
        <v>1359</v>
      </c>
      <c r="B1360" t="s">
        <v>4986</v>
      </c>
      <c r="C1360" t="s">
        <v>54</v>
      </c>
      <c r="D1360" s="1" t="b">
        <v>0</v>
      </c>
      <c r="E1360">
        <v>2.5000000000000001E-3</v>
      </c>
      <c r="F1360">
        <v>2.602059991</v>
      </c>
      <c r="G1360">
        <v>41.3</v>
      </c>
      <c r="H1360">
        <v>9.5999999999999991E-7</v>
      </c>
      <c r="I1360">
        <v>1.7390000000000001</v>
      </c>
      <c r="J1360">
        <v>30.5</v>
      </c>
      <c r="K1360">
        <v>4.173925197</v>
      </c>
      <c r="L1360">
        <v>6.7000000000000002E-5</v>
      </c>
      <c r="M1360">
        <v>25</v>
      </c>
      <c r="N1360" t="s">
        <v>2018</v>
      </c>
      <c r="O1360" t="s">
        <v>29</v>
      </c>
      <c r="Q1360" t="s">
        <v>2018</v>
      </c>
      <c r="R1360" t="s">
        <v>2018</v>
      </c>
      <c r="S1360" t="s">
        <v>2018</v>
      </c>
      <c r="T1360" t="s">
        <v>2018</v>
      </c>
      <c r="V1360" t="s">
        <v>2018</v>
      </c>
      <c r="X1360" t="s">
        <v>4987</v>
      </c>
      <c r="Y1360" t="s">
        <v>4988</v>
      </c>
      <c r="Z1360">
        <v>478.14671959999998</v>
      </c>
    </row>
    <row r="1361" spans="1:26" hidden="1">
      <c r="A1361">
        <v>1360</v>
      </c>
      <c r="B1361" t="s">
        <v>4989</v>
      </c>
      <c r="C1361" t="s">
        <v>83</v>
      </c>
      <c r="D1361" s="1" t="b">
        <v>0</v>
      </c>
      <c r="G1361">
        <v>24.7</v>
      </c>
      <c r="O1361" t="s">
        <v>29</v>
      </c>
      <c r="Q1361" t="s">
        <v>420</v>
      </c>
      <c r="X1361" t="s">
        <v>4990</v>
      </c>
      <c r="Y1361" t="s">
        <v>4991</v>
      </c>
      <c r="Z1361">
        <v>204.17254460000001</v>
      </c>
    </row>
    <row r="1362" spans="1:26">
      <c r="A1362">
        <v>1361</v>
      </c>
      <c r="B1362" s="2" t="s">
        <v>4992</v>
      </c>
      <c r="C1362" t="s">
        <v>161</v>
      </c>
      <c r="D1362" s="1" t="b">
        <v>1</v>
      </c>
      <c r="E1362">
        <v>6.7000000000000002E-3</v>
      </c>
      <c r="F1362">
        <v>2.173925197</v>
      </c>
      <c r="H1362">
        <v>3.4000000000000001E-6</v>
      </c>
      <c r="I1362">
        <v>0.49</v>
      </c>
      <c r="K1362">
        <v>3.4</v>
      </c>
      <c r="L1362">
        <v>3.9810699999999997E-4</v>
      </c>
      <c r="M1362">
        <v>25</v>
      </c>
      <c r="N1362" t="s">
        <v>162</v>
      </c>
      <c r="P1362" t="s">
        <v>164</v>
      </c>
      <c r="R1362" t="s">
        <v>4345</v>
      </c>
      <c r="T1362" t="s">
        <v>4345</v>
      </c>
      <c r="U1362" t="s">
        <v>4345</v>
      </c>
      <c r="W1362" t="s">
        <v>4993</v>
      </c>
      <c r="X1362" t="s">
        <v>4994</v>
      </c>
      <c r="Y1362" t="s">
        <v>4995</v>
      </c>
      <c r="Z1362">
        <v>324.21480339999999</v>
      </c>
    </row>
    <row r="1363" spans="1:26" hidden="1">
      <c r="A1363">
        <v>1362</v>
      </c>
      <c r="B1363" t="s">
        <v>4996</v>
      </c>
      <c r="C1363" t="s">
        <v>161</v>
      </c>
      <c r="D1363" s="1" t="b">
        <v>0</v>
      </c>
      <c r="E1363">
        <v>5.7999999999999996E-3</v>
      </c>
      <c r="F1363">
        <v>2.2365720059999998</v>
      </c>
      <c r="M1363">
        <v>25</v>
      </c>
      <c r="N1363" t="s">
        <v>89</v>
      </c>
      <c r="P1363" t="s">
        <v>103</v>
      </c>
      <c r="W1363" t="s">
        <v>4997</v>
      </c>
      <c r="X1363" t="s">
        <v>4998</v>
      </c>
      <c r="Y1363" t="s">
        <v>4999</v>
      </c>
      <c r="Z1363">
        <v>292.1885886</v>
      </c>
    </row>
    <row r="1364" spans="1:26">
      <c r="A1364">
        <v>1363</v>
      </c>
      <c r="B1364" s="2" t="s">
        <v>5000</v>
      </c>
      <c r="C1364" t="s">
        <v>83</v>
      </c>
      <c r="D1364" s="1" t="b">
        <v>1</v>
      </c>
      <c r="E1364">
        <v>6.6990000000000001E-3</v>
      </c>
      <c r="F1364">
        <v>2.1739900219999999</v>
      </c>
      <c r="M1364">
        <v>25</v>
      </c>
      <c r="N1364" t="s">
        <v>207</v>
      </c>
      <c r="X1364" t="s">
        <v>5001</v>
      </c>
      <c r="Y1364" t="s">
        <v>5002</v>
      </c>
      <c r="Z1364">
        <v>261.1701989</v>
      </c>
    </row>
    <row r="1365" spans="1:26" hidden="1">
      <c r="A1365">
        <v>1364</v>
      </c>
      <c r="B1365" t="s">
        <v>5003</v>
      </c>
      <c r="C1365" t="s">
        <v>28</v>
      </c>
      <c r="D1365" s="1" t="b">
        <v>0</v>
      </c>
      <c r="E1365">
        <v>1.91E-3</v>
      </c>
      <c r="F1365">
        <v>2.718966633</v>
      </c>
      <c r="G1365">
        <v>31.4</v>
      </c>
      <c r="H1365">
        <v>1.66E-6</v>
      </c>
      <c r="I1365">
        <v>1</v>
      </c>
      <c r="J1365">
        <v>40.6</v>
      </c>
      <c r="K1365">
        <v>3.72</v>
      </c>
      <c r="L1365">
        <v>1.9100000000000001E-4</v>
      </c>
      <c r="M1365">
        <v>25</v>
      </c>
      <c r="N1365" t="s">
        <v>2597</v>
      </c>
      <c r="O1365" t="s">
        <v>29</v>
      </c>
      <c r="Q1365" t="s">
        <v>2597</v>
      </c>
      <c r="R1365" t="s">
        <v>2597</v>
      </c>
      <c r="S1365" t="s">
        <v>2597</v>
      </c>
      <c r="T1365" t="s">
        <v>2597</v>
      </c>
      <c r="U1365" t="s">
        <v>2597</v>
      </c>
      <c r="V1365" t="s">
        <v>2597</v>
      </c>
      <c r="W1365" t="s">
        <v>5004</v>
      </c>
      <c r="X1365" t="s">
        <v>5005</v>
      </c>
      <c r="Y1365" t="s">
        <v>5006</v>
      </c>
      <c r="Z1365">
        <v>754.33702540000002</v>
      </c>
    </row>
    <row r="1366" spans="1:26" hidden="1">
      <c r="A1366">
        <v>1365</v>
      </c>
      <c r="B1366" t="s">
        <v>5007</v>
      </c>
      <c r="C1366" t="s">
        <v>28</v>
      </c>
      <c r="D1366" s="1" t="b">
        <v>0</v>
      </c>
      <c r="E1366">
        <v>1.1900000000000001E-3</v>
      </c>
      <c r="F1366">
        <v>2.9244530389999999</v>
      </c>
      <c r="G1366">
        <v>32.200000000000003</v>
      </c>
      <c r="H1366">
        <v>1.19E-6</v>
      </c>
      <c r="I1366">
        <v>1.4</v>
      </c>
      <c r="J1366">
        <v>39.799999999999997</v>
      </c>
      <c r="K1366">
        <v>3.64</v>
      </c>
      <c r="L1366">
        <v>2.2900000000000001E-4</v>
      </c>
      <c r="M1366">
        <v>25</v>
      </c>
      <c r="N1366" t="s">
        <v>2597</v>
      </c>
      <c r="O1366" t="s">
        <v>29</v>
      </c>
      <c r="Q1366" t="s">
        <v>2597</v>
      </c>
      <c r="R1366" t="s">
        <v>2597</v>
      </c>
      <c r="S1366" t="s">
        <v>2597</v>
      </c>
      <c r="T1366" t="s">
        <v>2597</v>
      </c>
      <c r="U1366" t="s">
        <v>2597</v>
      </c>
      <c r="V1366" t="s">
        <v>2597</v>
      </c>
      <c r="W1366" t="s">
        <v>5008</v>
      </c>
      <c r="X1366" t="s">
        <v>5009</v>
      </c>
      <c r="Y1366" t="s">
        <v>5010</v>
      </c>
      <c r="Z1366">
        <v>726.30572529999995</v>
      </c>
    </row>
    <row r="1367" spans="1:26" hidden="1">
      <c r="A1367">
        <v>1366</v>
      </c>
      <c r="B1367" t="s">
        <v>5011</v>
      </c>
      <c r="C1367" t="s">
        <v>28</v>
      </c>
      <c r="D1367" s="1" t="b">
        <v>0</v>
      </c>
      <c r="E1367">
        <v>1.1900000000000001E-3</v>
      </c>
      <c r="F1367">
        <v>2.9244530389999999</v>
      </c>
      <c r="G1367">
        <v>36.700000000000003</v>
      </c>
      <c r="H1367">
        <v>1.04E-6</v>
      </c>
      <c r="I1367">
        <v>1.6</v>
      </c>
      <c r="J1367">
        <v>35.299999999999997</v>
      </c>
      <c r="K1367">
        <v>3.71</v>
      </c>
      <c r="L1367">
        <v>1.95E-4</v>
      </c>
      <c r="M1367">
        <v>25</v>
      </c>
      <c r="N1367" t="s">
        <v>2597</v>
      </c>
      <c r="O1367" t="s">
        <v>29</v>
      </c>
      <c r="Q1367" t="s">
        <v>2597</v>
      </c>
      <c r="R1367" t="s">
        <v>2597</v>
      </c>
      <c r="S1367" t="s">
        <v>2597</v>
      </c>
      <c r="T1367" t="s">
        <v>2597</v>
      </c>
      <c r="U1367" t="s">
        <v>2597</v>
      </c>
      <c r="V1367" t="s">
        <v>2597</v>
      </c>
      <c r="W1367" t="s">
        <v>5012</v>
      </c>
      <c r="X1367" t="s">
        <v>5013</v>
      </c>
      <c r="Y1367" t="s">
        <v>5014</v>
      </c>
      <c r="Z1367">
        <v>814.35815479999997</v>
      </c>
    </row>
    <row r="1368" spans="1:26" hidden="1">
      <c r="A1368">
        <v>1367</v>
      </c>
      <c r="B1368" t="s">
        <v>5015</v>
      </c>
      <c r="C1368" t="s">
        <v>28</v>
      </c>
      <c r="D1368" s="1" t="b">
        <v>0</v>
      </c>
      <c r="E1368">
        <v>1.99E-3</v>
      </c>
      <c r="F1368">
        <v>2.7011469240000001</v>
      </c>
      <c r="G1368">
        <v>31.4</v>
      </c>
      <c r="H1368">
        <v>1.66E-6</v>
      </c>
      <c r="I1368">
        <v>1</v>
      </c>
      <c r="J1368">
        <v>40.6</v>
      </c>
      <c r="K1368">
        <v>3.63</v>
      </c>
      <c r="L1368">
        <v>2.34E-4</v>
      </c>
      <c r="M1368">
        <v>25</v>
      </c>
      <c r="N1368" t="s">
        <v>2597</v>
      </c>
      <c r="O1368" t="s">
        <v>29</v>
      </c>
      <c r="Q1368" t="s">
        <v>2597</v>
      </c>
      <c r="R1368" t="s">
        <v>2597</v>
      </c>
      <c r="S1368" t="s">
        <v>2597</v>
      </c>
      <c r="T1368" t="s">
        <v>2597</v>
      </c>
      <c r="U1368" t="s">
        <v>2597</v>
      </c>
      <c r="V1368" t="s">
        <v>2597</v>
      </c>
      <c r="W1368" t="s">
        <v>5016</v>
      </c>
      <c r="X1368" t="s">
        <v>5017</v>
      </c>
      <c r="Y1368" t="s">
        <v>5018</v>
      </c>
      <c r="Z1368">
        <v>786.32685470000001</v>
      </c>
    </row>
    <row r="1369" spans="1:26" hidden="1">
      <c r="A1369">
        <v>1368</v>
      </c>
      <c r="B1369" t="s">
        <v>5019</v>
      </c>
      <c r="C1369" t="s">
        <v>28</v>
      </c>
      <c r="D1369" s="1" t="b">
        <v>0</v>
      </c>
      <c r="E1369">
        <v>1.92E-3</v>
      </c>
      <c r="F1369">
        <v>2.7166987709999999</v>
      </c>
      <c r="G1369">
        <v>40.9</v>
      </c>
      <c r="H1369">
        <v>1.11E-6</v>
      </c>
      <c r="I1369">
        <v>1.5</v>
      </c>
      <c r="J1369">
        <v>31.1</v>
      </c>
      <c r="K1369">
        <v>3.37</v>
      </c>
      <c r="L1369">
        <v>4.2700000000000002E-4</v>
      </c>
      <c r="M1369">
        <v>25</v>
      </c>
      <c r="N1369" t="s">
        <v>2597</v>
      </c>
      <c r="O1369" t="s">
        <v>29</v>
      </c>
      <c r="Q1369" t="s">
        <v>2597</v>
      </c>
      <c r="R1369" t="s">
        <v>2597</v>
      </c>
      <c r="S1369" t="s">
        <v>2597</v>
      </c>
      <c r="T1369" t="s">
        <v>2597</v>
      </c>
      <c r="U1369" t="s">
        <v>2597</v>
      </c>
      <c r="V1369" t="s">
        <v>2597</v>
      </c>
      <c r="W1369" t="s">
        <v>5020</v>
      </c>
      <c r="X1369" t="s">
        <v>5021</v>
      </c>
      <c r="Y1369" t="s">
        <v>5022</v>
      </c>
      <c r="Z1369">
        <v>698.2744252</v>
      </c>
    </row>
    <row r="1370" spans="1:26" hidden="1">
      <c r="A1370">
        <v>1369</v>
      </c>
      <c r="B1370" t="s">
        <v>5023</v>
      </c>
      <c r="C1370" t="s">
        <v>83</v>
      </c>
      <c r="D1370" s="1" t="b">
        <v>0</v>
      </c>
      <c r="E1370">
        <v>5.7939999999999997E-3</v>
      </c>
      <c r="F1370">
        <v>2.2370215089999999</v>
      </c>
      <c r="M1370">
        <v>25</v>
      </c>
      <c r="N1370" t="s">
        <v>207</v>
      </c>
      <c r="W1370" t="s">
        <v>5024</v>
      </c>
      <c r="X1370" t="s">
        <v>5025</v>
      </c>
      <c r="Y1370" t="s">
        <v>5026</v>
      </c>
      <c r="Z1370">
        <v>204.17254460000001</v>
      </c>
    </row>
    <row r="1371" spans="1:26" hidden="1">
      <c r="A1371">
        <v>1370</v>
      </c>
      <c r="B1371" t="s">
        <v>427</v>
      </c>
      <c r="C1371" t="s">
        <v>83</v>
      </c>
      <c r="D1371" s="1" t="b">
        <v>0</v>
      </c>
      <c r="E1371">
        <v>4.8999999999999998E-3</v>
      </c>
      <c r="F1371">
        <v>2.3098039199999998</v>
      </c>
      <c r="G1371">
        <v>26.8</v>
      </c>
      <c r="H1371">
        <v>5.2000000000000002E-6</v>
      </c>
      <c r="I1371">
        <v>0.32</v>
      </c>
      <c r="J1371">
        <v>45</v>
      </c>
      <c r="K1371">
        <v>3.17</v>
      </c>
      <c r="L1371">
        <v>6.8099999999999996E-4</v>
      </c>
      <c r="M1371">
        <v>25</v>
      </c>
      <c r="N1371" t="s">
        <v>89</v>
      </c>
      <c r="O1371" t="s">
        <v>29</v>
      </c>
      <c r="P1371" t="s">
        <v>103</v>
      </c>
      <c r="Q1371" t="s">
        <v>578</v>
      </c>
      <c r="R1371" t="s">
        <v>579</v>
      </c>
      <c r="S1371" t="s">
        <v>579</v>
      </c>
      <c r="T1371" t="s">
        <v>579</v>
      </c>
      <c r="U1371" t="s">
        <v>579</v>
      </c>
      <c r="W1371" t="s">
        <v>5027</v>
      </c>
      <c r="X1371" t="s">
        <v>5028</v>
      </c>
      <c r="Y1371" t="s">
        <v>5029</v>
      </c>
      <c r="Z1371">
        <v>174.16197990000001</v>
      </c>
    </row>
    <row r="1372" spans="1:26" hidden="1">
      <c r="A1372">
        <v>1371</v>
      </c>
      <c r="B1372" t="s">
        <v>5030</v>
      </c>
      <c r="C1372" t="s">
        <v>83</v>
      </c>
      <c r="D1372" s="1" t="b">
        <v>0</v>
      </c>
      <c r="E1372">
        <v>4.8999999999999998E-3</v>
      </c>
      <c r="F1372">
        <v>2.3098039199999998</v>
      </c>
      <c r="G1372">
        <v>27</v>
      </c>
      <c r="H1372">
        <v>5.2000000000000002E-6</v>
      </c>
      <c r="I1372">
        <v>0.32</v>
      </c>
      <c r="J1372">
        <v>45</v>
      </c>
      <c r="K1372">
        <v>3.1519234279999999</v>
      </c>
      <c r="L1372">
        <v>4.2769782999999999E-2</v>
      </c>
      <c r="M1372">
        <v>25</v>
      </c>
      <c r="N1372" t="s">
        <v>89</v>
      </c>
      <c r="O1372" t="s">
        <v>29</v>
      </c>
      <c r="P1372" t="s">
        <v>103</v>
      </c>
      <c r="Q1372" t="s">
        <v>5031</v>
      </c>
      <c r="R1372" t="s">
        <v>420</v>
      </c>
      <c r="T1372" t="s">
        <v>420</v>
      </c>
      <c r="U1372" t="s">
        <v>31</v>
      </c>
      <c r="V1372" t="s">
        <v>31</v>
      </c>
      <c r="W1372" t="s">
        <v>5032</v>
      </c>
      <c r="X1372" t="s">
        <v>5033</v>
      </c>
      <c r="Y1372" t="s">
        <v>5034</v>
      </c>
      <c r="Z1372">
        <v>262.21440940000002</v>
      </c>
    </row>
    <row r="1373" spans="1:26" hidden="1">
      <c r="A1373">
        <v>1372</v>
      </c>
      <c r="B1373" t="s">
        <v>5035</v>
      </c>
      <c r="C1373" t="s">
        <v>83</v>
      </c>
      <c r="D1373" s="1" t="b">
        <v>0</v>
      </c>
      <c r="G1373">
        <v>30.5</v>
      </c>
      <c r="O1373" t="s">
        <v>29</v>
      </c>
      <c r="Q1373" t="s">
        <v>5036</v>
      </c>
      <c r="X1373" t="s">
        <v>5037</v>
      </c>
      <c r="Y1373" t="s">
        <v>5038</v>
      </c>
      <c r="Z1373">
        <v>306.24062420000001</v>
      </c>
    </row>
    <row r="1374" spans="1:26" hidden="1">
      <c r="A1374">
        <v>1373</v>
      </c>
      <c r="B1374" t="s">
        <v>430</v>
      </c>
      <c r="C1374" t="s">
        <v>83</v>
      </c>
      <c r="D1374" s="1" t="b">
        <v>0</v>
      </c>
      <c r="E1374">
        <v>9.1999999999999998E-3</v>
      </c>
      <c r="F1374">
        <v>2.036212173</v>
      </c>
      <c r="G1374">
        <v>28.8</v>
      </c>
      <c r="H1374">
        <v>1.3999999999999999E-6</v>
      </c>
      <c r="I1374">
        <v>1.1499999999999999</v>
      </c>
      <c r="J1374">
        <v>43.2</v>
      </c>
      <c r="K1374">
        <v>4.7</v>
      </c>
      <c r="L1374">
        <v>2.0000000000000002E-5</v>
      </c>
      <c r="M1374">
        <v>25</v>
      </c>
      <c r="N1374" t="s">
        <v>89</v>
      </c>
      <c r="P1374" t="s">
        <v>103</v>
      </c>
      <c r="R1374" t="s">
        <v>5039</v>
      </c>
      <c r="S1374" t="s">
        <v>5039</v>
      </c>
      <c r="T1374" t="s">
        <v>5039</v>
      </c>
      <c r="U1374" t="s">
        <v>5039</v>
      </c>
      <c r="V1374" t="s">
        <v>5039</v>
      </c>
      <c r="W1374" t="s">
        <v>4408</v>
      </c>
      <c r="X1374" t="s">
        <v>5040</v>
      </c>
      <c r="Y1374" t="s">
        <v>5041</v>
      </c>
      <c r="Z1374">
        <v>350.26683889999998</v>
      </c>
    </row>
    <row r="1375" spans="1:26" hidden="1">
      <c r="A1375">
        <v>1374</v>
      </c>
      <c r="B1375" t="s">
        <v>434</v>
      </c>
      <c r="C1375" t="s">
        <v>83</v>
      </c>
      <c r="D1375" s="1" t="b">
        <v>0</v>
      </c>
      <c r="E1375">
        <v>9.9000000000000008E-3</v>
      </c>
      <c r="F1375">
        <v>2.0043648049999998</v>
      </c>
      <c r="G1375">
        <v>31.8</v>
      </c>
      <c r="J1375">
        <v>40.200000000000003</v>
      </c>
      <c r="M1375">
        <v>25</v>
      </c>
      <c r="N1375" t="s">
        <v>89</v>
      </c>
      <c r="O1375" t="s">
        <v>29</v>
      </c>
      <c r="P1375" t="s">
        <v>103</v>
      </c>
      <c r="Q1375" t="s">
        <v>5042</v>
      </c>
      <c r="W1375" t="s">
        <v>2069</v>
      </c>
      <c r="X1375" t="s">
        <v>5043</v>
      </c>
      <c r="Y1375" t="s">
        <v>5044</v>
      </c>
      <c r="Z1375">
        <v>394.29305369999997</v>
      </c>
    </row>
    <row r="1376" spans="1:26" hidden="1">
      <c r="A1376">
        <v>1375</v>
      </c>
      <c r="B1376" t="s">
        <v>5045</v>
      </c>
      <c r="C1376" t="s">
        <v>83</v>
      </c>
      <c r="D1376" s="1" t="b">
        <v>0</v>
      </c>
      <c r="E1376">
        <v>1.6000000000000001E-3</v>
      </c>
      <c r="F1376">
        <v>2.795880017</v>
      </c>
      <c r="M1376">
        <v>25</v>
      </c>
      <c r="N1376" t="s">
        <v>207</v>
      </c>
      <c r="X1376" t="s">
        <v>5046</v>
      </c>
      <c r="Y1376" t="s">
        <v>5047</v>
      </c>
      <c r="Z1376">
        <v>338.19406789999999</v>
      </c>
    </row>
    <row r="1377" spans="1:26">
      <c r="A1377">
        <v>1376</v>
      </c>
      <c r="B1377" s="2" t="s">
        <v>5048</v>
      </c>
      <c r="C1377" t="s">
        <v>83</v>
      </c>
      <c r="D1377" s="1" t="b">
        <v>1</v>
      </c>
      <c r="E1377">
        <v>4.3949999999999996E-3</v>
      </c>
      <c r="F1377">
        <v>2.357041121</v>
      </c>
      <c r="M1377">
        <v>25</v>
      </c>
      <c r="N1377" t="s">
        <v>207</v>
      </c>
      <c r="X1377" t="s">
        <v>5049</v>
      </c>
      <c r="Y1377" t="s">
        <v>5050</v>
      </c>
      <c r="Z1377">
        <v>291.18076359999998</v>
      </c>
    </row>
    <row r="1378" spans="1:26" hidden="1">
      <c r="A1378">
        <v>1377</v>
      </c>
      <c r="B1378" t="s">
        <v>5051</v>
      </c>
      <c r="C1378" t="s">
        <v>83</v>
      </c>
      <c r="D1378" s="1" t="b">
        <v>0</v>
      </c>
      <c r="E1378">
        <v>2.748E-3</v>
      </c>
      <c r="F1378">
        <v>2.5609832720000001</v>
      </c>
      <c r="M1378">
        <v>25</v>
      </c>
      <c r="N1378" t="s">
        <v>207</v>
      </c>
      <c r="X1378" t="s">
        <v>5052</v>
      </c>
      <c r="Y1378" t="s">
        <v>5053</v>
      </c>
      <c r="Z1378">
        <v>486.26762680000002</v>
      </c>
    </row>
    <row r="1379" spans="1:26" hidden="1">
      <c r="A1379">
        <v>1378</v>
      </c>
      <c r="B1379" t="s">
        <v>5054</v>
      </c>
      <c r="C1379" t="s">
        <v>83</v>
      </c>
      <c r="D1379" s="1" t="b">
        <v>0</v>
      </c>
      <c r="E1379">
        <v>2.63E-3</v>
      </c>
      <c r="F1379">
        <v>2.580044252</v>
      </c>
      <c r="M1379">
        <v>25</v>
      </c>
      <c r="N1379" t="s">
        <v>207</v>
      </c>
      <c r="X1379" t="s">
        <v>5055</v>
      </c>
      <c r="Y1379" t="s">
        <v>5056</v>
      </c>
      <c r="Z1379">
        <v>484.2519767</v>
      </c>
    </row>
    <row r="1380" spans="1:26">
      <c r="A1380">
        <v>1379</v>
      </c>
      <c r="B1380" t="s">
        <v>5057</v>
      </c>
      <c r="C1380" t="s">
        <v>161</v>
      </c>
      <c r="D1380" s="1" t="b">
        <v>1</v>
      </c>
      <c r="E1380">
        <v>5.7999999999999996E-3</v>
      </c>
      <c r="F1380">
        <v>2.2365720059999998</v>
      </c>
      <c r="G1380">
        <v>24.5</v>
      </c>
      <c r="H1380">
        <v>5.2000000000000002E-6</v>
      </c>
      <c r="I1380">
        <v>0.32</v>
      </c>
      <c r="J1380">
        <v>47.47</v>
      </c>
      <c r="K1380">
        <v>3.1629034659999999</v>
      </c>
      <c r="L1380">
        <v>4.2302737999999999E-2</v>
      </c>
      <c r="M1380">
        <v>25</v>
      </c>
      <c r="N1380" t="s">
        <v>162</v>
      </c>
      <c r="O1380" t="s">
        <v>163</v>
      </c>
      <c r="P1380" t="s">
        <v>164</v>
      </c>
      <c r="R1380" t="s">
        <v>420</v>
      </c>
      <c r="S1380" t="s">
        <v>31</v>
      </c>
      <c r="T1380" t="s">
        <v>420</v>
      </c>
      <c r="U1380" t="s">
        <v>31</v>
      </c>
      <c r="V1380" t="s">
        <v>31</v>
      </c>
      <c r="W1380" t="s">
        <v>5058</v>
      </c>
      <c r="X1380" t="s">
        <v>5059</v>
      </c>
      <c r="Y1380" t="s">
        <v>5060</v>
      </c>
      <c r="Z1380">
        <v>204.17254460000001</v>
      </c>
    </row>
    <row r="1381" spans="1:26" hidden="1">
      <c r="A1381">
        <v>1380</v>
      </c>
      <c r="B1381" t="s">
        <v>5061</v>
      </c>
      <c r="C1381" t="s">
        <v>83</v>
      </c>
      <c r="D1381" s="1" t="b">
        <v>0</v>
      </c>
      <c r="E1381">
        <v>4.8979999999999996E-3</v>
      </c>
      <c r="F1381">
        <v>2.309981219</v>
      </c>
      <c r="M1381">
        <v>25</v>
      </c>
      <c r="N1381" t="s">
        <v>207</v>
      </c>
      <c r="W1381" t="s">
        <v>5062</v>
      </c>
      <c r="X1381" t="s">
        <v>5063</v>
      </c>
      <c r="Y1381" t="s">
        <v>5064</v>
      </c>
      <c r="Z1381">
        <v>174.16197990000001</v>
      </c>
    </row>
    <row r="1382" spans="1:26" hidden="1">
      <c r="A1382">
        <v>1381</v>
      </c>
      <c r="B1382" t="s">
        <v>5065</v>
      </c>
      <c r="C1382" t="s">
        <v>83</v>
      </c>
      <c r="D1382" s="1" t="b">
        <v>0</v>
      </c>
      <c r="E1382">
        <v>7.4989999999999996E-3</v>
      </c>
      <c r="F1382">
        <v>2.124996646</v>
      </c>
      <c r="M1382">
        <v>25</v>
      </c>
      <c r="N1382" t="s">
        <v>207</v>
      </c>
      <c r="X1382" t="s">
        <v>5066</v>
      </c>
      <c r="Y1382" t="s">
        <v>5067</v>
      </c>
      <c r="Z1382">
        <v>262.21440940000002</v>
      </c>
    </row>
    <row r="1383" spans="1:26" hidden="1">
      <c r="A1383">
        <v>1382</v>
      </c>
      <c r="B1383" t="s">
        <v>5068</v>
      </c>
      <c r="C1383" t="s">
        <v>83</v>
      </c>
      <c r="D1383" s="1" t="b">
        <v>0</v>
      </c>
      <c r="E1383">
        <v>8.6499999999999997E-3</v>
      </c>
      <c r="F1383">
        <v>2.0629838930000002</v>
      </c>
      <c r="M1383">
        <v>25</v>
      </c>
      <c r="N1383" t="s">
        <v>207</v>
      </c>
      <c r="X1383" t="s">
        <v>5069</v>
      </c>
      <c r="Y1383" t="s">
        <v>5070</v>
      </c>
      <c r="Z1383">
        <v>306.24062420000001</v>
      </c>
    </row>
    <row r="1384" spans="1:26" hidden="1">
      <c r="A1384">
        <v>1383</v>
      </c>
      <c r="B1384" t="s">
        <v>5071</v>
      </c>
      <c r="C1384" t="s">
        <v>83</v>
      </c>
      <c r="D1384" s="1" t="b">
        <v>0</v>
      </c>
      <c r="E1384">
        <v>1.099E-2</v>
      </c>
      <c r="F1384">
        <v>1.9590023080000001</v>
      </c>
      <c r="M1384">
        <v>25</v>
      </c>
      <c r="N1384" t="s">
        <v>207</v>
      </c>
      <c r="X1384" t="s">
        <v>5072</v>
      </c>
      <c r="Y1384" t="s">
        <v>5073</v>
      </c>
      <c r="Z1384">
        <v>350.26683889999998</v>
      </c>
    </row>
    <row r="1385" spans="1:26" hidden="1">
      <c r="A1385">
        <v>1384</v>
      </c>
      <c r="B1385" t="s">
        <v>5074</v>
      </c>
      <c r="C1385" t="s">
        <v>83</v>
      </c>
      <c r="D1385" s="1" t="b">
        <v>0</v>
      </c>
      <c r="E1385">
        <v>9.9080000000000001E-3</v>
      </c>
      <c r="F1385">
        <v>2.0040140019999999</v>
      </c>
      <c r="M1385">
        <v>25</v>
      </c>
      <c r="N1385" t="s">
        <v>207</v>
      </c>
      <c r="X1385" t="s">
        <v>5075</v>
      </c>
      <c r="Y1385" t="s">
        <v>5076</v>
      </c>
      <c r="Z1385">
        <v>394.29305369999997</v>
      </c>
    </row>
    <row r="1386" spans="1:26" hidden="1">
      <c r="A1386">
        <v>1385</v>
      </c>
      <c r="B1386" t="s">
        <v>5077</v>
      </c>
      <c r="C1386" t="s">
        <v>83</v>
      </c>
      <c r="D1386" s="1" t="b">
        <v>0</v>
      </c>
      <c r="E1386">
        <v>1.2999999999999999E-2</v>
      </c>
      <c r="F1386">
        <v>1.8860566480000001</v>
      </c>
      <c r="M1386">
        <v>25</v>
      </c>
      <c r="N1386" t="s">
        <v>207</v>
      </c>
      <c r="X1386" t="s">
        <v>5078</v>
      </c>
      <c r="Y1386" t="s">
        <v>5079</v>
      </c>
      <c r="Z1386">
        <v>526.37169789999996</v>
      </c>
    </row>
    <row r="1387" spans="1:26" hidden="1">
      <c r="A1387">
        <v>1386</v>
      </c>
      <c r="B1387" t="s">
        <v>5080</v>
      </c>
      <c r="C1387" t="s">
        <v>1848</v>
      </c>
      <c r="D1387" s="1" t="b">
        <v>0</v>
      </c>
      <c r="E1387">
        <v>1E-3</v>
      </c>
      <c r="F1387">
        <v>3</v>
      </c>
      <c r="M1387">
        <v>25</v>
      </c>
      <c r="N1387" t="s">
        <v>1849</v>
      </c>
      <c r="X1387" t="s">
        <v>5081</v>
      </c>
      <c r="Y1387" t="s">
        <v>5082</v>
      </c>
      <c r="Z1387">
        <v>393.30079549999999</v>
      </c>
    </row>
    <row r="1388" spans="1:26" hidden="1">
      <c r="A1388">
        <v>1387</v>
      </c>
      <c r="B1388" t="s">
        <v>5083</v>
      </c>
      <c r="C1388" t="s">
        <v>134</v>
      </c>
      <c r="D1388" s="13" t="b">
        <v>0</v>
      </c>
      <c r="E1388">
        <v>0.14000000000000001</v>
      </c>
      <c r="F1388">
        <v>0.85387196399999998</v>
      </c>
      <c r="M1388">
        <v>25</v>
      </c>
      <c r="N1388" t="s">
        <v>179</v>
      </c>
      <c r="P1388" t="s">
        <v>180</v>
      </c>
      <c r="W1388" t="s">
        <v>5084</v>
      </c>
      <c r="X1388" t="s">
        <v>5085</v>
      </c>
      <c r="Y1388" t="s">
        <v>5086</v>
      </c>
      <c r="Z1388">
        <v>232.07452430000001</v>
      </c>
    </row>
    <row r="1389" spans="1:26">
      <c r="A1389">
        <v>1388</v>
      </c>
      <c r="B1389" t="s">
        <v>5087</v>
      </c>
      <c r="C1389" t="s">
        <v>161</v>
      </c>
      <c r="D1389" s="1" t="b">
        <v>1</v>
      </c>
      <c r="E1389">
        <v>2.3E-2</v>
      </c>
      <c r="F1389">
        <v>1.638272164</v>
      </c>
      <c r="G1389">
        <v>32.5</v>
      </c>
      <c r="H1389">
        <v>3.4599999999999999E-6</v>
      </c>
      <c r="I1389">
        <v>0.48</v>
      </c>
      <c r="J1389">
        <v>39.47</v>
      </c>
      <c r="K1389">
        <v>2.6254504089999999</v>
      </c>
      <c r="L1389">
        <v>7.2407136999999996E-2</v>
      </c>
      <c r="M1389">
        <v>25</v>
      </c>
      <c r="N1389" t="s">
        <v>162</v>
      </c>
      <c r="O1389" t="s">
        <v>163</v>
      </c>
      <c r="P1389" t="s">
        <v>164</v>
      </c>
      <c r="R1389" t="s">
        <v>4832</v>
      </c>
      <c r="S1389" t="s">
        <v>31</v>
      </c>
      <c r="T1389" t="s">
        <v>4832</v>
      </c>
      <c r="U1389" t="s">
        <v>31</v>
      </c>
      <c r="V1389" t="s">
        <v>31</v>
      </c>
      <c r="W1389" t="s">
        <v>5088</v>
      </c>
      <c r="X1389" t="s">
        <v>5089</v>
      </c>
      <c r="Y1389" t="s">
        <v>5090</v>
      </c>
      <c r="Z1389">
        <v>291.20457299999998</v>
      </c>
    </row>
    <row r="1390" spans="1:26">
      <c r="A1390">
        <v>1389</v>
      </c>
      <c r="B1390" t="s">
        <v>5091</v>
      </c>
      <c r="C1390" t="s">
        <v>161</v>
      </c>
      <c r="D1390" s="1" t="b">
        <v>1</v>
      </c>
      <c r="E1390">
        <v>0.02</v>
      </c>
      <c r="F1390">
        <v>1.698970004</v>
      </c>
      <c r="G1390">
        <v>30.5</v>
      </c>
      <c r="H1390">
        <v>3.4599999999999999E-6</v>
      </c>
      <c r="I1390">
        <v>0.48</v>
      </c>
      <c r="J1390">
        <v>41.47</v>
      </c>
      <c r="K1390">
        <v>2.7873972999999999</v>
      </c>
      <c r="L1390">
        <v>6.1581283000000001E-2</v>
      </c>
      <c r="M1390">
        <v>25</v>
      </c>
      <c r="N1390" t="s">
        <v>162</v>
      </c>
      <c r="O1390" t="s">
        <v>163</v>
      </c>
      <c r="P1390" t="s">
        <v>164</v>
      </c>
      <c r="R1390" t="s">
        <v>3477</v>
      </c>
      <c r="S1390" t="s">
        <v>31</v>
      </c>
      <c r="T1390" t="s">
        <v>3477</v>
      </c>
      <c r="U1390" t="s">
        <v>31</v>
      </c>
      <c r="V1390" t="s">
        <v>31</v>
      </c>
      <c r="W1390" t="s">
        <v>5092</v>
      </c>
      <c r="X1390" t="s">
        <v>5093</v>
      </c>
      <c r="Y1390" t="s">
        <v>5094</v>
      </c>
      <c r="Z1390">
        <v>292.1885886</v>
      </c>
    </row>
    <row r="1391" spans="1:26">
      <c r="A1391">
        <v>1390</v>
      </c>
      <c r="B1391" t="s">
        <v>5095</v>
      </c>
      <c r="C1391" t="s">
        <v>161</v>
      </c>
      <c r="D1391" s="1" t="b">
        <v>1</v>
      </c>
      <c r="E1391">
        <v>1.6E-2</v>
      </c>
      <c r="F1391">
        <v>1.795880017</v>
      </c>
      <c r="G1391">
        <v>30.5</v>
      </c>
      <c r="H1391">
        <v>3.4599999999999999E-6</v>
      </c>
      <c r="I1391">
        <v>0.48</v>
      </c>
      <c r="J1391">
        <v>41.47</v>
      </c>
      <c r="K1391">
        <v>2.8843073129999999</v>
      </c>
      <c r="L1391">
        <v>5.5893493000000002E-2</v>
      </c>
      <c r="M1391">
        <v>25</v>
      </c>
      <c r="N1391" t="s">
        <v>162</v>
      </c>
      <c r="O1391" t="s">
        <v>163</v>
      </c>
      <c r="P1391" t="s">
        <v>164</v>
      </c>
      <c r="R1391" t="s">
        <v>3477</v>
      </c>
      <c r="S1391" t="s">
        <v>31</v>
      </c>
      <c r="T1391" t="s">
        <v>3477</v>
      </c>
      <c r="U1391" t="s">
        <v>31</v>
      </c>
      <c r="V1391" t="s">
        <v>31</v>
      </c>
      <c r="W1391" t="s">
        <v>5096</v>
      </c>
      <c r="X1391" t="s">
        <v>5097</v>
      </c>
      <c r="Y1391" t="s">
        <v>5098</v>
      </c>
      <c r="Z1391">
        <v>292.1885886</v>
      </c>
    </row>
    <row r="1392" spans="1:26">
      <c r="A1392">
        <v>1391</v>
      </c>
      <c r="B1392" t="s">
        <v>5099</v>
      </c>
      <c r="C1392" t="s">
        <v>161</v>
      </c>
      <c r="D1392" s="1" t="b">
        <v>1</v>
      </c>
      <c r="E1392">
        <v>6.0000000000000001E-3</v>
      </c>
      <c r="F1392">
        <v>2.2218487499999999</v>
      </c>
      <c r="G1392">
        <v>30.5</v>
      </c>
      <c r="H1392">
        <v>3.4599999999999999E-6</v>
      </c>
      <c r="I1392">
        <v>0.48</v>
      </c>
      <c r="J1392">
        <v>41.47</v>
      </c>
      <c r="K1392">
        <v>3.3102760450000002</v>
      </c>
      <c r="L1392">
        <v>3.6506095000000002E-2</v>
      </c>
      <c r="M1392">
        <v>25</v>
      </c>
      <c r="N1392" t="s">
        <v>162</v>
      </c>
      <c r="O1392" t="s">
        <v>163</v>
      </c>
      <c r="P1392" t="s">
        <v>164</v>
      </c>
      <c r="R1392" t="s">
        <v>3477</v>
      </c>
      <c r="S1392" t="s">
        <v>31</v>
      </c>
      <c r="T1392" t="s">
        <v>3477</v>
      </c>
      <c r="U1392" t="s">
        <v>31</v>
      </c>
      <c r="V1392" t="s">
        <v>31</v>
      </c>
      <c r="W1392" t="s">
        <v>5100</v>
      </c>
      <c r="X1392" t="s">
        <v>5101</v>
      </c>
      <c r="Y1392" t="s">
        <v>5102</v>
      </c>
      <c r="Z1392">
        <v>292.1885886</v>
      </c>
    </row>
    <row r="1393" spans="1:26" hidden="1">
      <c r="A1393">
        <v>1392</v>
      </c>
      <c r="B1393" t="s">
        <v>5103</v>
      </c>
      <c r="C1393" t="s">
        <v>28</v>
      </c>
      <c r="D1393" s="1" t="b">
        <v>0</v>
      </c>
      <c r="E1393">
        <v>1.0900000000000001E-4</v>
      </c>
      <c r="F1393">
        <v>3.9625735020000001</v>
      </c>
      <c r="G1393">
        <v>36</v>
      </c>
      <c r="H1393">
        <v>9.9000000000000005E-7</v>
      </c>
      <c r="I1393">
        <v>1.66</v>
      </c>
      <c r="J1393">
        <v>36</v>
      </c>
      <c r="K1393">
        <v>4.92</v>
      </c>
      <c r="L1393">
        <v>1.2E-5</v>
      </c>
      <c r="M1393">
        <v>25</v>
      </c>
      <c r="N1393" t="s">
        <v>2176</v>
      </c>
      <c r="O1393" t="s">
        <v>2177</v>
      </c>
      <c r="P1393" t="s">
        <v>2182</v>
      </c>
      <c r="Q1393" t="s">
        <v>2176</v>
      </c>
      <c r="R1393" t="s">
        <v>2176</v>
      </c>
      <c r="T1393" t="s">
        <v>2176</v>
      </c>
      <c r="U1393" t="s">
        <v>2176</v>
      </c>
      <c r="W1393" t="s">
        <v>5104</v>
      </c>
      <c r="X1393" t="s">
        <v>5105</v>
      </c>
      <c r="Y1393" t="s">
        <v>5106</v>
      </c>
      <c r="Z1393">
        <v>854.39203099999997</v>
      </c>
    </row>
    <row r="1394" spans="1:26" hidden="1">
      <c r="A1394">
        <v>1393</v>
      </c>
      <c r="B1394" t="s">
        <v>5107</v>
      </c>
      <c r="C1394" t="s">
        <v>28</v>
      </c>
      <c r="D1394" s="1" t="b">
        <v>0</v>
      </c>
      <c r="E1394">
        <v>2.0799999999999999E-4</v>
      </c>
      <c r="F1394">
        <v>3.6819366649999998</v>
      </c>
      <c r="G1394">
        <v>32</v>
      </c>
      <c r="H1394">
        <v>1.1400000000000001E-6</v>
      </c>
      <c r="I1394">
        <v>1.46</v>
      </c>
      <c r="J1394">
        <v>40</v>
      </c>
      <c r="K1394">
        <v>4.67</v>
      </c>
      <c r="L1394">
        <v>2.1399999999999998E-5</v>
      </c>
      <c r="M1394">
        <v>25</v>
      </c>
      <c r="N1394" t="s">
        <v>2176</v>
      </c>
      <c r="O1394" t="s">
        <v>2177</v>
      </c>
      <c r="Q1394" t="s">
        <v>2176</v>
      </c>
      <c r="R1394" t="s">
        <v>2176</v>
      </c>
      <c r="T1394" t="s">
        <v>2176</v>
      </c>
      <c r="U1394" t="s">
        <v>2176</v>
      </c>
      <c r="W1394" t="s">
        <v>5108</v>
      </c>
      <c r="X1394" t="s">
        <v>5109</v>
      </c>
      <c r="Y1394" t="s">
        <v>5110</v>
      </c>
      <c r="Z1394">
        <v>826.36073090000002</v>
      </c>
    </row>
    <row r="1395" spans="1:26" hidden="1">
      <c r="A1395">
        <v>1394</v>
      </c>
      <c r="B1395" t="s">
        <v>5111</v>
      </c>
      <c r="C1395" t="s">
        <v>28</v>
      </c>
      <c r="D1395" s="1" t="b">
        <v>0</v>
      </c>
      <c r="E1395">
        <v>2.5099999999999998E-4</v>
      </c>
      <c r="F1395">
        <v>3.6003262789999999</v>
      </c>
      <c r="G1395">
        <v>30.4</v>
      </c>
      <c r="H1395">
        <v>1.11E-6</v>
      </c>
      <c r="I1395">
        <v>1.49</v>
      </c>
      <c r="J1395">
        <v>41.6</v>
      </c>
      <c r="K1395">
        <v>4.5999999999999996</v>
      </c>
      <c r="L1395">
        <v>2.51E-5</v>
      </c>
      <c r="M1395">
        <v>25</v>
      </c>
      <c r="N1395" t="s">
        <v>2176</v>
      </c>
      <c r="O1395" t="s">
        <v>2177</v>
      </c>
      <c r="Q1395" t="s">
        <v>2176</v>
      </c>
      <c r="R1395" t="s">
        <v>2176</v>
      </c>
      <c r="T1395" t="s">
        <v>2176</v>
      </c>
      <c r="U1395" t="s">
        <v>2176</v>
      </c>
      <c r="W1395" t="s">
        <v>5112</v>
      </c>
      <c r="X1395" t="s">
        <v>5113</v>
      </c>
      <c r="Y1395" t="s">
        <v>5114</v>
      </c>
      <c r="Z1395">
        <v>798.32943069999999</v>
      </c>
    </row>
    <row r="1396" spans="1:26" hidden="1">
      <c r="A1396">
        <v>1395</v>
      </c>
      <c r="B1396" t="s">
        <v>5115</v>
      </c>
      <c r="C1396" t="s">
        <v>134</v>
      </c>
      <c r="D1396" s="13" t="b">
        <v>0</v>
      </c>
      <c r="E1396">
        <v>0.16</v>
      </c>
      <c r="F1396">
        <v>0.795880017</v>
      </c>
      <c r="M1396">
        <v>25</v>
      </c>
      <c r="N1396" t="s">
        <v>179</v>
      </c>
      <c r="W1396" t="s">
        <v>5116</v>
      </c>
      <c r="X1396" t="s">
        <v>5117</v>
      </c>
      <c r="Y1396" t="s">
        <v>5118</v>
      </c>
      <c r="Z1396">
        <v>216.07960969999999</v>
      </c>
    </row>
    <row r="1397" spans="1:26">
      <c r="A1397">
        <v>1396</v>
      </c>
      <c r="B1397" s="2" t="s">
        <v>5119</v>
      </c>
      <c r="C1397" t="s">
        <v>161</v>
      </c>
      <c r="D1397" s="1" t="b">
        <v>1</v>
      </c>
      <c r="E1397">
        <v>4.8000000000000001E-4</v>
      </c>
      <c r="F1397">
        <v>3.3187587629999999</v>
      </c>
      <c r="G1397">
        <v>24.1</v>
      </c>
      <c r="H1397">
        <v>4.3800000000000004E-6</v>
      </c>
      <c r="I1397">
        <v>0.38</v>
      </c>
      <c r="J1397">
        <v>48.65</v>
      </c>
      <c r="K1397">
        <v>4.7</v>
      </c>
      <c r="L1397">
        <v>2.0000000000000002E-5</v>
      </c>
      <c r="M1397">
        <v>20</v>
      </c>
      <c r="N1397" t="s">
        <v>162</v>
      </c>
      <c r="O1397" t="s">
        <v>163</v>
      </c>
      <c r="P1397" t="s">
        <v>164</v>
      </c>
      <c r="R1397" t="s">
        <v>4513</v>
      </c>
      <c r="S1397" t="s">
        <v>31</v>
      </c>
      <c r="T1397" t="s">
        <v>4513</v>
      </c>
      <c r="U1397" t="s">
        <v>4513</v>
      </c>
      <c r="W1397" t="s">
        <v>5120</v>
      </c>
      <c r="X1397" t="s">
        <v>5121</v>
      </c>
      <c r="Y1397" t="s">
        <v>5122</v>
      </c>
      <c r="Z1397">
        <v>292.13444490000001</v>
      </c>
    </row>
    <row r="1398" spans="1:26">
      <c r="A1398">
        <v>1397</v>
      </c>
      <c r="B1398" s="2" t="s">
        <v>5123</v>
      </c>
      <c r="C1398" t="s">
        <v>161</v>
      </c>
      <c r="D1398" s="1" t="b">
        <v>1</v>
      </c>
      <c r="E1398">
        <v>5.2999999999999998E-4</v>
      </c>
      <c r="F1398">
        <v>3.27572413</v>
      </c>
      <c r="G1398">
        <v>25.7</v>
      </c>
      <c r="H1398">
        <v>4.7199999999999997E-6</v>
      </c>
      <c r="I1398">
        <v>0.35</v>
      </c>
      <c r="J1398">
        <v>47.05</v>
      </c>
      <c r="K1398">
        <v>4.4000000000000004</v>
      </c>
      <c r="L1398">
        <v>3.9799999999999998E-5</v>
      </c>
      <c r="M1398">
        <v>20</v>
      </c>
      <c r="N1398" t="s">
        <v>162</v>
      </c>
      <c r="O1398" t="s">
        <v>163</v>
      </c>
      <c r="P1398" t="s">
        <v>164</v>
      </c>
      <c r="R1398" t="s">
        <v>4513</v>
      </c>
      <c r="S1398" t="s">
        <v>31</v>
      </c>
      <c r="T1398" t="s">
        <v>4513</v>
      </c>
      <c r="U1398" t="s">
        <v>4513</v>
      </c>
      <c r="W1398" t="s">
        <v>5124</v>
      </c>
      <c r="X1398" t="s">
        <v>5125</v>
      </c>
      <c r="Y1398" t="s">
        <v>5126</v>
      </c>
      <c r="Z1398">
        <v>292.13444490000001</v>
      </c>
    </row>
    <row r="1399" spans="1:26">
      <c r="A1399">
        <v>1398</v>
      </c>
      <c r="B1399" s="2" t="s">
        <v>5127</v>
      </c>
      <c r="C1399" t="s">
        <v>161</v>
      </c>
      <c r="D1399" s="1" t="b">
        <v>1</v>
      </c>
      <c r="E1399">
        <v>8.5000000000000006E-3</v>
      </c>
      <c r="F1399">
        <v>2.0705810740000001</v>
      </c>
      <c r="G1399" s="2">
        <f>72-J1399</f>
        <v>28.299999999999997</v>
      </c>
      <c r="H1399">
        <v>3.0599999999999999E-6</v>
      </c>
      <c r="I1399" s="2">
        <v>0.54300000000000004</v>
      </c>
      <c r="J1399" s="2">
        <v>43.7</v>
      </c>
      <c r="K1399">
        <v>3.4270706889999998</v>
      </c>
      <c r="L1399" s="2">
        <f>10^(-K1399)</f>
        <v>3.7404970020563842E-4</v>
      </c>
      <c r="M1399" s="2">
        <v>25</v>
      </c>
      <c r="N1399" t="s">
        <v>162</v>
      </c>
      <c r="O1399" t="s">
        <v>163</v>
      </c>
      <c r="P1399" t="s">
        <v>164</v>
      </c>
      <c r="R1399" t="s">
        <v>5128</v>
      </c>
      <c r="S1399" t="s">
        <v>5128</v>
      </c>
      <c r="T1399" t="s">
        <v>5128</v>
      </c>
      <c r="U1399" t="s">
        <v>31</v>
      </c>
      <c r="V1399" t="s">
        <v>31</v>
      </c>
      <c r="W1399" t="s">
        <v>5129</v>
      </c>
      <c r="X1399" t="s">
        <v>5130</v>
      </c>
      <c r="Y1399" t="s">
        <v>5131</v>
      </c>
      <c r="Z1399">
        <v>308.16574500000002</v>
      </c>
    </row>
    <row r="1400" spans="1:26" hidden="1">
      <c r="A1400">
        <v>1399</v>
      </c>
      <c r="B1400" t="s">
        <v>5132</v>
      </c>
      <c r="C1400" t="s">
        <v>83</v>
      </c>
      <c r="D1400" s="1" t="b">
        <v>0</v>
      </c>
      <c r="E1400">
        <v>8.4919999999999995E-3</v>
      </c>
      <c r="F1400">
        <v>2.070990015</v>
      </c>
      <c r="M1400">
        <v>25</v>
      </c>
      <c r="N1400" t="s">
        <v>207</v>
      </c>
      <c r="X1400" t="s">
        <v>5133</v>
      </c>
      <c r="Y1400" t="s">
        <v>5134</v>
      </c>
      <c r="Z1400">
        <v>294.18648039999999</v>
      </c>
    </row>
    <row r="1401" spans="1:26">
      <c r="A1401">
        <v>1400</v>
      </c>
      <c r="B1401" t="s">
        <v>5135</v>
      </c>
      <c r="C1401" t="s">
        <v>161</v>
      </c>
      <c r="D1401" s="1" t="b">
        <v>1</v>
      </c>
      <c r="E1401">
        <v>3.8000000000000002E-4</v>
      </c>
      <c r="F1401">
        <v>3.420216403</v>
      </c>
      <c r="G1401">
        <v>34.799999999999997</v>
      </c>
      <c r="H1401">
        <v>3.7500000000000001E-6</v>
      </c>
      <c r="I1401">
        <v>0.44</v>
      </c>
      <c r="J1401">
        <v>37.950000000000003</v>
      </c>
      <c r="K1401">
        <v>5.6</v>
      </c>
      <c r="L1401">
        <v>2.5100000000000001E-6</v>
      </c>
      <c r="M1401">
        <v>20</v>
      </c>
      <c r="N1401" t="s">
        <v>162</v>
      </c>
      <c r="O1401" t="s">
        <v>4513</v>
      </c>
      <c r="P1401" t="s">
        <v>164</v>
      </c>
      <c r="R1401" t="s">
        <v>4513</v>
      </c>
      <c r="S1401" t="s">
        <v>31</v>
      </c>
      <c r="T1401" t="s">
        <v>4513</v>
      </c>
      <c r="U1401" t="s">
        <v>4513</v>
      </c>
      <c r="W1401" t="s">
        <v>5136</v>
      </c>
      <c r="X1401" t="s">
        <v>5137</v>
      </c>
      <c r="Y1401" t="s">
        <v>5138</v>
      </c>
      <c r="Z1401">
        <v>280.1708304</v>
      </c>
    </row>
    <row r="1402" spans="1:26">
      <c r="A1402">
        <v>1401</v>
      </c>
      <c r="B1402" t="s">
        <v>5139</v>
      </c>
      <c r="C1402" t="s">
        <v>161</v>
      </c>
      <c r="D1402" s="1" t="b">
        <v>1</v>
      </c>
      <c r="E1402">
        <v>1.8E-3</v>
      </c>
      <c r="F1402">
        <v>2.7447274949999998</v>
      </c>
      <c r="G1402">
        <v>29.3</v>
      </c>
      <c r="H1402">
        <v>3.9400000000000004E-6</v>
      </c>
      <c r="I1402">
        <v>0.42</v>
      </c>
      <c r="J1402">
        <v>43.45</v>
      </c>
      <c r="K1402">
        <v>5.2</v>
      </c>
      <c r="L1402">
        <v>6.3099999999999997E-6</v>
      </c>
      <c r="M1402">
        <v>20</v>
      </c>
      <c r="N1402" t="s">
        <v>162</v>
      </c>
      <c r="O1402" t="s">
        <v>163</v>
      </c>
      <c r="P1402" t="s">
        <v>164</v>
      </c>
      <c r="R1402" t="s">
        <v>4513</v>
      </c>
      <c r="S1402" t="s">
        <v>31</v>
      </c>
      <c r="T1402" t="s">
        <v>4513</v>
      </c>
      <c r="U1402" t="s">
        <v>4513</v>
      </c>
      <c r="W1402" t="s">
        <v>5140</v>
      </c>
      <c r="X1402" t="s">
        <v>5141</v>
      </c>
      <c r="Y1402" t="s">
        <v>5142</v>
      </c>
      <c r="Z1402">
        <v>280.1708304</v>
      </c>
    </row>
    <row r="1403" spans="1:26">
      <c r="A1403">
        <v>1402</v>
      </c>
      <c r="B1403" t="s">
        <v>5143</v>
      </c>
      <c r="C1403" t="s">
        <v>161</v>
      </c>
      <c r="D1403" s="1" t="b">
        <v>1</v>
      </c>
      <c r="E1403">
        <v>1.1999999999999999E-3</v>
      </c>
      <c r="F1403">
        <v>2.9208187539999999</v>
      </c>
      <c r="G1403">
        <v>33</v>
      </c>
      <c r="H1403">
        <v>3.5899999999999999E-6</v>
      </c>
      <c r="I1403">
        <v>0.46</v>
      </c>
      <c r="J1403">
        <v>39.75</v>
      </c>
      <c r="K1403">
        <v>5.4</v>
      </c>
      <c r="L1403">
        <v>3.98E-6</v>
      </c>
      <c r="M1403">
        <v>20</v>
      </c>
      <c r="N1403" t="s">
        <v>162</v>
      </c>
      <c r="O1403" t="s">
        <v>4513</v>
      </c>
      <c r="P1403" t="s">
        <v>164</v>
      </c>
      <c r="R1403" t="s">
        <v>4513</v>
      </c>
      <c r="S1403" t="s">
        <v>31</v>
      </c>
      <c r="T1403" t="s">
        <v>4513</v>
      </c>
      <c r="U1403" t="s">
        <v>4513</v>
      </c>
      <c r="W1403" t="s">
        <v>5144</v>
      </c>
      <c r="X1403" t="s">
        <v>5145</v>
      </c>
      <c r="Y1403" t="s">
        <v>5146</v>
      </c>
      <c r="Z1403">
        <v>280.1708304</v>
      </c>
    </row>
    <row r="1404" spans="1:26" hidden="1">
      <c r="A1404">
        <v>1403</v>
      </c>
      <c r="B1404" t="s">
        <v>5147</v>
      </c>
      <c r="C1404" t="s">
        <v>54</v>
      </c>
      <c r="D1404" s="1" t="b">
        <v>0</v>
      </c>
      <c r="E1404">
        <v>1.3999999999999999E-4</v>
      </c>
      <c r="F1404">
        <v>3.8538719640000001</v>
      </c>
      <c r="M1404">
        <v>25</v>
      </c>
      <c r="N1404" t="s">
        <v>89</v>
      </c>
      <c r="P1404" t="s">
        <v>103</v>
      </c>
      <c r="W1404" t="s">
        <v>5148</v>
      </c>
      <c r="X1404" t="s">
        <v>5149</v>
      </c>
      <c r="Y1404" t="s">
        <v>5150</v>
      </c>
      <c r="Z1404">
        <v>251.12486190000001</v>
      </c>
    </row>
    <row r="1405" spans="1:26" hidden="1">
      <c r="A1405">
        <v>1404</v>
      </c>
      <c r="B1405" t="s">
        <v>5151</v>
      </c>
      <c r="C1405" t="s">
        <v>28</v>
      </c>
      <c r="D1405" s="1" t="b">
        <v>0</v>
      </c>
      <c r="E1405">
        <v>2.5497641000000001E-2</v>
      </c>
      <c r="F1405">
        <v>1.5934999999999999</v>
      </c>
      <c r="M1405">
        <v>25</v>
      </c>
      <c r="N1405" t="s">
        <v>1849</v>
      </c>
      <c r="X1405" t="s">
        <v>5152</v>
      </c>
      <c r="Y1405" t="s">
        <v>5153</v>
      </c>
      <c r="Z1405">
        <v>524.23407380000003</v>
      </c>
    </row>
    <row r="1406" spans="1:26">
      <c r="A1406">
        <v>1405</v>
      </c>
      <c r="B1406" t="s">
        <v>5154</v>
      </c>
      <c r="C1406" t="s">
        <v>311</v>
      </c>
      <c r="D1406" s="1" t="b">
        <v>1</v>
      </c>
      <c r="E1406">
        <v>0.25</v>
      </c>
      <c r="F1406">
        <v>0.60205999099999996</v>
      </c>
      <c r="G1406" s="2"/>
      <c r="H1406" s="2"/>
      <c r="I1406" s="2"/>
      <c r="J1406" s="2"/>
      <c r="K1406" s="2"/>
      <c r="L1406" s="2"/>
      <c r="M1406" s="2">
        <v>27</v>
      </c>
      <c r="N1406" t="s">
        <v>135</v>
      </c>
      <c r="W1406" t="s">
        <v>5155</v>
      </c>
      <c r="X1406" t="s">
        <v>5156</v>
      </c>
      <c r="Y1406" t="s">
        <v>5157</v>
      </c>
      <c r="Z1406">
        <v>215.18852899999999</v>
      </c>
    </row>
    <row r="1407" spans="1:26" hidden="1">
      <c r="A1407">
        <v>1406</v>
      </c>
      <c r="B1407" t="s">
        <v>5158</v>
      </c>
      <c r="C1407" t="s">
        <v>28</v>
      </c>
      <c r="D1407" s="1" t="b">
        <v>0</v>
      </c>
      <c r="G1407">
        <v>55.2</v>
      </c>
      <c r="O1407" t="s">
        <v>29</v>
      </c>
      <c r="Q1407" t="s">
        <v>2250</v>
      </c>
      <c r="X1407" t="s">
        <v>5159</v>
      </c>
      <c r="Y1407" t="s">
        <v>5160</v>
      </c>
      <c r="Z1407">
        <v>648.3076327</v>
      </c>
    </row>
    <row r="1408" spans="1:26" hidden="1">
      <c r="A1408">
        <v>1407</v>
      </c>
      <c r="B1408" t="s">
        <v>5161</v>
      </c>
      <c r="C1408" t="s">
        <v>28</v>
      </c>
      <c r="D1408" s="1" t="b">
        <v>0</v>
      </c>
      <c r="E1408">
        <v>1.8220000000000001E-3</v>
      </c>
      <c r="F1408">
        <v>2.7394516269999998</v>
      </c>
      <c r="G1408">
        <v>49.1</v>
      </c>
      <c r="H1408">
        <v>5.1900000000000003E-7</v>
      </c>
      <c r="I1408">
        <v>3.2</v>
      </c>
      <c r="J1408">
        <v>22.9</v>
      </c>
      <c r="K1408">
        <v>3.42</v>
      </c>
      <c r="L1408">
        <v>3.8299999999999999E-4</v>
      </c>
      <c r="M1408">
        <v>25</v>
      </c>
      <c r="N1408" t="s">
        <v>2250</v>
      </c>
      <c r="O1408" t="s">
        <v>29</v>
      </c>
      <c r="Q1408" t="s">
        <v>2250</v>
      </c>
      <c r="R1408" t="s">
        <v>2250</v>
      </c>
      <c r="T1408" t="s">
        <v>2250</v>
      </c>
      <c r="U1408" t="s">
        <v>2250</v>
      </c>
      <c r="W1408" t="s">
        <v>5162</v>
      </c>
      <c r="X1408" t="s">
        <v>5163</v>
      </c>
      <c r="Y1408" t="s">
        <v>5164</v>
      </c>
      <c r="Z1408">
        <v>692.33384739999997</v>
      </c>
    </row>
    <row r="1409" spans="1:26" hidden="1">
      <c r="A1409">
        <v>1408</v>
      </c>
      <c r="B1409" t="s">
        <v>5165</v>
      </c>
      <c r="C1409" t="s">
        <v>28</v>
      </c>
      <c r="D1409" s="1" t="b">
        <v>0</v>
      </c>
      <c r="G1409">
        <v>52.2</v>
      </c>
      <c r="O1409" t="s">
        <v>29</v>
      </c>
      <c r="Q1409" t="s">
        <v>2250</v>
      </c>
      <c r="X1409" t="s">
        <v>5166</v>
      </c>
      <c r="Y1409" t="s">
        <v>5167</v>
      </c>
      <c r="Z1409">
        <v>736.36006220000002</v>
      </c>
    </row>
    <row r="1410" spans="1:26" hidden="1">
      <c r="A1410">
        <v>1409</v>
      </c>
      <c r="B1410" t="s">
        <v>5168</v>
      </c>
      <c r="C1410" t="s">
        <v>54</v>
      </c>
      <c r="D1410" s="1" t="b">
        <v>0</v>
      </c>
      <c r="G1410">
        <v>23</v>
      </c>
      <c r="O1410" t="s">
        <v>29</v>
      </c>
      <c r="Q1410" t="s">
        <v>1769</v>
      </c>
      <c r="X1410" t="s">
        <v>5169</v>
      </c>
      <c r="Y1410" t="s">
        <v>5170</v>
      </c>
      <c r="Z1410">
        <v>349.2344124</v>
      </c>
    </row>
    <row r="1411" spans="1:26" hidden="1">
      <c r="A1411">
        <v>1410</v>
      </c>
      <c r="B1411" t="s">
        <v>5171</v>
      </c>
      <c r="C1411" t="s">
        <v>28</v>
      </c>
      <c r="D1411" s="1" t="b">
        <v>0</v>
      </c>
      <c r="E1411">
        <v>2.5199968999999999E-2</v>
      </c>
      <c r="F1411">
        <v>1.5986</v>
      </c>
      <c r="M1411">
        <v>25</v>
      </c>
      <c r="N1411" t="s">
        <v>1849</v>
      </c>
      <c r="X1411" t="s">
        <v>5172</v>
      </c>
      <c r="Y1411" t="s">
        <v>5173</v>
      </c>
      <c r="Z1411">
        <v>556.29667410000002</v>
      </c>
    </row>
    <row r="1412" spans="1:26" hidden="1">
      <c r="A1412">
        <v>1411</v>
      </c>
      <c r="B1412" t="s">
        <v>5174</v>
      </c>
      <c r="C1412" t="s">
        <v>28</v>
      </c>
      <c r="D1412" s="1" t="b">
        <v>0</v>
      </c>
      <c r="E1412">
        <v>2.6302679999999998E-2</v>
      </c>
      <c r="F1412">
        <v>1.58</v>
      </c>
      <c r="G1412">
        <v>40.299999999999997</v>
      </c>
      <c r="H1412">
        <v>1.42E-6</v>
      </c>
      <c r="I1412">
        <v>1.17</v>
      </c>
      <c r="J1412">
        <v>31.7</v>
      </c>
      <c r="K1412">
        <v>2.0610755950000001</v>
      </c>
      <c r="L1412">
        <v>0.12731695500000001</v>
      </c>
      <c r="M1412">
        <v>25</v>
      </c>
      <c r="N1412" t="s">
        <v>1911</v>
      </c>
      <c r="O1412" t="s">
        <v>29</v>
      </c>
      <c r="Q1412" t="s">
        <v>1912</v>
      </c>
      <c r="R1412" t="s">
        <v>1912</v>
      </c>
      <c r="U1412" t="s">
        <v>31</v>
      </c>
      <c r="V1412" t="s">
        <v>31</v>
      </c>
      <c r="W1412" t="s">
        <v>5175</v>
      </c>
      <c r="X1412" t="s">
        <v>5176</v>
      </c>
      <c r="Y1412" t="s">
        <v>5177</v>
      </c>
      <c r="Z1412">
        <v>542.281024</v>
      </c>
    </row>
    <row r="1413" spans="1:26" hidden="1">
      <c r="A1413">
        <v>1412</v>
      </c>
      <c r="B1413" t="s">
        <v>5178</v>
      </c>
      <c r="C1413" t="s">
        <v>28</v>
      </c>
      <c r="D1413" s="1" t="b">
        <v>0</v>
      </c>
      <c r="E1413">
        <v>3.1002734000000001E-2</v>
      </c>
      <c r="F1413">
        <v>1.5085999999999999</v>
      </c>
      <c r="M1413">
        <v>25</v>
      </c>
      <c r="N1413" t="s">
        <v>1849</v>
      </c>
      <c r="X1413" t="s">
        <v>5179</v>
      </c>
      <c r="Y1413" t="s">
        <v>5180</v>
      </c>
      <c r="Z1413">
        <v>557.291923</v>
      </c>
    </row>
    <row r="1414" spans="1:26" hidden="1">
      <c r="A1414">
        <v>1413</v>
      </c>
      <c r="B1414" t="s">
        <v>5181</v>
      </c>
      <c r="C1414" t="s">
        <v>28</v>
      </c>
      <c r="D1414" s="1" t="b">
        <v>0</v>
      </c>
      <c r="E1414">
        <v>4.4004794999999999E-2</v>
      </c>
      <c r="F1414">
        <v>1.3565</v>
      </c>
      <c r="M1414">
        <v>25</v>
      </c>
      <c r="N1414" t="s">
        <v>1849</v>
      </c>
      <c r="X1414" t="s">
        <v>5182</v>
      </c>
      <c r="Y1414" t="s">
        <v>5183</v>
      </c>
      <c r="Z1414">
        <v>544.2602885</v>
      </c>
    </row>
    <row r="1415" spans="1:26" hidden="1">
      <c r="A1415">
        <v>1414</v>
      </c>
      <c r="B1415" t="s">
        <v>5184</v>
      </c>
      <c r="C1415" t="s">
        <v>28</v>
      </c>
      <c r="D1415" s="1" t="b">
        <v>0</v>
      </c>
      <c r="E1415">
        <v>2.6199922E-2</v>
      </c>
      <c r="F1415">
        <v>1.5817000000000001</v>
      </c>
      <c r="M1415">
        <v>25</v>
      </c>
      <c r="N1415" t="s">
        <v>1849</v>
      </c>
      <c r="X1415" t="s">
        <v>5185</v>
      </c>
      <c r="Y1415" t="s">
        <v>5186</v>
      </c>
      <c r="Z1415">
        <v>528.26537389999999</v>
      </c>
    </row>
    <row r="1416" spans="1:26">
      <c r="A1416">
        <v>1415</v>
      </c>
      <c r="B1416" s="2" t="s">
        <v>5187</v>
      </c>
      <c r="C1416" t="s">
        <v>28</v>
      </c>
      <c r="D1416" s="1" t="b">
        <v>1</v>
      </c>
      <c r="G1416">
        <v>35.9</v>
      </c>
      <c r="O1416" t="s">
        <v>29</v>
      </c>
      <c r="Q1416" t="s">
        <v>3796</v>
      </c>
      <c r="X1416" t="s">
        <v>5188</v>
      </c>
      <c r="Y1416" t="s">
        <v>5189</v>
      </c>
      <c r="Z1416">
        <v>442.13067139999998</v>
      </c>
    </row>
    <row r="1417" spans="1:26" hidden="1">
      <c r="A1417">
        <v>1416</v>
      </c>
      <c r="B1417" t="s">
        <v>5190</v>
      </c>
      <c r="C1417" t="s">
        <v>28</v>
      </c>
      <c r="D1417" s="1" t="b">
        <v>0</v>
      </c>
      <c r="E1417">
        <v>1.3800665E-2</v>
      </c>
      <c r="F1417">
        <v>1.8601000000000001</v>
      </c>
      <c r="M1417">
        <v>25</v>
      </c>
      <c r="N1417" t="s">
        <v>1849</v>
      </c>
      <c r="X1417" t="s">
        <v>5191</v>
      </c>
      <c r="Y1417" t="s">
        <v>5192</v>
      </c>
      <c r="Z1417">
        <v>514.24972390000005</v>
      </c>
    </row>
    <row r="1418" spans="1:26" hidden="1">
      <c r="A1418">
        <v>1417</v>
      </c>
      <c r="B1418" t="s">
        <v>5193</v>
      </c>
      <c r="C1418" t="s">
        <v>28</v>
      </c>
      <c r="D1418" s="1" t="b">
        <v>0</v>
      </c>
      <c r="E1418">
        <v>3.6999999999999998E-2</v>
      </c>
      <c r="F1418">
        <v>1.4317982760000001</v>
      </c>
      <c r="G1418">
        <v>37.1</v>
      </c>
      <c r="H1418">
        <v>1.6899999999999999E-6</v>
      </c>
      <c r="I1418">
        <v>0.98</v>
      </c>
      <c r="J1418">
        <v>34.9</v>
      </c>
      <c r="K1418">
        <v>1.946570817</v>
      </c>
      <c r="L1418">
        <v>0.142762793</v>
      </c>
      <c r="M1418">
        <v>25</v>
      </c>
      <c r="N1418" t="s">
        <v>1912</v>
      </c>
      <c r="O1418" t="s">
        <v>29</v>
      </c>
      <c r="Q1418" t="s">
        <v>1912</v>
      </c>
      <c r="R1418" t="s">
        <v>1912</v>
      </c>
      <c r="U1418" t="s">
        <v>31</v>
      </c>
      <c r="V1418" t="s">
        <v>31</v>
      </c>
      <c r="W1418" t="s">
        <v>5194</v>
      </c>
      <c r="X1418" t="s">
        <v>5195</v>
      </c>
      <c r="Y1418" t="s">
        <v>5196</v>
      </c>
      <c r="Z1418">
        <v>557.291923</v>
      </c>
    </row>
    <row r="1419" spans="1:26" hidden="1">
      <c r="A1419">
        <v>1418</v>
      </c>
      <c r="B1419" t="s">
        <v>5197</v>
      </c>
      <c r="C1419" t="s">
        <v>54</v>
      </c>
      <c r="D1419" s="1" t="b">
        <v>0</v>
      </c>
      <c r="E1419">
        <v>8.0500000000000005E-4</v>
      </c>
      <c r="F1419">
        <v>3.0942041200000001</v>
      </c>
      <c r="G1419">
        <v>34.700000000000003</v>
      </c>
      <c r="H1419">
        <v>1.0100000000000001E-6</v>
      </c>
      <c r="I1419">
        <v>1.65</v>
      </c>
      <c r="J1419">
        <v>37.07</v>
      </c>
      <c r="K1419">
        <v>4.53</v>
      </c>
      <c r="L1419">
        <v>2.9600000000000001E-5</v>
      </c>
      <c r="M1419">
        <v>25</v>
      </c>
      <c r="N1419" t="s">
        <v>2342</v>
      </c>
      <c r="O1419" t="s">
        <v>29</v>
      </c>
      <c r="Q1419" t="s">
        <v>2342</v>
      </c>
      <c r="R1419" t="s">
        <v>2342</v>
      </c>
      <c r="S1419" t="s">
        <v>2342</v>
      </c>
      <c r="T1419" t="s">
        <v>2342</v>
      </c>
      <c r="V1419" t="s">
        <v>2342</v>
      </c>
      <c r="W1419" t="s">
        <v>5198</v>
      </c>
      <c r="X1419" t="s">
        <v>5199</v>
      </c>
      <c r="Y1419" t="s">
        <v>5200</v>
      </c>
      <c r="Z1419">
        <v>428.20384050000001</v>
      </c>
    </row>
    <row r="1420" spans="1:26" hidden="1">
      <c r="A1420">
        <v>1419</v>
      </c>
      <c r="B1420" t="s">
        <v>5201</v>
      </c>
      <c r="C1420" t="s">
        <v>54</v>
      </c>
      <c r="D1420" s="1" t="b">
        <v>0</v>
      </c>
      <c r="E1420">
        <v>5.7800000000000004E-3</v>
      </c>
      <c r="F1420">
        <v>2.2380721619999999</v>
      </c>
      <c r="G1420">
        <v>37.799999999999997</v>
      </c>
      <c r="H1420">
        <v>1.06E-6</v>
      </c>
      <c r="I1420">
        <v>1.57</v>
      </c>
      <c r="J1420">
        <v>34.200000000000003</v>
      </c>
      <c r="K1420">
        <v>3.4</v>
      </c>
      <c r="L1420">
        <v>3.9899999999999999E-4</v>
      </c>
      <c r="M1420">
        <v>25</v>
      </c>
      <c r="N1420" t="s">
        <v>2353</v>
      </c>
      <c r="O1420" t="s">
        <v>29</v>
      </c>
      <c r="Q1420" t="s">
        <v>2353</v>
      </c>
      <c r="T1420" t="s">
        <v>2353</v>
      </c>
      <c r="U1420" t="s">
        <v>2353</v>
      </c>
      <c r="W1420" t="s">
        <v>5202</v>
      </c>
      <c r="X1420" t="s">
        <v>5203</v>
      </c>
      <c r="Y1420" t="s">
        <v>5204</v>
      </c>
      <c r="Z1420">
        <v>499.25085030000002</v>
      </c>
    </row>
    <row r="1421" spans="1:26" hidden="1">
      <c r="A1421">
        <v>1420</v>
      </c>
      <c r="B1421" t="s">
        <v>5205</v>
      </c>
      <c r="C1421" t="s">
        <v>54</v>
      </c>
      <c r="D1421" s="1" t="b">
        <v>0</v>
      </c>
      <c r="E1421">
        <v>1.719E-3</v>
      </c>
      <c r="F1421">
        <v>2.7647241230000001</v>
      </c>
      <c r="G1421">
        <v>35.9</v>
      </c>
      <c r="H1421">
        <v>7.9999999999999996E-7</v>
      </c>
      <c r="I1421">
        <v>2.02</v>
      </c>
      <c r="J1421">
        <v>35.93</v>
      </c>
      <c r="K1421">
        <v>4.58</v>
      </c>
      <c r="L1421">
        <v>2.62E-5</v>
      </c>
      <c r="M1421">
        <v>25</v>
      </c>
      <c r="N1421" t="s">
        <v>2362</v>
      </c>
      <c r="O1421" t="s">
        <v>29</v>
      </c>
      <c r="Q1421" t="s">
        <v>2362</v>
      </c>
      <c r="R1421" t="s">
        <v>2362</v>
      </c>
      <c r="S1421" t="s">
        <v>2362</v>
      </c>
      <c r="T1421" t="s">
        <v>2362</v>
      </c>
      <c r="V1421" t="s">
        <v>2362</v>
      </c>
      <c r="W1421" t="s">
        <v>5206</v>
      </c>
      <c r="X1421" t="s">
        <v>5207</v>
      </c>
      <c r="Y1421" t="s">
        <v>5208</v>
      </c>
      <c r="Z1421">
        <v>325.16164140000001</v>
      </c>
    </row>
    <row r="1422" spans="1:26" hidden="1">
      <c r="A1422">
        <v>1421</v>
      </c>
      <c r="B1422" t="s">
        <v>5209</v>
      </c>
      <c r="C1422" t="s">
        <v>28</v>
      </c>
      <c r="D1422" s="1" t="b">
        <v>0</v>
      </c>
      <c r="E1422">
        <v>2.1100000000000001E-2</v>
      </c>
      <c r="F1422">
        <v>1.6757175449999999</v>
      </c>
      <c r="M1422">
        <v>25</v>
      </c>
      <c r="N1422" t="s">
        <v>5210</v>
      </c>
      <c r="W1422" t="s">
        <v>5211</v>
      </c>
      <c r="X1422" t="s">
        <v>5212</v>
      </c>
      <c r="Y1422" t="s">
        <v>5213</v>
      </c>
      <c r="Z1422">
        <v>544.2602885</v>
      </c>
    </row>
    <row r="1423" spans="1:26" hidden="1">
      <c r="A1423">
        <v>1422</v>
      </c>
      <c r="B1423" t="s">
        <v>5214</v>
      </c>
      <c r="C1423" t="s">
        <v>28</v>
      </c>
      <c r="D1423" s="1" t="b">
        <v>0</v>
      </c>
      <c r="E1423">
        <v>3.6999852999999999E-2</v>
      </c>
      <c r="F1423">
        <v>1.4318</v>
      </c>
      <c r="M1423">
        <v>25</v>
      </c>
      <c r="N1423" t="s">
        <v>1849</v>
      </c>
      <c r="X1423" t="s">
        <v>5215</v>
      </c>
      <c r="Y1423" t="s">
        <v>5216</v>
      </c>
      <c r="Z1423">
        <v>560.23744490000001</v>
      </c>
    </row>
    <row r="1424" spans="1:26" hidden="1">
      <c r="A1424">
        <v>1423</v>
      </c>
      <c r="B1424" t="s">
        <v>5217</v>
      </c>
      <c r="C1424" t="s">
        <v>28</v>
      </c>
      <c r="D1424" s="1" t="b">
        <v>0</v>
      </c>
      <c r="E1424">
        <v>1.3599999999999999E-2</v>
      </c>
      <c r="F1424">
        <v>1.866461092</v>
      </c>
      <c r="G1424">
        <v>35.1</v>
      </c>
      <c r="H1424">
        <v>1.0699999999999999E-6</v>
      </c>
      <c r="I1424">
        <v>1.55</v>
      </c>
      <c r="J1424">
        <v>36.9</v>
      </c>
      <c r="K1424">
        <v>2.5581009269999999</v>
      </c>
      <c r="L1424">
        <v>7.7451687000000005E-2</v>
      </c>
      <c r="M1424">
        <v>25</v>
      </c>
      <c r="N1424" t="s">
        <v>3891</v>
      </c>
      <c r="O1424" t="s">
        <v>29</v>
      </c>
      <c r="Q1424" t="s">
        <v>3891</v>
      </c>
      <c r="R1424" t="s">
        <v>3891</v>
      </c>
      <c r="T1424" t="s">
        <v>3891</v>
      </c>
      <c r="U1424" t="s">
        <v>31</v>
      </c>
      <c r="V1424" t="s">
        <v>31</v>
      </c>
      <c r="W1424" t="s">
        <v>5218</v>
      </c>
      <c r="X1424" t="s">
        <v>5219</v>
      </c>
      <c r="Y1424" t="s">
        <v>5220</v>
      </c>
      <c r="Z1424">
        <v>749.34328570000002</v>
      </c>
    </row>
    <row r="1425" spans="1:26" hidden="1">
      <c r="A1425">
        <v>1424</v>
      </c>
      <c r="B1425" t="s">
        <v>5221</v>
      </c>
      <c r="C1425" t="s">
        <v>28</v>
      </c>
      <c r="D1425" s="1" t="b">
        <v>0</v>
      </c>
      <c r="E1425">
        <v>2.3501739000000001E-2</v>
      </c>
      <c r="F1425">
        <v>1.6289</v>
      </c>
      <c r="M1425">
        <v>25</v>
      </c>
      <c r="N1425" t="s">
        <v>1849</v>
      </c>
      <c r="X1425" t="s">
        <v>5222</v>
      </c>
      <c r="Y1425" t="s">
        <v>5223</v>
      </c>
      <c r="Z1425">
        <v>604.29667410000002</v>
      </c>
    </row>
    <row r="1426" spans="1:26" hidden="1">
      <c r="A1426">
        <v>1425</v>
      </c>
      <c r="B1426" t="s">
        <v>5224</v>
      </c>
      <c r="C1426" t="s">
        <v>28</v>
      </c>
      <c r="D1426" s="1" t="b">
        <v>0</v>
      </c>
      <c r="E1426">
        <v>2.4501913E-2</v>
      </c>
      <c r="F1426">
        <v>1.6108</v>
      </c>
      <c r="M1426">
        <v>25</v>
      </c>
      <c r="N1426" t="s">
        <v>1849</v>
      </c>
      <c r="X1426" t="s">
        <v>5225</v>
      </c>
      <c r="Y1426" t="s">
        <v>5226</v>
      </c>
      <c r="Z1426">
        <v>604.29667410000002</v>
      </c>
    </row>
    <row r="1427" spans="1:26" hidden="1">
      <c r="A1427">
        <v>1426</v>
      </c>
      <c r="B1427" t="s">
        <v>5227</v>
      </c>
      <c r="C1427" t="s">
        <v>28</v>
      </c>
      <c r="D1427" s="1" t="b">
        <v>0</v>
      </c>
      <c r="E1427">
        <v>2.2599561000000001E-2</v>
      </c>
      <c r="F1427">
        <v>1.6458999999999999</v>
      </c>
      <c r="M1427">
        <v>25</v>
      </c>
      <c r="N1427" t="s">
        <v>1849</v>
      </c>
      <c r="X1427" t="s">
        <v>5228</v>
      </c>
      <c r="Y1427" t="s">
        <v>5229</v>
      </c>
      <c r="Z1427">
        <v>604.29667410000002</v>
      </c>
    </row>
    <row r="1428" spans="1:26" hidden="1">
      <c r="A1428">
        <v>1427</v>
      </c>
      <c r="B1428" t="s">
        <v>5230</v>
      </c>
      <c r="C1428" t="s">
        <v>54</v>
      </c>
      <c r="D1428" s="1" t="b">
        <v>0</v>
      </c>
      <c r="E1428">
        <v>4.3100000000000001E-4</v>
      </c>
      <c r="F1428">
        <v>3.3655227299999999</v>
      </c>
      <c r="G1428">
        <v>41.3</v>
      </c>
      <c r="H1428">
        <v>9.7999999999999993E-7</v>
      </c>
      <c r="I1428">
        <v>0.16900000000000001</v>
      </c>
      <c r="J1428">
        <v>31</v>
      </c>
      <c r="K1428">
        <v>4.0999999999999996</v>
      </c>
      <c r="L1428">
        <v>7.9400000000000006E-5</v>
      </c>
      <c r="M1428">
        <v>20</v>
      </c>
      <c r="N1428" t="s">
        <v>2317</v>
      </c>
      <c r="O1428" t="s">
        <v>29</v>
      </c>
      <c r="Q1428" t="s">
        <v>2317</v>
      </c>
      <c r="R1428" t="s">
        <v>2317</v>
      </c>
      <c r="S1428" t="s">
        <v>2317</v>
      </c>
      <c r="T1428" t="s">
        <v>2317</v>
      </c>
      <c r="U1428" t="s">
        <v>2317</v>
      </c>
      <c r="W1428" t="s">
        <v>5231</v>
      </c>
      <c r="X1428" t="s">
        <v>5232</v>
      </c>
      <c r="Y1428" t="s">
        <v>5233</v>
      </c>
      <c r="Z1428">
        <v>526.23072400000001</v>
      </c>
    </row>
    <row r="1429" spans="1:26" hidden="1">
      <c r="A1429">
        <v>1428</v>
      </c>
      <c r="B1429" t="s">
        <v>5234</v>
      </c>
      <c r="C1429" t="s">
        <v>28</v>
      </c>
      <c r="D1429" s="1" t="b">
        <v>0</v>
      </c>
      <c r="E1429">
        <v>2.7699999999999999E-3</v>
      </c>
      <c r="F1429">
        <v>2.5575202309999998</v>
      </c>
      <c r="G1429">
        <v>29</v>
      </c>
      <c r="H1429">
        <v>2.03E-6</v>
      </c>
      <c r="I1429">
        <v>1.23</v>
      </c>
      <c r="J1429">
        <v>43</v>
      </c>
      <c r="K1429">
        <v>3.79</v>
      </c>
      <c r="L1429">
        <v>1.6200000000000001E-4</v>
      </c>
      <c r="M1429">
        <v>25</v>
      </c>
      <c r="N1429" t="s">
        <v>2423</v>
      </c>
      <c r="O1429" t="s">
        <v>29</v>
      </c>
      <c r="Q1429" t="s">
        <v>2423</v>
      </c>
      <c r="R1429" t="s">
        <v>2423</v>
      </c>
      <c r="S1429" t="s">
        <v>2423</v>
      </c>
      <c r="T1429" t="s">
        <v>2423</v>
      </c>
      <c r="U1429" t="s">
        <v>2423</v>
      </c>
      <c r="W1429" t="s">
        <v>5235</v>
      </c>
      <c r="X1429" t="s">
        <v>5236</v>
      </c>
      <c r="Y1429" t="s">
        <v>5237</v>
      </c>
      <c r="Z1429">
        <v>718.38588300000004</v>
      </c>
    </row>
    <row r="1430" spans="1:26">
      <c r="A1430">
        <v>1429</v>
      </c>
      <c r="B1430" s="2" t="s">
        <v>5238</v>
      </c>
      <c r="C1430" t="s">
        <v>28</v>
      </c>
      <c r="D1430" s="1" t="b">
        <v>1</v>
      </c>
      <c r="E1430">
        <v>3.3000000000000002E-2</v>
      </c>
      <c r="F1430">
        <v>1.4814860599999999</v>
      </c>
      <c r="G1430">
        <v>29.9</v>
      </c>
      <c r="H1430">
        <v>2.2699999999999999E-6</v>
      </c>
      <c r="I1430">
        <v>1.1000000000000001</v>
      </c>
      <c r="J1430">
        <v>42.1</v>
      </c>
      <c r="K1430">
        <v>2.54</v>
      </c>
      <c r="L1430">
        <v>2.8800000000000002E-3</v>
      </c>
      <c r="M1430">
        <v>25</v>
      </c>
      <c r="N1430" t="s">
        <v>2423</v>
      </c>
      <c r="O1430" t="s">
        <v>29</v>
      </c>
      <c r="Q1430" t="s">
        <v>2423</v>
      </c>
      <c r="R1430" t="s">
        <v>2423</v>
      </c>
      <c r="S1430" t="s">
        <v>2423</v>
      </c>
      <c r="T1430" t="s">
        <v>2423</v>
      </c>
      <c r="U1430" t="s">
        <v>2423</v>
      </c>
      <c r="W1430" t="s">
        <v>5239</v>
      </c>
      <c r="X1430" t="s">
        <v>5240</v>
      </c>
      <c r="Y1430" t="s">
        <v>5241</v>
      </c>
      <c r="Z1430">
        <v>600.28650330000005</v>
      </c>
    </row>
    <row r="1431" spans="1:26" hidden="1">
      <c r="A1431">
        <v>1430</v>
      </c>
      <c r="B1431" t="s">
        <v>5242</v>
      </c>
      <c r="C1431" t="s">
        <v>28</v>
      </c>
      <c r="D1431" s="1" t="b">
        <v>0</v>
      </c>
      <c r="E1431">
        <v>3.5479999999999998E-2</v>
      </c>
      <c r="F1431">
        <v>1.450016389</v>
      </c>
      <c r="M1431">
        <v>25</v>
      </c>
      <c r="N1431" t="s">
        <v>484</v>
      </c>
      <c r="X1431" t="s">
        <v>5243</v>
      </c>
      <c r="Y1431" t="s">
        <v>5244</v>
      </c>
      <c r="Z1431">
        <v>576.26537389999999</v>
      </c>
    </row>
    <row r="1432" spans="1:26" hidden="1">
      <c r="A1432">
        <v>1431</v>
      </c>
      <c r="B1432" t="s">
        <v>5245</v>
      </c>
      <c r="C1432" t="s">
        <v>28</v>
      </c>
      <c r="D1432" s="1" t="b">
        <v>0</v>
      </c>
      <c r="E1432">
        <v>4.7750000000000001E-2</v>
      </c>
      <c r="F1432">
        <v>1.3210266239999999</v>
      </c>
      <c r="M1432">
        <v>25</v>
      </c>
      <c r="N1432" t="s">
        <v>484</v>
      </c>
      <c r="X1432" t="s">
        <v>5246</v>
      </c>
      <c r="Y1432" t="s">
        <v>5247</v>
      </c>
      <c r="Z1432">
        <v>604.29667410000002</v>
      </c>
    </row>
    <row r="1433" spans="1:26" hidden="1">
      <c r="A1433">
        <v>1432</v>
      </c>
      <c r="B1433" t="s">
        <v>5248</v>
      </c>
      <c r="C1433" t="s">
        <v>54</v>
      </c>
      <c r="D1433" s="1" t="b">
        <v>0</v>
      </c>
      <c r="G1433">
        <v>31</v>
      </c>
      <c r="O1433" t="s">
        <v>29</v>
      </c>
      <c r="Q1433" t="s">
        <v>5249</v>
      </c>
      <c r="X1433" t="s">
        <v>5250</v>
      </c>
      <c r="Y1433" t="s">
        <v>5251</v>
      </c>
      <c r="Z1433">
        <v>241.15972740000001</v>
      </c>
    </row>
    <row r="1434" spans="1:26" hidden="1">
      <c r="A1434">
        <v>1433</v>
      </c>
      <c r="B1434" t="s">
        <v>5252</v>
      </c>
      <c r="C1434" t="s">
        <v>54</v>
      </c>
      <c r="D1434" s="1" t="b">
        <v>0</v>
      </c>
      <c r="G1434">
        <v>32.4</v>
      </c>
      <c r="O1434" t="s">
        <v>29</v>
      </c>
      <c r="Q1434" t="s">
        <v>5249</v>
      </c>
      <c r="X1434" t="s">
        <v>5253</v>
      </c>
      <c r="Y1434" t="s">
        <v>5254</v>
      </c>
      <c r="Z1434">
        <v>241.15972740000001</v>
      </c>
    </row>
    <row r="1435" spans="1:26" hidden="1">
      <c r="A1435">
        <v>1434</v>
      </c>
      <c r="B1435" t="s">
        <v>5255</v>
      </c>
      <c r="C1435" t="s">
        <v>28</v>
      </c>
      <c r="D1435" s="1" t="b">
        <v>0</v>
      </c>
      <c r="E1435">
        <v>1.37E-2</v>
      </c>
      <c r="F1435">
        <v>1.863279433</v>
      </c>
      <c r="G1435">
        <v>39.799999999999997</v>
      </c>
      <c r="J1435">
        <v>32.17</v>
      </c>
      <c r="M1435">
        <v>25</v>
      </c>
      <c r="N1435" t="s">
        <v>2997</v>
      </c>
      <c r="O1435" t="s">
        <v>2997</v>
      </c>
      <c r="S1435" t="s">
        <v>31</v>
      </c>
      <c r="U1435" t="s">
        <v>2997</v>
      </c>
      <c r="X1435" t="s">
        <v>5256</v>
      </c>
      <c r="Y1435" t="s">
        <v>5257</v>
      </c>
      <c r="Z1435">
        <v>598.18818620000002</v>
      </c>
    </row>
    <row r="1436" spans="1:26" hidden="1">
      <c r="A1436">
        <v>1435</v>
      </c>
      <c r="B1436" t="s">
        <v>5258</v>
      </c>
      <c r="C1436" t="s">
        <v>54</v>
      </c>
      <c r="D1436" s="1" t="b">
        <v>0</v>
      </c>
      <c r="G1436">
        <v>36.799999999999997</v>
      </c>
      <c r="O1436" t="s">
        <v>29</v>
      </c>
      <c r="Q1436" t="s">
        <v>5249</v>
      </c>
      <c r="X1436" t="s">
        <v>5259</v>
      </c>
      <c r="Y1436" t="s">
        <v>5260</v>
      </c>
      <c r="Z1436">
        <v>227.14407739999999</v>
      </c>
    </row>
    <row r="1437" spans="1:26" hidden="1">
      <c r="A1437">
        <v>1436</v>
      </c>
      <c r="B1437" t="s">
        <v>5261</v>
      </c>
      <c r="C1437" t="s">
        <v>54</v>
      </c>
      <c r="D1437" s="1" t="b">
        <v>0</v>
      </c>
      <c r="G1437">
        <v>31.8</v>
      </c>
      <c r="O1437" t="s">
        <v>29</v>
      </c>
      <c r="Q1437" t="s">
        <v>5249</v>
      </c>
      <c r="X1437" t="s">
        <v>5262</v>
      </c>
      <c r="Y1437" t="s">
        <v>5263</v>
      </c>
      <c r="Z1437">
        <v>241.15972740000001</v>
      </c>
    </row>
    <row r="1438" spans="1:26" hidden="1">
      <c r="A1438">
        <v>1437</v>
      </c>
      <c r="B1438" t="s">
        <v>5264</v>
      </c>
      <c r="C1438" t="s">
        <v>134</v>
      </c>
      <c r="D1438" s="13" t="b">
        <v>0</v>
      </c>
      <c r="E1438">
        <v>1.4E-3</v>
      </c>
      <c r="F1438">
        <v>2.8538719640000001</v>
      </c>
      <c r="M1438">
        <v>25</v>
      </c>
      <c r="N1438" t="s">
        <v>179</v>
      </c>
      <c r="X1438" t="s">
        <v>5265</v>
      </c>
      <c r="Y1438" t="s">
        <v>5266</v>
      </c>
      <c r="Z1438">
        <v>455.17423830000001</v>
      </c>
    </row>
    <row r="1439" spans="1:26" hidden="1">
      <c r="A1439">
        <v>1438</v>
      </c>
      <c r="B1439" t="s">
        <v>5267</v>
      </c>
      <c r="C1439" t="s">
        <v>83</v>
      </c>
      <c r="D1439" s="1" t="b">
        <v>0</v>
      </c>
      <c r="E1439">
        <v>1.2999999999999999E-4</v>
      </c>
      <c r="F1439">
        <v>3.8860566479999998</v>
      </c>
      <c r="M1439">
        <v>25</v>
      </c>
      <c r="N1439" t="s">
        <v>89</v>
      </c>
      <c r="P1439" t="s">
        <v>103</v>
      </c>
      <c r="W1439" t="s">
        <v>5268</v>
      </c>
      <c r="X1439" t="s">
        <v>5269</v>
      </c>
      <c r="Y1439" t="s">
        <v>5270</v>
      </c>
      <c r="Z1439">
        <v>278.22458019999999</v>
      </c>
    </row>
    <row r="1440" spans="1:26" hidden="1">
      <c r="A1440">
        <v>1439</v>
      </c>
      <c r="B1440" t="s">
        <v>5271</v>
      </c>
      <c r="C1440" t="s">
        <v>83</v>
      </c>
      <c r="D1440" s="1" t="b">
        <v>0</v>
      </c>
      <c r="E1440">
        <v>9.7E-5</v>
      </c>
      <c r="F1440">
        <v>4.0132282659999996</v>
      </c>
      <c r="M1440">
        <v>25</v>
      </c>
      <c r="N1440" t="s">
        <v>89</v>
      </c>
      <c r="P1440" t="s">
        <v>103</v>
      </c>
      <c r="W1440" t="s">
        <v>5272</v>
      </c>
      <c r="X1440" t="s">
        <v>5273</v>
      </c>
      <c r="Y1440" t="s">
        <v>5274</v>
      </c>
      <c r="Z1440">
        <v>322.25079490000002</v>
      </c>
    </row>
    <row r="1441" spans="1:26" hidden="1">
      <c r="A1441">
        <v>1440</v>
      </c>
      <c r="B1441" t="s">
        <v>5275</v>
      </c>
      <c r="C1441" t="s">
        <v>83</v>
      </c>
      <c r="D1441" s="1" t="b">
        <v>0</v>
      </c>
      <c r="E1441">
        <v>1.2999999999999999E-4</v>
      </c>
      <c r="F1441">
        <v>3.8860566479999998</v>
      </c>
      <c r="M1441">
        <v>25</v>
      </c>
      <c r="N1441" t="s">
        <v>89</v>
      </c>
      <c r="P1441" t="s">
        <v>103</v>
      </c>
      <c r="X1441" t="s">
        <v>5276</v>
      </c>
      <c r="Y1441" t="s">
        <v>5277</v>
      </c>
      <c r="Z1441">
        <v>366.27700970000001</v>
      </c>
    </row>
    <row r="1442" spans="1:26" hidden="1">
      <c r="A1442">
        <v>1441</v>
      </c>
      <c r="B1442" t="s">
        <v>5278</v>
      </c>
      <c r="C1442" t="s">
        <v>83</v>
      </c>
      <c r="D1442" s="1" t="b">
        <v>0</v>
      </c>
      <c r="E1442">
        <v>1.4999999999999999E-4</v>
      </c>
      <c r="F1442">
        <v>3.8239087409999999</v>
      </c>
      <c r="M1442">
        <v>25</v>
      </c>
      <c r="N1442" t="s">
        <v>89</v>
      </c>
      <c r="P1442" t="s">
        <v>103</v>
      </c>
      <c r="X1442" t="s">
        <v>5279</v>
      </c>
      <c r="Y1442" t="s">
        <v>5280</v>
      </c>
      <c r="Z1442">
        <v>410.30322439999998</v>
      </c>
    </row>
    <row r="1443" spans="1:26" hidden="1">
      <c r="A1443">
        <v>1442</v>
      </c>
      <c r="B1443" t="s">
        <v>5281</v>
      </c>
      <c r="C1443" t="s">
        <v>83</v>
      </c>
      <c r="D1443" s="1" t="b">
        <v>0</v>
      </c>
      <c r="E1443">
        <v>2.1000000000000001E-4</v>
      </c>
      <c r="F1443">
        <v>3.677780705</v>
      </c>
      <c r="M1443">
        <v>25</v>
      </c>
      <c r="N1443" t="s">
        <v>89</v>
      </c>
      <c r="P1443" t="s">
        <v>103</v>
      </c>
      <c r="X1443" t="s">
        <v>5282</v>
      </c>
      <c r="Y1443" t="s">
        <v>5283</v>
      </c>
      <c r="Z1443">
        <v>454.32943920000002</v>
      </c>
    </row>
    <row r="1444" spans="1:26" hidden="1">
      <c r="A1444">
        <v>1443</v>
      </c>
      <c r="B1444" t="s">
        <v>5284</v>
      </c>
      <c r="C1444" t="s">
        <v>83</v>
      </c>
      <c r="D1444" s="1" t="b">
        <v>0</v>
      </c>
      <c r="E1444">
        <v>2.5000000000000001E-4</v>
      </c>
      <c r="F1444">
        <v>3.602059991</v>
      </c>
      <c r="G1444">
        <v>30</v>
      </c>
      <c r="H1444">
        <v>2.9000000000000002E-6</v>
      </c>
      <c r="I1444">
        <v>0.56999999999999995</v>
      </c>
      <c r="J1444">
        <v>42</v>
      </c>
      <c r="K1444">
        <v>4.96</v>
      </c>
      <c r="L1444">
        <v>1.0900000000000001E-5</v>
      </c>
      <c r="M1444">
        <v>25</v>
      </c>
      <c r="N1444" t="s">
        <v>89</v>
      </c>
      <c r="P1444" t="s">
        <v>103</v>
      </c>
      <c r="R1444" t="s">
        <v>135</v>
      </c>
      <c r="S1444" t="s">
        <v>135</v>
      </c>
      <c r="X1444" t="s">
        <v>5285</v>
      </c>
      <c r="Y1444" t="s">
        <v>5286</v>
      </c>
      <c r="Z1444">
        <v>498.35565389999999</v>
      </c>
    </row>
    <row r="1445" spans="1:26" hidden="1">
      <c r="A1445">
        <v>1444</v>
      </c>
      <c r="B1445" t="s">
        <v>5287</v>
      </c>
      <c r="C1445" t="s">
        <v>83</v>
      </c>
      <c r="D1445" s="1" t="b">
        <v>0</v>
      </c>
      <c r="G1445">
        <v>29.8</v>
      </c>
      <c r="O1445" t="s">
        <v>29</v>
      </c>
      <c r="Q1445" t="s">
        <v>578</v>
      </c>
      <c r="X1445" t="s">
        <v>5288</v>
      </c>
      <c r="Y1445" t="s">
        <v>5289</v>
      </c>
      <c r="Z1445">
        <v>514.35056859999997</v>
      </c>
    </row>
    <row r="1446" spans="1:26" hidden="1">
      <c r="A1446">
        <v>1445</v>
      </c>
      <c r="B1446" t="s">
        <v>5290</v>
      </c>
      <c r="C1446" t="s">
        <v>83</v>
      </c>
      <c r="D1446" s="1" t="b">
        <v>0</v>
      </c>
      <c r="E1446">
        <v>2.7999999999999998E-4</v>
      </c>
      <c r="F1446">
        <v>3.5528419690000002</v>
      </c>
      <c r="G1446">
        <v>32</v>
      </c>
      <c r="H1446">
        <v>2.6000000000000001E-6</v>
      </c>
      <c r="I1446">
        <v>0.64</v>
      </c>
      <c r="J1446">
        <v>40</v>
      </c>
      <c r="K1446">
        <v>4.88</v>
      </c>
      <c r="L1446">
        <v>1.31E-5</v>
      </c>
      <c r="M1446">
        <v>25</v>
      </c>
      <c r="N1446" t="s">
        <v>89</v>
      </c>
      <c r="P1446" t="s">
        <v>103</v>
      </c>
      <c r="R1446" t="s">
        <v>135</v>
      </c>
      <c r="S1446" t="s">
        <v>135</v>
      </c>
      <c r="X1446" t="s">
        <v>5291</v>
      </c>
      <c r="Y1446" t="s">
        <v>5292</v>
      </c>
      <c r="Z1446">
        <v>542.38186870000004</v>
      </c>
    </row>
    <row r="1447" spans="1:26" hidden="1">
      <c r="A1447">
        <v>1446</v>
      </c>
      <c r="B1447" t="s">
        <v>5293</v>
      </c>
      <c r="C1447" t="s">
        <v>83</v>
      </c>
      <c r="D1447" s="1" t="b">
        <v>0</v>
      </c>
      <c r="G1447">
        <v>31.8</v>
      </c>
      <c r="O1447" t="s">
        <v>29</v>
      </c>
      <c r="Q1447" t="s">
        <v>578</v>
      </c>
      <c r="X1447" t="s">
        <v>5294</v>
      </c>
      <c r="Y1447" t="s">
        <v>5295</v>
      </c>
      <c r="Z1447">
        <v>558.37678330000006</v>
      </c>
    </row>
    <row r="1448" spans="1:26" hidden="1">
      <c r="A1448">
        <v>1447</v>
      </c>
      <c r="B1448" t="s">
        <v>5296</v>
      </c>
      <c r="C1448" t="s">
        <v>83</v>
      </c>
      <c r="D1448" s="1" t="b">
        <v>0</v>
      </c>
      <c r="G1448">
        <v>33.299999999999997</v>
      </c>
      <c r="O1448" t="s">
        <v>29</v>
      </c>
      <c r="Q1448" t="s">
        <v>578</v>
      </c>
      <c r="X1448" t="s">
        <v>5297</v>
      </c>
      <c r="Y1448" t="s">
        <v>5298</v>
      </c>
      <c r="Z1448">
        <v>602.40299809999999</v>
      </c>
    </row>
    <row r="1449" spans="1:26" hidden="1">
      <c r="A1449">
        <v>1448</v>
      </c>
      <c r="B1449" t="s">
        <v>5299</v>
      </c>
      <c r="C1449" t="s">
        <v>83</v>
      </c>
      <c r="D1449" s="1" t="b">
        <v>0</v>
      </c>
      <c r="G1449">
        <v>34.799999999999997</v>
      </c>
      <c r="O1449" t="s">
        <v>29</v>
      </c>
      <c r="Q1449" t="s">
        <v>578</v>
      </c>
      <c r="X1449" t="s">
        <v>5300</v>
      </c>
      <c r="Y1449" t="s">
        <v>5301</v>
      </c>
      <c r="Z1449">
        <v>646.42921279999996</v>
      </c>
    </row>
    <row r="1450" spans="1:26" hidden="1">
      <c r="A1450">
        <v>1449</v>
      </c>
      <c r="B1450" t="s">
        <v>5302</v>
      </c>
      <c r="C1450" t="s">
        <v>134</v>
      </c>
      <c r="D1450" s="13" t="b">
        <v>0</v>
      </c>
      <c r="E1450">
        <v>1.239E-2</v>
      </c>
      <c r="F1450">
        <v>1.9069286940000001</v>
      </c>
      <c r="M1450">
        <v>25</v>
      </c>
      <c r="N1450" t="s">
        <v>179</v>
      </c>
      <c r="P1450" t="s">
        <v>294</v>
      </c>
      <c r="W1450" t="s">
        <v>5303</v>
      </c>
      <c r="X1450" t="s">
        <v>5304</v>
      </c>
      <c r="Y1450" t="s">
        <v>5305</v>
      </c>
      <c r="Z1450">
        <v>292.1109098</v>
      </c>
    </row>
    <row r="1451" spans="1:26">
      <c r="A1451">
        <v>1450</v>
      </c>
      <c r="B1451" s="2" t="s">
        <v>5306</v>
      </c>
      <c r="C1451" t="s">
        <v>83</v>
      </c>
      <c r="D1451" s="1" t="b">
        <v>1</v>
      </c>
      <c r="E1451">
        <v>2.9999999999999997E-4</v>
      </c>
      <c r="F1451">
        <v>3.5228787449999999</v>
      </c>
      <c r="G1451" s="2">
        <v>33.5</v>
      </c>
      <c r="H1451" s="3">
        <v>2.5000000000000002E-6</v>
      </c>
      <c r="I1451" s="2">
        <f>66/100</f>
        <v>0.66</v>
      </c>
      <c r="J1451" s="2">
        <v>38.5</v>
      </c>
      <c r="K1451" s="2">
        <v>4.8</v>
      </c>
      <c r="L1451" s="2">
        <f>10^(-K1451)</f>
        <v>1.5848931924611131E-5</v>
      </c>
      <c r="M1451">
        <v>25</v>
      </c>
      <c r="N1451" t="s">
        <v>135</v>
      </c>
      <c r="R1451" s="2" t="s">
        <v>103</v>
      </c>
      <c r="S1451" s="2" t="s">
        <v>103</v>
      </c>
      <c r="T1451" s="2" t="s">
        <v>103</v>
      </c>
      <c r="U1451" s="2" t="s">
        <v>103</v>
      </c>
      <c r="X1451" t="s">
        <v>5307</v>
      </c>
      <c r="Y1451" t="s">
        <v>5308</v>
      </c>
      <c r="Z1451">
        <v>498.35565389999999</v>
      </c>
    </row>
    <row r="1452" spans="1:26">
      <c r="A1452">
        <v>1451</v>
      </c>
      <c r="B1452" s="2" t="s">
        <v>116</v>
      </c>
      <c r="C1452" t="s">
        <v>83</v>
      </c>
      <c r="D1452" s="1" t="b">
        <v>1</v>
      </c>
      <c r="E1452">
        <v>3.3E-4</v>
      </c>
      <c r="F1452">
        <v>3.4814860599999999</v>
      </c>
      <c r="G1452" s="2">
        <v>35</v>
      </c>
      <c r="H1452" s="3">
        <v>2.2000000000000001E-6</v>
      </c>
      <c r="I1452" s="2">
        <f>74.5/100</f>
        <v>0.745</v>
      </c>
      <c r="J1452" s="2">
        <v>37</v>
      </c>
      <c r="K1452" s="2">
        <v>4.72</v>
      </c>
      <c r="L1452" s="2">
        <f>10^(-K1452)</f>
        <v>1.9054607179632454E-5</v>
      </c>
      <c r="M1452">
        <v>25</v>
      </c>
      <c r="N1452" t="s">
        <v>135</v>
      </c>
      <c r="R1452" s="2" t="s">
        <v>103</v>
      </c>
      <c r="S1452" s="2" t="s">
        <v>103</v>
      </c>
      <c r="T1452" s="2" t="s">
        <v>103</v>
      </c>
      <c r="U1452" s="2" t="s">
        <v>103</v>
      </c>
      <c r="X1452" t="s">
        <v>5309</v>
      </c>
      <c r="Y1452" t="s">
        <v>5310</v>
      </c>
      <c r="Z1452">
        <v>542.38186870000004</v>
      </c>
    </row>
    <row r="1453" spans="1:26" hidden="1">
      <c r="A1453">
        <v>1452</v>
      </c>
      <c r="B1453" t="s">
        <v>5311</v>
      </c>
      <c r="C1453" t="s">
        <v>83</v>
      </c>
      <c r="D1453" s="1" t="b">
        <v>0</v>
      </c>
      <c r="E1453">
        <v>4.9549999999999998E-5</v>
      </c>
      <c r="F1453">
        <v>4.3049563409999996</v>
      </c>
      <c r="M1453">
        <v>25</v>
      </c>
      <c r="N1453" t="s">
        <v>207</v>
      </c>
      <c r="X1453" t="s">
        <v>5312</v>
      </c>
      <c r="Y1453" t="s">
        <v>5313</v>
      </c>
      <c r="Z1453">
        <v>250.19328010000001</v>
      </c>
    </row>
    <row r="1454" spans="1:26" hidden="1">
      <c r="A1454">
        <v>1453</v>
      </c>
      <c r="B1454" t="s">
        <v>5314</v>
      </c>
      <c r="C1454" t="s">
        <v>83</v>
      </c>
      <c r="D1454" s="1" t="b">
        <v>0</v>
      </c>
      <c r="E1454">
        <v>7.6559999999999999E-5</v>
      </c>
      <c r="F1454">
        <v>4.1159980750000003</v>
      </c>
      <c r="M1454">
        <v>25</v>
      </c>
      <c r="N1454" t="s">
        <v>207</v>
      </c>
      <c r="X1454" t="s">
        <v>5315</v>
      </c>
      <c r="Y1454" t="s">
        <v>5316</v>
      </c>
      <c r="Z1454">
        <v>294.21949480000001</v>
      </c>
    </row>
    <row r="1455" spans="1:26" hidden="1">
      <c r="A1455">
        <v>1454</v>
      </c>
      <c r="B1455" t="s">
        <v>5317</v>
      </c>
      <c r="C1455" t="s">
        <v>83</v>
      </c>
      <c r="D1455" s="1" t="b">
        <v>0</v>
      </c>
      <c r="E1455">
        <v>9.7050000000000001E-5</v>
      </c>
      <c r="F1455">
        <v>4.0130044600000003</v>
      </c>
      <c r="M1455">
        <v>25</v>
      </c>
      <c r="N1455" t="s">
        <v>207</v>
      </c>
      <c r="X1455" t="s">
        <v>5318</v>
      </c>
      <c r="Y1455" t="s">
        <v>5319</v>
      </c>
      <c r="Z1455">
        <v>338.2457096</v>
      </c>
    </row>
    <row r="1456" spans="1:26" hidden="1">
      <c r="A1456">
        <v>1455</v>
      </c>
      <c r="B1456" t="s">
        <v>5320</v>
      </c>
      <c r="C1456" t="s">
        <v>83</v>
      </c>
      <c r="D1456" s="1" t="b">
        <v>0</v>
      </c>
      <c r="E1456">
        <v>1.2999999999999999E-4</v>
      </c>
      <c r="F1456">
        <v>3.8860566479999998</v>
      </c>
      <c r="M1456">
        <v>25</v>
      </c>
      <c r="N1456" t="s">
        <v>207</v>
      </c>
      <c r="X1456" t="s">
        <v>5321</v>
      </c>
      <c r="Y1456" t="s">
        <v>5322</v>
      </c>
      <c r="Z1456">
        <v>382.27192430000002</v>
      </c>
    </row>
    <row r="1457" spans="1:26" hidden="1">
      <c r="A1457">
        <v>1456</v>
      </c>
      <c r="B1457" t="s">
        <v>5323</v>
      </c>
      <c r="C1457" t="s">
        <v>83</v>
      </c>
      <c r="D1457" s="1" t="b">
        <v>0</v>
      </c>
      <c r="E1457">
        <v>1.4999999999999999E-4</v>
      </c>
      <c r="F1457">
        <v>3.8239087409999999</v>
      </c>
      <c r="M1457">
        <v>25</v>
      </c>
      <c r="N1457" t="s">
        <v>207</v>
      </c>
      <c r="X1457" t="s">
        <v>5324</v>
      </c>
      <c r="Y1457" t="s">
        <v>5325</v>
      </c>
      <c r="Z1457">
        <v>426.29813910000001</v>
      </c>
    </row>
    <row r="1458" spans="1:26" hidden="1">
      <c r="A1458">
        <v>1457</v>
      </c>
      <c r="B1458" t="s">
        <v>5326</v>
      </c>
      <c r="C1458" t="s">
        <v>83</v>
      </c>
      <c r="D1458" s="1" t="b">
        <v>0</v>
      </c>
      <c r="E1458">
        <v>2.0990000000000001E-4</v>
      </c>
      <c r="F1458">
        <v>3.6779875610000001</v>
      </c>
      <c r="G1458">
        <v>30</v>
      </c>
      <c r="J1458">
        <v>42</v>
      </c>
      <c r="M1458">
        <v>25</v>
      </c>
      <c r="N1458" t="s">
        <v>207</v>
      </c>
      <c r="X1458" t="s">
        <v>5327</v>
      </c>
      <c r="Y1458" t="s">
        <v>5328</v>
      </c>
      <c r="Z1458">
        <v>470.32435379999998</v>
      </c>
    </row>
    <row r="1459" spans="1:26" hidden="1">
      <c r="A1459">
        <v>1458</v>
      </c>
      <c r="B1459" t="s">
        <v>5329</v>
      </c>
      <c r="C1459" t="s">
        <v>83</v>
      </c>
      <c r="D1459" s="1" t="b">
        <v>0</v>
      </c>
      <c r="E1459">
        <v>2.5000000000000001E-4</v>
      </c>
      <c r="F1459">
        <v>3.602059991</v>
      </c>
      <c r="M1459">
        <v>25</v>
      </c>
      <c r="N1459" t="s">
        <v>207</v>
      </c>
      <c r="X1459" t="s">
        <v>5330</v>
      </c>
      <c r="Y1459" t="s">
        <v>5331</v>
      </c>
      <c r="Z1459">
        <v>514.35056859999997</v>
      </c>
    </row>
    <row r="1460" spans="1:26" hidden="1">
      <c r="A1460">
        <v>1459</v>
      </c>
      <c r="B1460" t="s">
        <v>5332</v>
      </c>
      <c r="C1460" t="s">
        <v>83</v>
      </c>
      <c r="D1460" s="1" t="b">
        <v>0</v>
      </c>
      <c r="E1460">
        <v>2.7989999999999997E-4</v>
      </c>
      <c r="F1460">
        <v>3.552997102</v>
      </c>
      <c r="G1460">
        <v>32</v>
      </c>
      <c r="J1460">
        <v>40</v>
      </c>
      <c r="M1460">
        <v>25</v>
      </c>
      <c r="N1460" t="s">
        <v>207</v>
      </c>
      <c r="O1460" t="s">
        <v>2148</v>
      </c>
      <c r="X1460" t="s">
        <v>5333</v>
      </c>
      <c r="Y1460" t="s">
        <v>5334</v>
      </c>
      <c r="Z1460">
        <v>558.37678330000006</v>
      </c>
    </row>
    <row r="1461" spans="1:26" hidden="1">
      <c r="A1461">
        <v>1460</v>
      </c>
      <c r="B1461" t="s">
        <v>5335</v>
      </c>
      <c r="C1461" t="s">
        <v>83</v>
      </c>
      <c r="D1461" s="1" t="b">
        <v>0</v>
      </c>
      <c r="E1461">
        <v>2.9990000000000003E-4</v>
      </c>
      <c r="F1461">
        <v>3.523023534</v>
      </c>
      <c r="G1461">
        <v>33.5</v>
      </c>
      <c r="J1461">
        <v>38.5</v>
      </c>
      <c r="M1461">
        <v>25</v>
      </c>
      <c r="N1461" t="s">
        <v>207</v>
      </c>
      <c r="O1461" t="s">
        <v>2148</v>
      </c>
      <c r="X1461" t="s">
        <v>5336</v>
      </c>
      <c r="Y1461" t="s">
        <v>5337</v>
      </c>
      <c r="Z1461">
        <v>602.40299809999999</v>
      </c>
    </row>
    <row r="1462" spans="1:26" hidden="1">
      <c r="A1462">
        <v>1461</v>
      </c>
      <c r="B1462" t="s">
        <v>5338</v>
      </c>
      <c r="C1462" t="s">
        <v>83</v>
      </c>
      <c r="D1462" s="1" t="b">
        <v>0</v>
      </c>
      <c r="E1462">
        <v>3.3040000000000001E-4</v>
      </c>
      <c r="F1462">
        <v>3.4809599609999999</v>
      </c>
      <c r="G1462">
        <v>35</v>
      </c>
      <c r="J1462">
        <v>37</v>
      </c>
      <c r="M1462">
        <v>25</v>
      </c>
      <c r="N1462" t="s">
        <v>207</v>
      </c>
      <c r="O1462" t="s">
        <v>2148</v>
      </c>
      <c r="X1462" t="s">
        <v>5339</v>
      </c>
      <c r="Y1462" t="s">
        <v>5340</v>
      </c>
      <c r="Z1462">
        <v>646.42921279999996</v>
      </c>
    </row>
    <row r="1463" spans="1:26" hidden="1">
      <c r="A1463">
        <v>1462</v>
      </c>
      <c r="B1463" t="s">
        <v>5341</v>
      </c>
      <c r="C1463" t="s">
        <v>83</v>
      </c>
      <c r="D1463" s="1" t="b">
        <v>0</v>
      </c>
      <c r="E1463">
        <v>1.099E-4</v>
      </c>
      <c r="F1463">
        <v>3.9590023080000001</v>
      </c>
      <c r="M1463">
        <v>25</v>
      </c>
      <c r="N1463" t="s">
        <v>207</v>
      </c>
      <c r="X1463" t="s">
        <v>5342</v>
      </c>
      <c r="Y1463" t="s">
        <v>5343</v>
      </c>
      <c r="Z1463">
        <v>1526.9535080000001</v>
      </c>
    </row>
    <row r="1464" spans="1:26" hidden="1">
      <c r="A1464">
        <v>1463</v>
      </c>
      <c r="B1464" t="s">
        <v>5344</v>
      </c>
      <c r="C1464" t="s">
        <v>83</v>
      </c>
      <c r="D1464" s="1" t="b">
        <v>0</v>
      </c>
      <c r="E1464">
        <v>7.6030000000000002E-5</v>
      </c>
      <c r="F1464">
        <v>4.11901501</v>
      </c>
      <c r="M1464">
        <v>25</v>
      </c>
      <c r="N1464" t="s">
        <v>207</v>
      </c>
      <c r="X1464" t="s">
        <v>5345</v>
      </c>
      <c r="Y1464" t="s">
        <v>5346</v>
      </c>
      <c r="Z1464">
        <v>1967.215655</v>
      </c>
    </row>
    <row r="1465" spans="1:26" hidden="1">
      <c r="A1465">
        <v>1464</v>
      </c>
      <c r="B1465" t="s">
        <v>5347</v>
      </c>
      <c r="C1465" t="s">
        <v>54</v>
      </c>
      <c r="D1465" s="1" t="b">
        <v>0</v>
      </c>
      <c r="G1465">
        <v>37</v>
      </c>
      <c r="O1465" t="s">
        <v>29</v>
      </c>
      <c r="Q1465" t="s">
        <v>5348</v>
      </c>
      <c r="X1465" t="s">
        <v>5349</v>
      </c>
      <c r="Y1465" t="s">
        <v>5350</v>
      </c>
      <c r="Z1465">
        <v>230.15497640000001</v>
      </c>
    </row>
    <row r="1466" spans="1:26" hidden="1">
      <c r="A1466">
        <v>1465</v>
      </c>
      <c r="B1466" t="s">
        <v>5351</v>
      </c>
      <c r="C1466" t="s">
        <v>54</v>
      </c>
      <c r="D1466" s="1" t="b">
        <v>0</v>
      </c>
      <c r="G1466">
        <v>34.5</v>
      </c>
      <c r="O1466" t="s">
        <v>29</v>
      </c>
      <c r="Q1466" t="s">
        <v>5348</v>
      </c>
      <c r="X1466" t="s">
        <v>5352</v>
      </c>
      <c r="Y1466" t="s">
        <v>5353</v>
      </c>
      <c r="Z1466">
        <v>322.09059669999999</v>
      </c>
    </row>
    <row r="1467" spans="1:26" hidden="1">
      <c r="A1467">
        <v>1466</v>
      </c>
      <c r="B1467" t="s">
        <v>5354</v>
      </c>
      <c r="C1467" t="s">
        <v>28</v>
      </c>
      <c r="D1467" s="1" t="b">
        <v>0</v>
      </c>
      <c r="E1467">
        <v>4.365E-3</v>
      </c>
      <c r="F1467">
        <v>2.3600157519999998</v>
      </c>
      <c r="M1467">
        <v>25</v>
      </c>
      <c r="N1467" t="s">
        <v>484</v>
      </c>
      <c r="P1467" t="s">
        <v>648</v>
      </c>
      <c r="X1467" t="s">
        <v>5355</v>
      </c>
      <c r="Y1467" t="s">
        <v>5356</v>
      </c>
      <c r="Z1467">
        <v>488.3048675</v>
      </c>
    </row>
    <row r="1468" spans="1:26" hidden="1">
      <c r="A1468">
        <v>1467</v>
      </c>
      <c r="B1468" t="s">
        <v>5357</v>
      </c>
      <c r="C1468" t="s">
        <v>28</v>
      </c>
      <c r="D1468" s="1" t="b">
        <v>0</v>
      </c>
      <c r="E1468">
        <v>1.3489629999999999E-3</v>
      </c>
      <c r="F1468">
        <v>2.87</v>
      </c>
      <c r="G1468">
        <v>34.200000000000003</v>
      </c>
      <c r="H1468">
        <v>2.2800000000000002E-6</v>
      </c>
      <c r="I1468">
        <v>0.77</v>
      </c>
      <c r="J1468">
        <v>37.799999999999997</v>
      </c>
      <c r="K1468">
        <v>3.3258279630000001</v>
      </c>
      <c r="L1468">
        <v>3.5942746999999997E-2</v>
      </c>
      <c r="M1468">
        <v>25</v>
      </c>
      <c r="N1468" t="s">
        <v>2484</v>
      </c>
      <c r="O1468" t="s">
        <v>2484</v>
      </c>
      <c r="P1468" t="s">
        <v>2484</v>
      </c>
      <c r="R1468" t="s">
        <v>2484</v>
      </c>
      <c r="S1468" t="s">
        <v>2484</v>
      </c>
      <c r="T1468" t="s">
        <v>2484</v>
      </c>
      <c r="U1468" t="s">
        <v>31</v>
      </c>
      <c r="V1468" t="s">
        <v>31</v>
      </c>
      <c r="X1468" t="s">
        <v>5358</v>
      </c>
      <c r="Y1468" t="s">
        <v>5359</v>
      </c>
      <c r="Z1468">
        <v>574.37803240000005</v>
      </c>
    </row>
    <row r="1469" spans="1:26" hidden="1">
      <c r="A1469">
        <v>1468</v>
      </c>
      <c r="B1469" t="s">
        <v>5360</v>
      </c>
      <c r="C1469" t="s">
        <v>28</v>
      </c>
      <c r="D1469" s="1" t="b">
        <v>0</v>
      </c>
      <c r="E1469">
        <v>1.479108E-3</v>
      </c>
      <c r="F1469">
        <v>2.83</v>
      </c>
      <c r="G1469">
        <v>45.6</v>
      </c>
      <c r="H1469">
        <v>2.3999999999999999E-6</v>
      </c>
      <c r="I1469">
        <v>0.72</v>
      </c>
      <c r="J1469">
        <v>26.4</v>
      </c>
      <c r="K1469">
        <v>2.98569854</v>
      </c>
      <c r="L1469">
        <v>5.0504212E-2</v>
      </c>
      <c r="M1469">
        <v>25</v>
      </c>
      <c r="N1469" t="s">
        <v>2484</v>
      </c>
      <c r="O1469" t="s">
        <v>2484</v>
      </c>
      <c r="P1469" t="s">
        <v>2484</v>
      </c>
      <c r="R1469" t="s">
        <v>2484</v>
      </c>
      <c r="S1469" t="s">
        <v>2484</v>
      </c>
      <c r="T1469" t="s">
        <v>2484</v>
      </c>
      <c r="U1469" t="s">
        <v>31</v>
      </c>
      <c r="V1469" t="s">
        <v>31</v>
      </c>
      <c r="X1469" t="s">
        <v>5361</v>
      </c>
      <c r="Y1469" t="s">
        <v>5362</v>
      </c>
      <c r="Z1469">
        <v>560.36238230000004</v>
      </c>
    </row>
    <row r="1470" spans="1:26" hidden="1">
      <c r="A1470">
        <v>1469</v>
      </c>
      <c r="B1470" t="s">
        <v>5363</v>
      </c>
      <c r="C1470" t="s">
        <v>28</v>
      </c>
      <c r="D1470" s="1" t="b">
        <v>0</v>
      </c>
      <c r="E1470">
        <v>1.62181E-3</v>
      </c>
      <c r="F1470">
        <v>2.79</v>
      </c>
      <c r="G1470">
        <v>46.7</v>
      </c>
      <c r="H1470">
        <v>2.43E-6</v>
      </c>
      <c r="I1470">
        <v>0.7</v>
      </c>
      <c r="J1470">
        <v>25.3</v>
      </c>
      <c r="K1470">
        <v>2.9173460279999999</v>
      </c>
      <c r="L1470">
        <v>5.4077015999999999E-2</v>
      </c>
      <c r="M1470">
        <v>25</v>
      </c>
      <c r="N1470" t="s">
        <v>2484</v>
      </c>
      <c r="O1470" t="s">
        <v>2484</v>
      </c>
      <c r="P1470" t="s">
        <v>2484</v>
      </c>
      <c r="R1470" t="s">
        <v>2484</v>
      </c>
      <c r="S1470" t="s">
        <v>2484</v>
      </c>
      <c r="T1470" t="s">
        <v>2484</v>
      </c>
      <c r="U1470" t="s">
        <v>31</v>
      </c>
      <c r="V1470" t="s">
        <v>31</v>
      </c>
      <c r="X1470" t="s">
        <v>5364</v>
      </c>
      <c r="Y1470" t="s">
        <v>5365</v>
      </c>
      <c r="Z1470">
        <v>546.34673229999999</v>
      </c>
    </row>
    <row r="1471" spans="1:26" hidden="1">
      <c r="A1471">
        <v>1470</v>
      </c>
      <c r="B1471" t="s">
        <v>5366</v>
      </c>
      <c r="C1471" t="s">
        <v>28</v>
      </c>
      <c r="D1471" s="1" t="b">
        <v>0</v>
      </c>
      <c r="E1471">
        <v>1.778279E-3</v>
      </c>
      <c r="F1471">
        <v>2.75</v>
      </c>
      <c r="G1471">
        <v>47.9</v>
      </c>
      <c r="H1471">
        <v>2.4600000000000002E-6</v>
      </c>
      <c r="I1471">
        <v>0.68</v>
      </c>
      <c r="J1471">
        <v>24.1</v>
      </c>
      <c r="K1471">
        <v>2.8473115880000002</v>
      </c>
      <c r="L1471">
        <v>5.8000039000000003E-2</v>
      </c>
      <c r="M1471">
        <v>25</v>
      </c>
      <c r="N1471" t="s">
        <v>2484</v>
      </c>
      <c r="O1471" t="s">
        <v>2484</v>
      </c>
      <c r="P1471" t="s">
        <v>2484</v>
      </c>
      <c r="R1471" t="s">
        <v>2484</v>
      </c>
      <c r="S1471" t="s">
        <v>2484</v>
      </c>
      <c r="T1471" t="s">
        <v>2484</v>
      </c>
      <c r="U1471" t="s">
        <v>31</v>
      </c>
      <c r="V1471" t="s">
        <v>31</v>
      </c>
      <c r="X1471" t="s">
        <v>5367</v>
      </c>
      <c r="Y1471" t="s">
        <v>5368</v>
      </c>
      <c r="Z1471">
        <v>532.33108219999997</v>
      </c>
    </row>
    <row r="1472" spans="1:26" hidden="1">
      <c r="A1472">
        <v>1471</v>
      </c>
      <c r="B1472" t="s">
        <v>5369</v>
      </c>
      <c r="C1472" t="s">
        <v>28</v>
      </c>
      <c r="D1472" s="1" t="b">
        <v>0</v>
      </c>
      <c r="E1472">
        <v>1.905461E-3</v>
      </c>
      <c r="F1472">
        <v>2.72</v>
      </c>
      <c r="G1472">
        <v>48.9</v>
      </c>
      <c r="H1472">
        <v>2.4899999999999999E-6</v>
      </c>
      <c r="I1472">
        <v>0.66</v>
      </c>
      <c r="J1472">
        <v>23.1</v>
      </c>
      <c r="K1472">
        <v>2.7926905839999998</v>
      </c>
      <c r="L1472">
        <v>6.1256177000000002E-2</v>
      </c>
      <c r="M1472">
        <v>25</v>
      </c>
      <c r="N1472" t="s">
        <v>2484</v>
      </c>
      <c r="O1472" t="s">
        <v>2484</v>
      </c>
      <c r="P1472" t="s">
        <v>2484</v>
      </c>
      <c r="R1472" t="s">
        <v>2484</v>
      </c>
      <c r="S1472" t="s">
        <v>2484</v>
      </c>
      <c r="T1472" t="s">
        <v>2484</v>
      </c>
      <c r="U1472" t="s">
        <v>31</v>
      </c>
      <c r="V1472" t="s">
        <v>31</v>
      </c>
      <c r="X1472" t="s">
        <v>5370</v>
      </c>
      <c r="Y1472" t="s">
        <v>5371</v>
      </c>
      <c r="Z1472">
        <v>518.31543209999995</v>
      </c>
    </row>
    <row r="1473" spans="1:26">
      <c r="A1473">
        <v>1472</v>
      </c>
      <c r="B1473" s="2" t="s">
        <v>5372</v>
      </c>
      <c r="C1473" t="s">
        <v>161</v>
      </c>
      <c r="D1473" s="1" t="b">
        <v>1</v>
      </c>
      <c r="E1473">
        <v>8.3000000000000004E-2</v>
      </c>
      <c r="F1473">
        <v>1.0809219080000001</v>
      </c>
      <c r="G1473">
        <v>32.200000000000003</v>
      </c>
      <c r="H1473">
        <v>2.5299999999999999E-6</v>
      </c>
      <c r="I1473">
        <v>0.66</v>
      </c>
      <c r="J1473">
        <v>39.799999999999997</v>
      </c>
      <c r="K1473">
        <v>2.5</v>
      </c>
      <c r="L1473">
        <v>3.16E-3</v>
      </c>
      <c r="M1473">
        <v>25</v>
      </c>
      <c r="N1473" t="s">
        <v>162</v>
      </c>
      <c r="O1473" t="s">
        <v>163</v>
      </c>
      <c r="P1473" t="s">
        <v>164</v>
      </c>
      <c r="R1473" t="s">
        <v>3155</v>
      </c>
      <c r="W1473" t="s">
        <v>5373</v>
      </c>
      <c r="X1473" t="s">
        <v>5374</v>
      </c>
      <c r="Y1473" t="s">
        <v>5375</v>
      </c>
      <c r="Z1473">
        <v>455.23666100000003</v>
      </c>
    </row>
    <row r="1474" spans="1:26">
      <c r="A1474">
        <v>1473</v>
      </c>
      <c r="B1474" s="2" t="s">
        <v>5376</v>
      </c>
      <c r="C1474" t="s">
        <v>161</v>
      </c>
      <c r="D1474" s="1" t="b">
        <v>1</v>
      </c>
      <c r="E1474">
        <v>0.01</v>
      </c>
      <c r="F1474">
        <v>2</v>
      </c>
      <c r="G1474">
        <v>30</v>
      </c>
      <c r="H1474" s="3">
        <v>3.4999999999999999E-6</v>
      </c>
      <c r="I1474" s="2">
        <v>0.48</v>
      </c>
      <c r="J1474">
        <v>41.97</v>
      </c>
      <c r="K1474" s="2">
        <v>3.2</v>
      </c>
      <c r="L1474" s="2">
        <f>10^(-K1474)</f>
        <v>6.3095734448019244E-4</v>
      </c>
      <c r="M1474">
        <v>25</v>
      </c>
      <c r="N1474" t="s">
        <v>162</v>
      </c>
      <c r="O1474" t="s">
        <v>163</v>
      </c>
      <c r="P1474" t="s">
        <v>164</v>
      </c>
      <c r="Q1474" s="2" t="s">
        <v>4345</v>
      </c>
      <c r="R1474" s="2" t="s">
        <v>4345</v>
      </c>
      <c r="S1474" t="s">
        <v>31</v>
      </c>
      <c r="T1474" s="2" t="s">
        <v>4345</v>
      </c>
      <c r="U1474" s="2" t="s">
        <v>4345</v>
      </c>
      <c r="V1474" s="2" t="s">
        <v>31</v>
      </c>
      <c r="W1474" t="s">
        <v>5377</v>
      </c>
      <c r="X1474" t="s">
        <v>5378</v>
      </c>
      <c r="Y1474" t="s">
        <v>5379</v>
      </c>
      <c r="Z1474">
        <v>338.19406789999999</v>
      </c>
    </row>
    <row r="1475" spans="1:26">
      <c r="A1475">
        <v>1474</v>
      </c>
      <c r="B1475" s="2" t="s">
        <v>5380</v>
      </c>
      <c r="C1475" t="s">
        <v>161</v>
      </c>
      <c r="D1475" s="1" t="b">
        <v>1</v>
      </c>
      <c r="E1475">
        <v>9.1999999999999998E-3</v>
      </c>
      <c r="F1475">
        <v>2.036212173</v>
      </c>
      <c r="H1475">
        <v>4.6E-6</v>
      </c>
      <c r="I1475">
        <v>0.36</v>
      </c>
      <c r="K1475">
        <v>2.9</v>
      </c>
      <c r="L1475">
        <v>1.2589249999999999E-3</v>
      </c>
      <c r="M1475">
        <v>25</v>
      </c>
      <c r="N1475" t="s">
        <v>162</v>
      </c>
      <c r="P1475" t="s">
        <v>164</v>
      </c>
      <c r="R1475" t="s">
        <v>4345</v>
      </c>
      <c r="T1475" t="s">
        <v>4345</v>
      </c>
      <c r="U1475" t="s">
        <v>4345</v>
      </c>
      <c r="W1475" t="s">
        <v>5381</v>
      </c>
      <c r="X1475" t="s">
        <v>5382</v>
      </c>
      <c r="Y1475" t="s">
        <v>5383</v>
      </c>
      <c r="Z1475">
        <v>310.19915329999998</v>
      </c>
    </row>
    <row r="1476" spans="1:26">
      <c r="A1476">
        <v>1475</v>
      </c>
      <c r="B1476" s="2" t="s">
        <v>5384</v>
      </c>
      <c r="C1476" t="s">
        <v>83</v>
      </c>
      <c r="D1476" s="1" t="b">
        <v>1</v>
      </c>
      <c r="E1476">
        <v>9.2040000000000004E-3</v>
      </c>
      <c r="F1476">
        <v>2.03602339</v>
      </c>
      <c r="M1476">
        <v>25</v>
      </c>
      <c r="N1476" t="s">
        <v>207</v>
      </c>
      <c r="X1476" t="s">
        <v>5385</v>
      </c>
      <c r="Y1476" t="s">
        <v>5386</v>
      </c>
      <c r="Z1476">
        <v>247.15454879999999</v>
      </c>
    </row>
    <row r="1477" spans="1:26">
      <c r="A1477">
        <v>1476</v>
      </c>
      <c r="B1477" s="2" t="s">
        <v>5387</v>
      </c>
      <c r="C1477" t="s">
        <v>83</v>
      </c>
      <c r="D1477" s="1" t="b">
        <v>1</v>
      </c>
      <c r="E1477">
        <v>1.7989999999999999E-2</v>
      </c>
      <c r="F1477">
        <v>1.7449688370000001</v>
      </c>
      <c r="M1477">
        <v>25</v>
      </c>
      <c r="N1477" t="s">
        <v>207</v>
      </c>
      <c r="X1477" t="s">
        <v>5388</v>
      </c>
      <c r="Y1477" t="s">
        <v>5389</v>
      </c>
      <c r="Z1477">
        <v>277.16511350000002</v>
      </c>
    </row>
    <row r="1478" spans="1:26" hidden="1">
      <c r="A1478">
        <v>1477</v>
      </c>
      <c r="B1478" t="s">
        <v>5390</v>
      </c>
      <c r="C1478" t="s">
        <v>134</v>
      </c>
      <c r="D1478" s="13" t="b">
        <v>0</v>
      </c>
      <c r="E1478">
        <v>0.2198</v>
      </c>
      <c r="F1478">
        <v>0.65797231199999995</v>
      </c>
      <c r="M1478">
        <v>25</v>
      </c>
      <c r="N1478" t="s">
        <v>179</v>
      </c>
      <c r="P1478" t="s">
        <v>294</v>
      </c>
      <c r="W1478" t="s">
        <v>5391</v>
      </c>
      <c r="X1478" t="s">
        <v>5392</v>
      </c>
      <c r="Y1478" t="s">
        <v>5393</v>
      </c>
      <c r="Z1478">
        <v>218.05887419999999</v>
      </c>
    </row>
    <row r="1479" spans="1:26" hidden="1">
      <c r="A1479">
        <v>1478</v>
      </c>
      <c r="B1479" t="s">
        <v>5394</v>
      </c>
      <c r="C1479" t="s">
        <v>134</v>
      </c>
      <c r="D1479" s="13" t="b">
        <v>0</v>
      </c>
      <c r="E1479">
        <v>2.6179999999999998E-2</v>
      </c>
      <c r="F1479">
        <v>1.5820303579999999</v>
      </c>
      <c r="M1479">
        <v>25</v>
      </c>
      <c r="N1479" t="s">
        <v>179</v>
      </c>
      <c r="P1479" t="s">
        <v>294</v>
      </c>
      <c r="W1479" t="s">
        <v>5395</v>
      </c>
      <c r="X1479" t="s">
        <v>5396</v>
      </c>
      <c r="Y1479" t="s">
        <v>5397</v>
      </c>
      <c r="Z1479">
        <v>278.09525969999999</v>
      </c>
    </row>
    <row r="1480" spans="1:26" hidden="1">
      <c r="A1480">
        <v>1479</v>
      </c>
      <c r="B1480" t="s">
        <v>5398</v>
      </c>
      <c r="C1480" t="s">
        <v>28</v>
      </c>
      <c r="D1480" s="1" t="b">
        <v>0</v>
      </c>
      <c r="E1480">
        <v>1.62181E-3</v>
      </c>
      <c r="F1480">
        <v>2.79</v>
      </c>
      <c r="G1480">
        <v>35.1</v>
      </c>
      <c r="H1480">
        <v>2.34E-6</v>
      </c>
      <c r="I1480">
        <v>0.74</v>
      </c>
      <c r="J1480">
        <v>36.9</v>
      </c>
      <c r="K1480">
        <v>3.2116835460000002</v>
      </c>
      <c r="L1480">
        <v>4.0288728000000003E-2</v>
      </c>
      <c r="M1480">
        <v>25</v>
      </c>
      <c r="N1480" t="s">
        <v>2484</v>
      </c>
      <c r="O1480" t="s">
        <v>2484</v>
      </c>
      <c r="P1480" t="s">
        <v>2484</v>
      </c>
      <c r="R1480" t="s">
        <v>2484</v>
      </c>
      <c r="S1480" t="s">
        <v>2484</v>
      </c>
      <c r="T1480" t="s">
        <v>2484</v>
      </c>
      <c r="U1480" t="s">
        <v>31</v>
      </c>
      <c r="V1480" t="s">
        <v>31</v>
      </c>
      <c r="X1480" t="s">
        <v>5399</v>
      </c>
      <c r="Y1480" t="s">
        <v>5400</v>
      </c>
      <c r="Z1480">
        <v>546.34673229999999</v>
      </c>
    </row>
    <row r="1481" spans="1:26" hidden="1">
      <c r="A1481">
        <v>1480</v>
      </c>
      <c r="B1481" t="s">
        <v>5401</v>
      </c>
      <c r="C1481" t="s">
        <v>28</v>
      </c>
      <c r="D1481" s="1" t="b">
        <v>0</v>
      </c>
      <c r="E1481">
        <v>1.778279E-3</v>
      </c>
      <c r="F1481">
        <v>2.75</v>
      </c>
      <c r="G1481">
        <v>47.8</v>
      </c>
      <c r="H1481">
        <v>2.4399999999999999E-6</v>
      </c>
      <c r="I1481">
        <v>0.7</v>
      </c>
      <c r="J1481">
        <v>24.2</v>
      </c>
      <c r="K1481">
        <v>2.8505021319999999</v>
      </c>
      <c r="L1481">
        <v>5.7815283000000002E-2</v>
      </c>
      <c r="M1481">
        <v>25</v>
      </c>
      <c r="N1481" t="s">
        <v>2484</v>
      </c>
      <c r="O1481" t="s">
        <v>2484</v>
      </c>
      <c r="P1481" t="s">
        <v>2484</v>
      </c>
      <c r="R1481" t="s">
        <v>2484</v>
      </c>
      <c r="S1481" t="s">
        <v>2484</v>
      </c>
      <c r="T1481" t="s">
        <v>2484</v>
      </c>
      <c r="U1481" t="s">
        <v>31</v>
      </c>
      <c r="V1481" t="s">
        <v>31</v>
      </c>
      <c r="X1481" t="s">
        <v>5402</v>
      </c>
      <c r="Y1481" t="s">
        <v>5403</v>
      </c>
      <c r="Z1481">
        <v>532.33108219999997</v>
      </c>
    </row>
    <row r="1482" spans="1:26" hidden="1">
      <c r="A1482">
        <v>1481</v>
      </c>
      <c r="B1482" t="s">
        <v>5404</v>
      </c>
      <c r="C1482" t="s">
        <v>28</v>
      </c>
      <c r="D1482" s="1" t="b">
        <v>0</v>
      </c>
      <c r="E1482">
        <v>1.949845E-3</v>
      </c>
      <c r="F1482">
        <v>2.71</v>
      </c>
      <c r="G1482">
        <v>48.9</v>
      </c>
      <c r="H1482">
        <v>2.4700000000000001E-6</v>
      </c>
      <c r="I1482">
        <v>0.68</v>
      </c>
      <c r="J1482">
        <v>23.1</v>
      </c>
      <c r="K1482">
        <v>2.7832791710000002</v>
      </c>
      <c r="L1482">
        <v>6.1835406000000002E-2</v>
      </c>
      <c r="M1482">
        <v>25</v>
      </c>
      <c r="N1482" t="s">
        <v>2484</v>
      </c>
      <c r="O1482" t="s">
        <v>2484</v>
      </c>
      <c r="P1482" t="s">
        <v>2484</v>
      </c>
      <c r="R1482" t="s">
        <v>2484</v>
      </c>
      <c r="S1482" t="s">
        <v>2484</v>
      </c>
      <c r="T1482" t="s">
        <v>2484</v>
      </c>
      <c r="U1482" t="s">
        <v>31</v>
      </c>
      <c r="V1482" t="s">
        <v>31</v>
      </c>
      <c r="X1482" t="s">
        <v>5405</v>
      </c>
      <c r="Y1482" t="s">
        <v>5406</v>
      </c>
      <c r="Z1482">
        <v>518.31543209999995</v>
      </c>
    </row>
    <row r="1483" spans="1:26" hidden="1">
      <c r="A1483">
        <v>1482</v>
      </c>
      <c r="B1483" t="s">
        <v>5407</v>
      </c>
      <c r="C1483" t="s">
        <v>28</v>
      </c>
      <c r="D1483" s="1" t="b">
        <v>0</v>
      </c>
      <c r="E1483">
        <v>2.089296E-3</v>
      </c>
      <c r="F1483">
        <v>2.68</v>
      </c>
      <c r="G1483">
        <v>50.1</v>
      </c>
      <c r="H1483">
        <v>2.5900000000000002E-6</v>
      </c>
      <c r="I1483">
        <v>0.66</v>
      </c>
      <c r="J1483">
        <v>21.9</v>
      </c>
      <c r="K1483">
        <v>2.7228321270000002</v>
      </c>
      <c r="L1483">
        <v>6.5688452999999994E-2</v>
      </c>
      <c r="M1483">
        <v>25</v>
      </c>
      <c r="N1483" t="s">
        <v>2484</v>
      </c>
      <c r="O1483" t="s">
        <v>2484</v>
      </c>
      <c r="P1483" t="s">
        <v>2484</v>
      </c>
      <c r="R1483" t="s">
        <v>2484</v>
      </c>
      <c r="S1483" t="s">
        <v>2484</v>
      </c>
      <c r="T1483" t="s">
        <v>2484</v>
      </c>
      <c r="U1483" t="s">
        <v>31</v>
      </c>
      <c r="V1483" t="s">
        <v>31</v>
      </c>
      <c r="X1483" t="s">
        <v>5408</v>
      </c>
      <c r="Y1483" t="s">
        <v>5409</v>
      </c>
      <c r="Z1483">
        <v>504.29978210000002</v>
      </c>
    </row>
    <row r="1484" spans="1:26" hidden="1">
      <c r="A1484">
        <v>1483</v>
      </c>
      <c r="B1484" t="s">
        <v>5410</v>
      </c>
      <c r="C1484" t="s">
        <v>28</v>
      </c>
      <c r="D1484" s="1" t="b">
        <v>0</v>
      </c>
      <c r="E1484">
        <v>2.2387209999999999E-3</v>
      </c>
      <c r="F1484">
        <v>2.65</v>
      </c>
      <c r="G1484">
        <v>51.2</v>
      </c>
      <c r="H1484">
        <v>2.5299999999999999E-6</v>
      </c>
      <c r="I1484">
        <v>0.64</v>
      </c>
      <c r="J1484">
        <v>20.8</v>
      </c>
      <c r="K1484">
        <v>2.6684622770000002</v>
      </c>
      <c r="L1484">
        <v>6.9358797999999999E-2</v>
      </c>
      <c r="M1484">
        <v>25</v>
      </c>
      <c r="N1484" t="s">
        <v>2484</v>
      </c>
      <c r="O1484" t="s">
        <v>2484</v>
      </c>
      <c r="P1484" t="s">
        <v>2484</v>
      </c>
      <c r="R1484" t="s">
        <v>2484</v>
      </c>
      <c r="S1484" t="s">
        <v>2484</v>
      </c>
      <c r="T1484" t="s">
        <v>2484</v>
      </c>
      <c r="U1484" t="s">
        <v>31</v>
      </c>
      <c r="V1484" t="s">
        <v>31</v>
      </c>
      <c r="X1484" t="s">
        <v>5411</v>
      </c>
      <c r="Y1484" t="s">
        <v>5412</v>
      </c>
      <c r="Z1484">
        <v>490.284132</v>
      </c>
    </row>
    <row r="1485" spans="1:26">
      <c r="A1485">
        <v>1484</v>
      </c>
      <c r="B1485" s="2" t="s">
        <v>5413</v>
      </c>
      <c r="C1485" t="s">
        <v>161</v>
      </c>
      <c r="D1485" s="1" t="b">
        <v>1</v>
      </c>
      <c r="E1485">
        <v>5.8000000000000003E-2</v>
      </c>
      <c r="F1485">
        <v>1.2365720060000001</v>
      </c>
      <c r="G1485">
        <v>33.200000000000003</v>
      </c>
      <c r="H1485" s="3">
        <v>3.1999999999999999E-6</v>
      </c>
      <c r="I1485" s="2">
        <v>0.52</v>
      </c>
      <c r="J1485">
        <v>38.770000000000003</v>
      </c>
      <c r="K1485" s="2">
        <v>2.1</v>
      </c>
      <c r="L1485" s="2">
        <f>10^(-K1485)</f>
        <v>7.9432823472428121E-3</v>
      </c>
      <c r="M1485">
        <v>25</v>
      </c>
      <c r="N1485" t="s">
        <v>162</v>
      </c>
      <c r="O1485" t="s">
        <v>163</v>
      </c>
      <c r="P1485" t="s">
        <v>164</v>
      </c>
      <c r="Q1485" s="2" t="s">
        <v>4345</v>
      </c>
      <c r="R1485" s="2" t="s">
        <v>4345</v>
      </c>
      <c r="S1485" t="s">
        <v>31</v>
      </c>
      <c r="T1485" s="2" t="s">
        <v>4345</v>
      </c>
      <c r="U1485" s="2" t="s">
        <v>4345</v>
      </c>
      <c r="V1485" s="2" t="s">
        <v>31</v>
      </c>
      <c r="W1485" t="s">
        <v>5414</v>
      </c>
      <c r="X1485" t="s">
        <v>5415</v>
      </c>
      <c r="Y1485" t="s">
        <v>5416</v>
      </c>
      <c r="Z1485">
        <v>324.1784179</v>
      </c>
    </row>
    <row r="1486" spans="1:26" hidden="1">
      <c r="A1486">
        <v>1485</v>
      </c>
      <c r="B1486" t="s">
        <v>5417</v>
      </c>
      <c r="C1486" t="s">
        <v>134</v>
      </c>
      <c r="D1486" s="1" t="b">
        <v>0</v>
      </c>
      <c r="E1486">
        <v>1.4E-3</v>
      </c>
      <c r="F1486">
        <v>2.8538719640000001</v>
      </c>
      <c r="M1486">
        <v>25</v>
      </c>
      <c r="N1486" t="s">
        <v>89</v>
      </c>
      <c r="P1486" t="s">
        <v>103</v>
      </c>
      <c r="W1486" t="s">
        <v>5418</v>
      </c>
      <c r="X1486" t="s">
        <v>5419</v>
      </c>
      <c r="Y1486" t="s">
        <v>5420</v>
      </c>
      <c r="Z1486">
        <v>388.15316849999999</v>
      </c>
    </row>
    <row r="1487" spans="1:26" hidden="1">
      <c r="A1487" s="6">
        <v>1486</v>
      </c>
      <c r="B1487" s="6" t="s">
        <v>5421</v>
      </c>
      <c r="C1487" s="6" t="s">
        <v>54</v>
      </c>
      <c r="D1487" s="1" t="b">
        <v>0</v>
      </c>
      <c r="E1487" s="6"/>
      <c r="F1487" s="6"/>
      <c r="G1487" s="6">
        <v>24.3</v>
      </c>
      <c r="H1487" s="6"/>
      <c r="I1487" s="6"/>
      <c r="J1487" s="6"/>
      <c r="K1487" s="6"/>
      <c r="L1487" s="6"/>
      <c r="M1487" s="6"/>
      <c r="N1487" s="6"/>
      <c r="O1487" s="6" t="s">
        <v>29</v>
      </c>
      <c r="P1487" s="6"/>
      <c r="Q1487" s="6" t="s">
        <v>4972</v>
      </c>
      <c r="X1487" s="6" t="s">
        <v>5422</v>
      </c>
      <c r="Y1487" s="6" t="s">
        <v>5423</v>
      </c>
      <c r="Z1487" s="6">
        <v>334.17851109999998</v>
      </c>
    </row>
    <row r="1488" spans="1:26">
      <c r="A1488">
        <v>1487</v>
      </c>
      <c r="B1488" t="s">
        <v>5424</v>
      </c>
      <c r="C1488" t="s">
        <v>134</v>
      </c>
      <c r="D1488" s="1" t="b">
        <v>1</v>
      </c>
      <c r="E1488">
        <v>0.17</v>
      </c>
      <c r="F1488">
        <v>0.76955107899999997</v>
      </c>
      <c r="G1488" s="2"/>
      <c r="H1488" s="2"/>
      <c r="I1488" s="2"/>
      <c r="J1488" s="2"/>
      <c r="K1488" s="2"/>
      <c r="L1488" s="2"/>
      <c r="M1488">
        <v>25</v>
      </c>
      <c r="N1488" t="s">
        <v>135</v>
      </c>
      <c r="X1488" t="s">
        <v>5425</v>
      </c>
      <c r="Y1488" t="s">
        <v>5426</v>
      </c>
      <c r="Z1488">
        <v>246.0537889</v>
      </c>
    </row>
    <row r="1489" spans="1:26">
      <c r="A1489">
        <v>1488</v>
      </c>
      <c r="B1489" s="2" t="s">
        <v>5427</v>
      </c>
      <c r="C1489" t="s">
        <v>161</v>
      </c>
      <c r="D1489" s="1" t="b">
        <v>1</v>
      </c>
      <c r="E1489">
        <v>9.4000000000000004E-3</v>
      </c>
      <c r="F1489">
        <v>2.0268721460000001</v>
      </c>
      <c r="M1489">
        <v>25</v>
      </c>
      <c r="N1489" t="s">
        <v>162</v>
      </c>
      <c r="P1489" t="s">
        <v>164</v>
      </c>
      <c r="W1489" t="s">
        <v>5428</v>
      </c>
      <c r="X1489" t="s">
        <v>5429</v>
      </c>
      <c r="Y1489" t="s">
        <v>5430</v>
      </c>
      <c r="Z1489">
        <v>296.18350320000002</v>
      </c>
    </row>
    <row r="1490" spans="1:26">
      <c r="A1490">
        <v>1489</v>
      </c>
      <c r="B1490" s="2" t="s">
        <v>5431</v>
      </c>
      <c r="C1490" t="s">
        <v>83</v>
      </c>
      <c r="D1490" s="1" t="b">
        <v>1</v>
      </c>
      <c r="E1490">
        <v>9.3970000000000008E-3</v>
      </c>
      <c r="F1490">
        <v>2.0270107730000002</v>
      </c>
      <c r="M1490">
        <v>25</v>
      </c>
      <c r="N1490" t="s">
        <v>207</v>
      </c>
      <c r="X1490" t="s">
        <v>5432</v>
      </c>
      <c r="Y1490" t="s">
        <v>5433</v>
      </c>
      <c r="Z1490">
        <v>233.13889879999999</v>
      </c>
    </row>
    <row r="1491" spans="1:26" hidden="1">
      <c r="A1491">
        <v>1490</v>
      </c>
      <c r="B1491" t="s">
        <v>5434</v>
      </c>
      <c r="C1491" t="s">
        <v>83</v>
      </c>
      <c r="D1491" s="1" t="b">
        <v>0</v>
      </c>
      <c r="E1491">
        <v>0.1</v>
      </c>
      <c r="F1491">
        <v>1</v>
      </c>
      <c r="G1491">
        <v>30.4</v>
      </c>
      <c r="J1491">
        <v>41.57</v>
      </c>
      <c r="M1491">
        <v>25</v>
      </c>
      <c r="N1491" t="s">
        <v>89</v>
      </c>
      <c r="O1491" t="s">
        <v>29</v>
      </c>
      <c r="P1491" t="s">
        <v>103</v>
      </c>
      <c r="Q1491" t="s">
        <v>5435</v>
      </c>
      <c r="S1491" t="s">
        <v>31</v>
      </c>
      <c r="W1491" t="s">
        <v>5436</v>
      </c>
      <c r="X1491" t="s">
        <v>5437</v>
      </c>
      <c r="Y1491" t="s">
        <v>5438</v>
      </c>
      <c r="Z1491">
        <v>234.18310930000001</v>
      </c>
    </row>
    <row r="1492" spans="1:26" hidden="1">
      <c r="A1492">
        <v>1491</v>
      </c>
      <c r="B1492" t="s">
        <v>5439</v>
      </c>
      <c r="C1492" t="s">
        <v>83</v>
      </c>
      <c r="D1492" s="1" t="b">
        <v>0</v>
      </c>
      <c r="G1492">
        <v>32</v>
      </c>
      <c r="O1492" t="s">
        <v>29</v>
      </c>
      <c r="Q1492" t="s">
        <v>5440</v>
      </c>
      <c r="X1492" t="s">
        <v>5441</v>
      </c>
      <c r="Y1492" t="s">
        <v>5442</v>
      </c>
      <c r="Z1492">
        <v>278.2093241</v>
      </c>
    </row>
    <row r="1493" spans="1:26" hidden="1">
      <c r="A1493">
        <v>1492</v>
      </c>
      <c r="B1493" t="s">
        <v>5443</v>
      </c>
      <c r="C1493" t="s">
        <v>83</v>
      </c>
      <c r="D1493" s="1" t="b">
        <v>0</v>
      </c>
      <c r="G1493">
        <v>33</v>
      </c>
      <c r="O1493" t="s">
        <v>29</v>
      </c>
      <c r="Q1493" t="s">
        <v>5440</v>
      </c>
      <c r="X1493" t="s">
        <v>5444</v>
      </c>
      <c r="Y1493" t="s">
        <v>5445</v>
      </c>
      <c r="Z1493">
        <v>322.23553879999997</v>
      </c>
    </row>
    <row r="1494" spans="1:26" hidden="1">
      <c r="A1494">
        <v>1493</v>
      </c>
      <c r="B1494" t="s">
        <v>304</v>
      </c>
      <c r="C1494" t="s">
        <v>83</v>
      </c>
      <c r="D1494" s="1" t="b">
        <v>0</v>
      </c>
      <c r="G1494">
        <v>31.8</v>
      </c>
      <c r="O1494" t="s">
        <v>29</v>
      </c>
      <c r="Q1494" t="s">
        <v>578</v>
      </c>
      <c r="X1494" t="s">
        <v>5446</v>
      </c>
      <c r="Y1494" t="s">
        <v>5447</v>
      </c>
      <c r="Z1494">
        <v>366.26175360000002</v>
      </c>
    </row>
    <row r="1495" spans="1:26">
      <c r="A1495">
        <v>1494</v>
      </c>
      <c r="B1495" s="2" t="s">
        <v>5448</v>
      </c>
      <c r="C1495" t="s">
        <v>83</v>
      </c>
      <c r="D1495" s="1" t="b">
        <v>1</v>
      </c>
      <c r="E1495">
        <v>0.01</v>
      </c>
      <c r="F1495">
        <v>2</v>
      </c>
      <c r="M1495">
        <v>25</v>
      </c>
      <c r="N1495" t="s">
        <v>207</v>
      </c>
      <c r="X1495" t="s">
        <v>5449</v>
      </c>
      <c r="Y1495" t="s">
        <v>5450</v>
      </c>
      <c r="Z1495">
        <v>263.14946350000002</v>
      </c>
    </row>
    <row r="1496" spans="1:26" hidden="1">
      <c r="A1496">
        <v>1495</v>
      </c>
      <c r="B1496" t="s">
        <v>5451</v>
      </c>
      <c r="C1496" t="s">
        <v>83</v>
      </c>
      <c r="D1496" s="1" t="b">
        <v>0</v>
      </c>
      <c r="E1496">
        <v>0.1047</v>
      </c>
      <c r="F1496">
        <v>0.98005331799999995</v>
      </c>
      <c r="M1496">
        <v>25</v>
      </c>
      <c r="N1496" t="s">
        <v>207</v>
      </c>
      <c r="X1496" t="s">
        <v>5452</v>
      </c>
      <c r="Y1496" t="s">
        <v>5453</v>
      </c>
      <c r="Z1496">
        <v>234.18310930000001</v>
      </c>
    </row>
    <row r="1497" spans="1:26" hidden="1">
      <c r="A1497">
        <v>1496</v>
      </c>
      <c r="B1497" t="s">
        <v>5454</v>
      </c>
      <c r="C1497" t="s">
        <v>83</v>
      </c>
      <c r="D1497" s="1" t="b">
        <v>0</v>
      </c>
      <c r="E1497">
        <v>9.2899999999999996E-2</v>
      </c>
      <c r="F1497">
        <v>1.0319842859999999</v>
      </c>
      <c r="M1497">
        <v>25</v>
      </c>
      <c r="N1497" t="s">
        <v>207</v>
      </c>
      <c r="X1497" t="s">
        <v>5455</v>
      </c>
      <c r="Y1497" t="s">
        <v>5456</v>
      </c>
      <c r="Z1497">
        <v>278.2093241</v>
      </c>
    </row>
    <row r="1498" spans="1:26" hidden="1">
      <c r="A1498">
        <v>1497</v>
      </c>
      <c r="B1498" t="s">
        <v>5457</v>
      </c>
      <c r="C1498" t="s">
        <v>83</v>
      </c>
      <c r="D1498" s="1" t="b">
        <v>0</v>
      </c>
      <c r="E1498">
        <v>9.6159999999999995E-2</v>
      </c>
      <c r="F1498">
        <v>1.017005545</v>
      </c>
      <c r="M1498">
        <v>25</v>
      </c>
      <c r="N1498" t="s">
        <v>207</v>
      </c>
      <c r="X1498" t="s">
        <v>5458</v>
      </c>
      <c r="Y1498" t="s">
        <v>5459</v>
      </c>
      <c r="Z1498">
        <v>322.23553879999997</v>
      </c>
    </row>
    <row r="1499" spans="1:26" hidden="1">
      <c r="A1499">
        <v>1498</v>
      </c>
      <c r="B1499" t="s">
        <v>5460</v>
      </c>
      <c r="C1499" t="s">
        <v>83</v>
      </c>
      <c r="D1499" s="1" t="b">
        <v>0</v>
      </c>
      <c r="E1499">
        <v>6.855E-2</v>
      </c>
      <c r="F1499">
        <v>1.163992541</v>
      </c>
      <c r="M1499">
        <v>25</v>
      </c>
      <c r="N1499" t="s">
        <v>207</v>
      </c>
      <c r="X1499" t="s">
        <v>5461</v>
      </c>
      <c r="Y1499" t="s">
        <v>5462</v>
      </c>
      <c r="Z1499">
        <v>366.26175360000002</v>
      </c>
    </row>
    <row r="1500" spans="1:26" hidden="1">
      <c r="A1500">
        <v>1499</v>
      </c>
      <c r="B1500" t="s">
        <v>5463</v>
      </c>
      <c r="C1500" t="s">
        <v>134</v>
      </c>
      <c r="D1500" s="13" t="b">
        <v>0</v>
      </c>
      <c r="E1500">
        <v>0.41980000000000001</v>
      </c>
      <c r="F1500">
        <v>0.37695756600000002</v>
      </c>
      <c r="M1500">
        <v>25</v>
      </c>
      <c r="N1500" t="s">
        <v>179</v>
      </c>
      <c r="P1500" t="s">
        <v>294</v>
      </c>
      <c r="W1500" t="s">
        <v>5464</v>
      </c>
      <c r="X1500" t="s">
        <v>5465</v>
      </c>
      <c r="Y1500" t="s">
        <v>5466</v>
      </c>
      <c r="Z1500">
        <v>204.0432242</v>
      </c>
    </row>
    <row r="1501" spans="1:26" hidden="1">
      <c r="A1501">
        <v>1500</v>
      </c>
      <c r="B1501" t="s">
        <v>5467</v>
      </c>
      <c r="C1501" t="s">
        <v>134</v>
      </c>
      <c r="D1501" s="13" t="b">
        <v>0</v>
      </c>
      <c r="E1501">
        <v>0.31919999999999998</v>
      </c>
      <c r="F1501">
        <v>0.49593711699999998</v>
      </c>
      <c r="M1501">
        <v>25</v>
      </c>
      <c r="N1501" t="s">
        <v>179</v>
      </c>
      <c r="W1501" t="s">
        <v>5468</v>
      </c>
      <c r="X1501" t="s">
        <v>5469</v>
      </c>
      <c r="Y1501" t="s">
        <v>5470</v>
      </c>
      <c r="Z1501">
        <v>188.04830960000001</v>
      </c>
    </row>
    <row r="1502" spans="1:26">
      <c r="A1502">
        <v>1501</v>
      </c>
      <c r="B1502" s="2" t="s">
        <v>5471</v>
      </c>
      <c r="C1502" t="s">
        <v>161</v>
      </c>
      <c r="D1502" s="1" t="b">
        <v>1</v>
      </c>
      <c r="E1502">
        <v>6.7000000000000002E-3</v>
      </c>
      <c r="F1502">
        <v>2.173925197</v>
      </c>
      <c r="G1502">
        <v>25.1</v>
      </c>
      <c r="H1502">
        <v>3.3500000000000001E-6</v>
      </c>
      <c r="I1502">
        <v>0.5</v>
      </c>
      <c r="J1502">
        <v>47.65</v>
      </c>
      <c r="K1502">
        <v>3.4</v>
      </c>
      <c r="L1502">
        <v>3.9800000000000002E-4</v>
      </c>
      <c r="M1502">
        <v>20</v>
      </c>
      <c r="N1502" t="s">
        <v>162</v>
      </c>
      <c r="O1502" t="s">
        <v>163</v>
      </c>
      <c r="P1502" t="s">
        <v>164</v>
      </c>
      <c r="R1502" t="s">
        <v>4513</v>
      </c>
      <c r="S1502" t="s">
        <v>31</v>
      </c>
      <c r="T1502" t="s">
        <v>4513</v>
      </c>
      <c r="U1502" t="s">
        <v>4513</v>
      </c>
      <c r="W1502" t="s">
        <v>5472</v>
      </c>
      <c r="X1502" t="s">
        <v>5473</v>
      </c>
      <c r="Y1502" t="s">
        <v>5474</v>
      </c>
      <c r="Z1502">
        <v>264.10314469999997</v>
      </c>
    </row>
    <row r="1503" spans="1:26">
      <c r="A1503">
        <v>1502</v>
      </c>
      <c r="B1503" s="2" t="s">
        <v>5475</v>
      </c>
      <c r="C1503" t="s">
        <v>161</v>
      </c>
      <c r="D1503" s="1" t="b">
        <v>1</v>
      </c>
      <c r="E1503">
        <v>5.0000000000000001E-3</v>
      </c>
      <c r="F1503">
        <v>2.301029996</v>
      </c>
      <c r="G1503">
        <v>26.3</v>
      </c>
      <c r="H1503">
        <v>4.1200000000000004E-6</v>
      </c>
      <c r="I1503">
        <v>0.4</v>
      </c>
      <c r="J1503">
        <v>46.45</v>
      </c>
      <c r="K1503">
        <v>3.4</v>
      </c>
      <c r="L1503">
        <v>3.9800000000000002E-4</v>
      </c>
      <c r="M1503">
        <v>20</v>
      </c>
      <c r="N1503" t="s">
        <v>162</v>
      </c>
      <c r="O1503" t="s">
        <v>163</v>
      </c>
      <c r="P1503" t="s">
        <v>164</v>
      </c>
      <c r="R1503" t="s">
        <v>4513</v>
      </c>
      <c r="S1503" t="s">
        <v>31</v>
      </c>
      <c r="T1503" t="s">
        <v>4513</v>
      </c>
      <c r="U1503" t="s">
        <v>4513</v>
      </c>
      <c r="W1503" t="s">
        <v>5476</v>
      </c>
      <c r="X1503" t="s">
        <v>5477</v>
      </c>
      <c r="Y1503" t="s">
        <v>5478</v>
      </c>
      <c r="Z1503">
        <v>264.10314469999997</v>
      </c>
    </row>
    <row r="1504" spans="1:26">
      <c r="A1504">
        <v>1503</v>
      </c>
      <c r="B1504" s="2" t="s">
        <v>5479</v>
      </c>
      <c r="C1504" t="s">
        <v>83</v>
      </c>
      <c r="D1504" s="1" t="b">
        <v>1</v>
      </c>
      <c r="E1504">
        <v>1.6E-2</v>
      </c>
      <c r="F1504">
        <v>1.795880017</v>
      </c>
      <c r="M1504">
        <v>25</v>
      </c>
      <c r="N1504" t="s">
        <v>207</v>
      </c>
      <c r="X1504" t="s">
        <v>5480</v>
      </c>
      <c r="Y1504" t="s">
        <v>5481</v>
      </c>
      <c r="Z1504">
        <v>249.11605520000001</v>
      </c>
    </row>
    <row r="1505" spans="1:26">
      <c r="A1505">
        <v>1504</v>
      </c>
      <c r="B1505" t="s">
        <v>5482</v>
      </c>
      <c r="C1505" t="s">
        <v>161</v>
      </c>
      <c r="D1505" s="1" t="b">
        <v>1</v>
      </c>
      <c r="E1505">
        <v>1.0200000000000001E-2</v>
      </c>
      <c r="F1505">
        <v>1.991399828</v>
      </c>
      <c r="G1505">
        <v>27.2</v>
      </c>
      <c r="H1505">
        <v>2.52E-6</v>
      </c>
      <c r="I1505">
        <v>0.66</v>
      </c>
      <c r="J1505">
        <v>45.55</v>
      </c>
      <c r="K1505" s="2">
        <v>3.7</v>
      </c>
      <c r="L1505" s="2">
        <v>2.0000000000000001E-4</v>
      </c>
      <c r="M1505">
        <v>20</v>
      </c>
      <c r="N1505" t="s">
        <v>162</v>
      </c>
      <c r="O1505" t="s">
        <v>163</v>
      </c>
      <c r="P1505" t="s">
        <v>164</v>
      </c>
      <c r="R1505" t="s">
        <v>4513</v>
      </c>
      <c r="S1505" t="s">
        <v>31</v>
      </c>
      <c r="T1505" t="s">
        <v>4513</v>
      </c>
      <c r="U1505" t="s">
        <v>4513</v>
      </c>
      <c r="W1505" t="s">
        <v>5483</v>
      </c>
      <c r="X1505" t="s">
        <v>5484</v>
      </c>
      <c r="Y1505" t="s">
        <v>5485</v>
      </c>
      <c r="Z1505">
        <v>252.1395302</v>
      </c>
    </row>
    <row r="1506" spans="1:26">
      <c r="A1506">
        <v>1505</v>
      </c>
      <c r="B1506" t="s">
        <v>5486</v>
      </c>
      <c r="C1506" t="s">
        <v>161</v>
      </c>
      <c r="D1506" s="1" t="b">
        <v>1</v>
      </c>
      <c r="E1506">
        <v>1.7999999999999999E-2</v>
      </c>
      <c r="F1506">
        <v>1.744727495</v>
      </c>
      <c r="G1506">
        <v>30</v>
      </c>
      <c r="H1506">
        <v>2.5100000000000001E-6</v>
      </c>
      <c r="I1506">
        <v>0.66</v>
      </c>
      <c r="J1506">
        <v>42.75</v>
      </c>
      <c r="K1506">
        <v>3.3</v>
      </c>
      <c r="L1506">
        <v>5.0100000000000003E-4</v>
      </c>
      <c r="M1506">
        <v>20</v>
      </c>
      <c r="N1506" t="s">
        <v>162</v>
      </c>
      <c r="O1506" t="s">
        <v>163</v>
      </c>
      <c r="P1506" t="s">
        <v>164</v>
      </c>
      <c r="R1506" t="s">
        <v>4513</v>
      </c>
      <c r="S1506" t="s">
        <v>31</v>
      </c>
      <c r="T1506" t="s">
        <v>4513</v>
      </c>
      <c r="U1506" t="s">
        <v>4513</v>
      </c>
      <c r="W1506" t="s">
        <v>5487</v>
      </c>
      <c r="X1506" t="s">
        <v>5488</v>
      </c>
      <c r="Y1506" t="s">
        <v>5489</v>
      </c>
      <c r="Z1506">
        <v>252.1395302</v>
      </c>
    </row>
    <row r="1507" spans="1:26">
      <c r="A1507">
        <v>1506</v>
      </c>
      <c r="B1507" s="2" t="s">
        <v>5490</v>
      </c>
      <c r="C1507" t="s">
        <v>161</v>
      </c>
      <c r="D1507" s="1" t="b">
        <v>1</v>
      </c>
      <c r="E1507">
        <v>1.2E-2</v>
      </c>
      <c r="F1507">
        <v>1.9208187539999999</v>
      </c>
      <c r="G1507">
        <v>28.2</v>
      </c>
      <c r="H1507">
        <v>2.3300000000000001E-6</v>
      </c>
      <c r="I1507">
        <v>0.71</v>
      </c>
      <c r="J1507">
        <v>44.55</v>
      </c>
      <c r="K1507">
        <v>3.7</v>
      </c>
      <c r="L1507">
        <v>2.0000000000000001E-4</v>
      </c>
      <c r="M1507">
        <v>20</v>
      </c>
      <c r="N1507" t="s">
        <v>162</v>
      </c>
      <c r="O1507" t="s">
        <v>163</v>
      </c>
      <c r="P1507" t="s">
        <v>164</v>
      </c>
      <c r="R1507" t="s">
        <v>4513</v>
      </c>
      <c r="S1507" t="s">
        <v>31</v>
      </c>
      <c r="T1507" t="s">
        <v>4513</v>
      </c>
      <c r="U1507" t="s">
        <v>4513</v>
      </c>
      <c r="W1507" t="s">
        <v>5491</v>
      </c>
      <c r="X1507" t="s">
        <v>5492</v>
      </c>
      <c r="Y1507" t="s">
        <v>5493</v>
      </c>
      <c r="Z1507">
        <v>252.1395302</v>
      </c>
    </row>
    <row r="1508" spans="1:26" hidden="1">
      <c r="A1508">
        <v>1507</v>
      </c>
      <c r="B1508" t="s">
        <v>5494</v>
      </c>
      <c r="C1508" t="s">
        <v>28</v>
      </c>
      <c r="D1508" s="1" t="b">
        <v>0</v>
      </c>
      <c r="E1508">
        <v>0.15999263799999999</v>
      </c>
      <c r="F1508">
        <v>0.79590000000000005</v>
      </c>
      <c r="M1508">
        <v>25</v>
      </c>
      <c r="N1508" t="s">
        <v>1849</v>
      </c>
      <c r="X1508" t="s">
        <v>5495</v>
      </c>
      <c r="Y1508" t="s">
        <v>5496</v>
      </c>
      <c r="Z1508">
        <v>486.21842370000002</v>
      </c>
    </row>
    <row r="1509" spans="1:26" hidden="1">
      <c r="A1509">
        <v>1508</v>
      </c>
      <c r="B1509" t="s">
        <v>5497</v>
      </c>
      <c r="C1509" t="s">
        <v>28</v>
      </c>
      <c r="D1509" s="1" t="b">
        <v>0</v>
      </c>
      <c r="E1509">
        <v>8.1100000000000005E-2</v>
      </c>
      <c r="F1509">
        <v>1.090979146</v>
      </c>
      <c r="M1509">
        <v>25</v>
      </c>
      <c r="N1509" t="s">
        <v>5210</v>
      </c>
      <c r="W1509" t="s">
        <v>5498</v>
      </c>
      <c r="X1509" t="s">
        <v>5499</v>
      </c>
      <c r="Y1509" t="s">
        <v>5500</v>
      </c>
      <c r="Z1509">
        <v>488.19768829999998</v>
      </c>
    </row>
    <row r="1510" spans="1:26" hidden="1">
      <c r="A1510">
        <v>1509</v>
      </c>
      <c r="B1510" t="s">
        <v>5501</v>
      </c>
      <c r="C1510" t="s">
        <v>28</v>
      </c>
      <c r="D1510" s="1" t="b">
        <v>0</v>
      </c>
      <c r="E1510">
        <v>6.0999999999999999E-2</v>
      </c>
      <c r="F1510">
        <v>1.214670165</v>
      </c>
      <c r="G1510">
        <v>28.7</v>
      </c>
      <c r="H1510">
        <v>2.1100000000000001E-6</v>
      </c>
      <c r="I1510">
        <v>0.79</v>
      </c>
      <c r="J1510">
        <v>43.3</v>
      </c>
      <c r="K1510">
        <v>1.859417082</v>
      </c>
      <c r="L1510">
        <v>0.155763401</v>
      </c>
      <c r="M1510">
        <v>25</v>
      </c>
      <c r="N1510" t="s">
        <v>1911</v>
      </c>
      <c r="O1510" t="s">
        <v>29</v>
      </c>
      <c r="Q1510" t="s">
        <v>1912</v>
      </c>
      <c r="R1510" t="s">
        <v>1912</v>
      </c>
      <c r="U1510" t="s">
        <v>31</v>
      </c>
      <c r="V1510" t="s">
        <v>31</v>
      </c>
      <c r="W1510" t="s">
        <v>5502</v>
      </c>
      <c r="X1510" t="s">
        <v>5503</v>
      </c>
      <c r="Y1510" t="s">
        <v>5504</v>
      </c>
      <c r="Z1510">
        <v>504.17484469999999</v>
      </c>
    </row>
    <row r="1511" spans="1:26" hidden="1">
      <c r="A1511">
        <v>1510</v>
      </c>
      <c r="B1511" t="s">
        <v>5505</v>
      </c>
      <c r="C1511" t="s">
        <v>28</v>
      </c>
      <c r="D1511" s="1" t="b">
        <v>0</v>
      </c>
      <c r="E1511">
        <v>6.4599999999999998E-4</v>
      </c>
      <c r="F1511">
        <v>3.1897674820000002</v>
      </c>
      <c r="G1511">
        <v>32.5</v>
      </c>
      <c r="H1511">
        <v>7.0100000000000004E-7</v>
      </c>
      <c r="I1511">
        <v>2.37</v>
      </c>
      <c r="J1511">
        <v>39.799999999999997</v>
      </c>
      <c r="K1511">
        <v>6.06</v>
      </c>
      <c r="L1511">
        <v>8.71E-7</v>
      </c>
      <c r="M1511">
        <v>25</v>
      </c>
      <c r="N1511" t="s">
        <v>1940</v>
      </c>
      <c r="O1511" t="s">
        <v>29</v>
      </c>
      <c r="Q1511" t="s">
        <v>1940</v>
      </c>
      <c r="R1511" t="s">
        <v>1940</v>
      </c>
      <c r="S1511" t="s">
        <v>1940</v>
      </c>
      <c r="T1511" t="s">
        <v>1940</v>
      </c>
      <c r="U1511" t="s">
        <v>1940</v>
      </c>
      <c r="W1511" t="s">
        <v>5506</v>
      </c>
      <c r="X1511" t="s">
        <v>5507</v>
      </c>
      <c r="Y1511" t="s">
        <v>5508</v>
      </c>
      <c r="Z1511">
        <v>957.21378760000005</v>
      </c>
    </row>
    <row r="1512" spans="1:26" hidden="1">
      <c r="A1512">
        <v>1511</v>
      </c>
      <c r="B1512" t="s">
        <v>5509</v>
      </c>
      <c r="C1512" t="s">
        <v>54</v>
      </c>
      <c r="D1512" s="1" t="b">
        <v>0</v>
      </c>
      <c r="G1512">
        <v>36.4</v>
      </c>
      <c r="O1512" t="s">
        <v>29</v>
      </c>
      <c r="Q1512" t="s">
        <v>5249</v>
      </c>
      <c r="X1512" t="s">
        <v>5510</v>
      </c>
      <c r="Y1512" t="s">
        <v>5511</v>
      </c>
      <c r="Z1512">
        <v>199.1127773</v>
      </c>
    </row>
    <row r="1513" spans="1:26" hidden="1">
      <c r="A1513">
        <v>1512</v>
      </c>
      <c r="B1513" t="s">
        <v>5512</v>
      </c>
      <c r="C1513" t="s">
        <v>28</v>
      </c>
      <c r="D1513" s="1" t="b">
        <v>0</v>
      </c>
      <c r="E1513">
        <v>1.949845E-3</v>
      </c>
      <c r="F1513">
        <v>2.71</v>
      </c>
      <c r="G1513">
        <v>36.299999999999997</v>
      </c>
      <c r="H1513">
        <v>2.4099999999999998E-6</v>
      </c>
      <c r="I1513">
        <v>0.71</v>
      </c>
      <c r="J1513">
        <v>35.700000000000003</v>
      </c>
      <c r="K1513">
        <v>3.090363135</v>
      </c>
      <c r="L1513">
        <v>4.5485433999999998E-2</v>
      </c>
      <c r="M1513">
        <v>25</v>
      </c>
      <c r="N1513" t="s">
        <v>2484</v>
      </c>
      <c r="O1513" t="s">
        <v>2484</v>
      </c>
      <c r="P1513" t="s">
        <v>2484</v>
      </c>
      <c r="R1513" t="s">
        <v>2484</v>
      </c>
      <c r="S1513" t="s">
        <v>2484</v>
      </c>
      <c r="T1513" t="s">
        <v>2484</v>
      </c>
      <c r="U1513" t="s">
        <v>31</v>
      </c>
      <c r="V1513" t="s">
        <v>31</v>
      </c>
      <c r="X1513" t="s">
        <v>5513</v>
      </c>
      <c r="Y1513" t="s">
        <v>5514</v>
      </c>
      <c r="Z1513">
        <v>518.31543209999995</v>
      </c>
    </row>
    <row r="1514" spans="1:26" hidden="1">
      <c r="A1514">
        <v>1513</v>
      </c>
      <c r="B1514" t="s">
        <v>5515</v>
      </c>
      <c r="C1514" t="s">
        <v>28</v>
      </c>
      <c r="D1514" s="1" t="b">
        <v>0</v>
      </c>
      <c r="E1514">
        <v>2.1379620000000002E-3</v>
      </c>
      <c r="F1514">
        <v>2.67</v>
      </c>
      <c r="G1514">
        <v>50.1</v>
      </c>
      <c r="H1514">
        <v>2.48E-6</v>
      </c>
      <c r="I1514">
        <v>0.68</v>
      </c>
      <c r="J1514">
        <v>21.9</v>
      </c>
      <c r="K1514">
        <v>2.714731939</v>
      </c>
      <c r="L1514">
        <v>6.6222701999999994E-2</v>
      </c>
      <c r="M1514">
        <v>25</v>
      </c>
      <c r="N1514" t="s">
        <v>2484</v>
      </c>
      <c r="O1514" t="s">
        <v>2484</v>
      </c>
      <c r="P1514" t="s">
        <v>2484</v>
      </c>
      <c r="R1514" t="s">
        <v>2484</v>
      </c>
      <c r="S1514" t="s">
        <v>2484</v>
      </c>
      <c r="T1514" t="s">
        <v>2484</v>
      </c>
      <c r="U1514" t="s">
        <v>31</v>
      </c>
      <c r="V1514" t="s">
        <v>31</v>
      </c>
      <c r="X1514" t="s">
        <v>5516</v>
      </c>
      <c r="Y1514" t="s">
        <v>5517</v>
      </c>
      <c r="Z1514">
        <v>504.29978210000002</v>
      </c>
    </row>
    <row r="1515" spans="1:26" hidden="1">
      <c r="A1515">
        <v>1514</v>
      </c>
      <c r="B1515" t="s">
        <v>5518</v>
      </c>
      <c r="C1515" t="s">
        <v>28</v>
      </c>
      <c r="D1515" s="1" t="b">
        <v>0</v>
      </c>
      <c r="E1515">
        <v>2.2908680000000002E-3</v>
      </c>
      <c r="F1515">
        <v>2.64</v>
      </c>
      <c r="G1515">
        <v>51.1</v>
      </c>
      <c r="H1515">
        <v>2.5100000000000001E-6</v>
      </c>
      <c r="I1515">
        <v>0.66</v>
      </c>
      <c r="J1515">
        <v>20.9</v>
      </c>
      <c r="K1515">
        <v>2.6609355610000001</v>
      </c>
      <c r="L1515">
        <v>6.9882812000000002E-2</v>
      </c>
      <c r="M1515">
        <v>25</v>
      </c>
      <c r="N1515" t="s">
        <v>2484</v>
      </c>
      <c r="O1515" t="s">
        <v>2484</v>
      </c>
      <c r="P1515" t="s">
        <v>2484</v>
      </c>
      <c r="R1515" t="s">
        <v>2484</v>
      </c>
      <c r="S1515" t="s">
        <v>2484</v>
      </c>
      <c r="T1515" t="s">
        <v>2484</v>
      </c>
      <c r="U1515" t="s">
        <v>31</v>
      </c>
      <c r="V1515" t="s">
        <v>31</v>
      </c>
      <c r="X1515" t="s">
        <v>5519</v>
      </c>
      <c r="Y1515" t="s">
        <v>5520</v>
      </c>
      <c r="Z1515">
        <v>490.284132</v>
      </c>
    </row>
    <row r="1516" spans="1:26" hidden="1">
      <c r="A1516">
        <v>1515</v>
      </c>
      <c r="B1516" t="s">
        <v>5521</v>
      </c>
      <c r="C1516" t="s">
        <v>28</v>
      </c>
      <c r="D1516" s="1" t="b">
        <v>0</v>
      </c>
      <c r="E1516">
        <v>2.4547089999999998E-3</v>
      </c>
      <c r="F1516">
        <v>2.61</v>
      </c>
      <c r="G1516">
        <v>52.3</v>
      </c>
      <c r="H1516">
        <v>2.5399999999999998E-6</v>
      </c>
      <c r="I1516">
        <v>0.64</v>
      </c>
      <c r="J1516">
        <v>19.7</v>
      </c>
      <c r="K1516">
        <v>2.6031039030000001</v>
      </c>
      <c r="L1516">
        <v>7.4043397999999996E-2</v>
      </c>
      <c r="M1516">
        <v>25</v>
      </c>
      <c r="N1516" t="s">
        <v>2484</v>
      </c>
      <c r="O1516" t="s">
        <v>2484</v>
      </c>
      <c r="P1516" t="s">
        <v>2484</v>
      </c>
      <c r="R1516" t="s">
        <v>2484</v>
      </c>
      <c r="S1516" t="s">
        <v>2484</v>
      </c>
      <c r="T1516" t="s">
        <v>2484</v>
      </c>
      <c r="U1516" t="s">
        <v>31</v>
      </c>
      <c r="V1516" t="s">
        <v>31</v>
      </c>
      <c r="X1516" t="s">
        <v>5522</v>
      </c>
      <c r="Y1516" t="s">
        <v>5523</v>
      </c>
      <c r="Z1516">
        <v>476.26848189999998</v>
      </c>
    </row>
    <row r="1517" spans="1:26" hidden="1">
      <c r="A1517">
        <v>1516</v>
      </c>
      <c r="B1517" t="s">
        <v>5524</v>
      </c>
      <c r="C1517" t="s">
        <v>28</v>
      </c>
      <c r="D1517" s="1" t="b">
        <v>0</v>
      </c>
      <c r="E1517">
        <v>2.6302679999999998E-3</v>
      </c>
      <c r="F1517">
        <v>2.58</v>
      </c>
      <c r="G1517">
        <v>53.4</v>
      </c>
      <c r="H1517">
        <v>2.57E-6</v>
      </c>
      <c r="I1517">
        <v>0.62</v>
      </c>
      <c r="J1517">
        <v>19.899999999999999</v>
      </c>
      <c r="K1517">
        <v>2.5481938780000002</v>
      </c>
      <c r="L1517">
        <v>7.8222818E-2</v>
      </c>
      <c r="M1517">
        <v>25</v>
      </c>
      <c r="N1517" t="s">
        <v>2484</v>
      </c>
      <c r="O1517" t="s">
        <v>2484</v>
      </c>
      <c r="P1517" t="s">
        <v>2484</v>
      </c>
      <c r="R1517" t="s">
        <v>2484</v>
      </c>
      <c r="S1517" t="s">
        <v>2484</v>
      </c>
      <c r="T1517" t="s">
        <v>2484</v>
      </c>
      <c r="U1517" t="s">
        <v>31</v>
      </c>
      <c r="V1517" t="s">
        <v>31</v>
      </c>
      <c r="X1517" t="s">
        <v>5525</v>
      </c>
      <c r="Y1517" t="s">
        <v>5526</v>
      </c>
      <c r="Z1517">
        <v>462.25283189999999</v>
      </c>
    </row>
    <row r="1518" spans="1:26">
      <c r="A1518">
        <v>1517</v>
      </c>
      <c r="B1518" s="2" t="s">
        <v>5527</v>
      </c>
      <c r="C1518" t="s">
        <v>161</v>
      </c>
      <c r="D1518" s="1" t="b">
        <v>1</v>
      </c>
      <c r="E1518">
        <v>0.12</v>
      </c>
      <c r="F1518">
        <v>0.92081875400000002</v>
      </c>
      <c r="G1518">
        <v>30</v>
      </c>
      <c r="H1518" s="3">
        <v>3.8E-6</v>
      </c>
      <c r="I1518" s="2">
        <v>0.44</v>
      </c>
      <c r="J1518">
        <v>41.97</v>
      </c>
      <c r="K1518" s="2">
        <v>1.9</v>
      </c>
      <c r="L1518" s="2">
        <f>10^(-K1518)</f>
        <v>1.2589254117941664E-2</v>
      </c>
      <c r="M1518">
        <v>25</v>
      </c>
      <c r="N1518" t="s">
        <v>162</v>
      </c>
      <c r="O1518" t="s">
        <v>163</v>
      </c>
      <c r="P1518" t="s">
        <v>164</v>
      </c>
      <c r="Q1518" s="2" t="s">
        <v>4345</v>
      </c>
      <c r="R1518" s="2" t="s">
        <v>4345</v>
      </c>
      <c r="S1518" t="s">
        <v>31</v>
      </c>
      <c r="T1518" s="2" t="s">
        <v>4345</v>
      </c>
      <c r="U1518" s="2" t="s">
        <v>4345</v>
      </c>
      <c r="V1518" s="2" t="s">
        <v>31</v>
      </c>
      <c r="W1518" t="s">
        <v>5528</v>
      </c>
      <c r="X1518" t="s">
        <v>5529</v>
      </c>
      <c r="Y1518" t="s">
        <v>5530</v>
      </c>
      <c r="Z1518">
        <v>310.16276779999998</v>
      </c>
    </row>
    <row r="1519" spans="1:26" hidden="1">
      <c r="A1519">
        <v>1518</v>
      </c>
      <c r="B1519" t="s">
        <v>5531</v>
      </c>
      <c r="C1519" t="s">
        <v>134</v>
      </c>
      <c r="D1519" s="1" t="b">
        <v>0</v>
      </c>
      <c r="E1519">
        <v>5.2999999999999999E-2</v>
      </c>
      <c r="F1519">
        <v>1.27572413</v>
      </c>
      <c r="M1519">
        <v>25</v>
      </c>
      <c r="N1519" t="s">
        <v>89</v>
      </c>
      <c r="P1519" t="s">
        <v>103</v>
      </c>
      <c r="W1519" t="s">
        <v>5532</v>
      </c>
      <c r="X1519" t="s">
        <v>5533</v>
      </c>
      <c r="Y1519" t="s">
        <v>5534</v>
      </c>
      <c r="Z1519">
        <v>360.12186839999998</v>
      </c>
    </row>
    <row r="1520" spans="1:26">
      <c r="A1520">
        <v>1519</v>
      </c>
      <c r="B1520" s="2" t="s">
        <v>5535</v>
      </c>
      <c r="C1520" t="s">
        <v>161</v>
      </c>
      <c r="D1520" s="1" t="b">
        <v>1</v>
      </c>
      <c r="E1520">
        <v>3.7999999999999999E-2</v>
      </c>
      <c r="F1520">
        <v>1.420216403</v>
      </c>
      <c r="M1520">
        <v>25</v>
      </c>
      <c r="N1520" t="s">
        <v>162</v>
      </c>
      <c r="P1520" t="s">
        <v>164</v>
      </c>
      <c r="W1520" t="s">
        <v>5536</v>
      </c>
      <c r="X1520" t="s">
        <v>5537</v>
      </c>
      <c r="Y1520" t="s">
        <v>5538</v>
      </c>
      <c r="Z1520">
        <v>282.16785320000002</v>
      </c>
    </row>
    <row r="1521" spans="1:26">
      <c r="A1521">
        <v>1520</v>
      </c>
      <c r="B1521" s="2" t="s">
        <v>5539</v>
      </c>
      <c r="C1521" t="s">
        <v>83</v>
      </c>
      <c r="D1521" s="1" t="b">
        <v>1</v>
      </c>
      <c r="E1521">
        <v>3.8019999999999998E-2</v>
      </c>
      <c r="F1521">
        <v>1.419987887</v>
      </c>
      <c r="M1521">
        <v>25</v>
      </c>
      <c r="N1521" t="s">
        <v>207</v>
      </c>
      <c r="X1521" t="s">
        <v>5540</v>
      </c>
      <c r="Y1521" t="s">
        <v>5541</v>
      </c>
      <c r="Z1521">
        <v>219.1232487</v>
      </c>
    </row>
    <row r="1522" spans="1:26" hidden="1">
      <c r="A1522">
        <v>1521</v>
      </c>
      <c r="B1522" t="s">
        <v>5542</v>
      </c>
      <c r="C1522" t="s">
        <v>83</v>
      </c>
      <c r="D1522" s="1" t="b">
        <v>0</v>
      </c>
      <c r="G1522">
        <v>34.299999999999997</v>
      </c>
      <c r="O1522" t="s">
        <v>29</v>
      </c>
      <c r="Q1522" t="s">
        <v>190</v>
      </c>
      <c r="X1522" t="s">
        <v>5543</v>
      </c>
      <c r="Y1522" t="s">
        <v>5544</v>
      </c>
      <c r="Z1522">
        <v>352.2461035</v>
      </c>
    </row>
    <row r="1523" spans="1:26">
      <c r="A1523">
        <v>1522</v>
      </c>
      <c r="B1523" s="2" t="s">
        <v>5545</v>
      </c>
      <c r="C1523" t="s">
        <v>83</v>
      </c>
      <c r="D1523" s="1" t="b">
        <v>1</v>
      </c>
      <c r="E1523">
        <v>5.7939999999999998E-2</v>
      </c>
      <c r="F1523">
        <v>1.2370215090000001</v>
      </c>
      <c r="M1523">
        <v>25</v>
      </c>
      <c r="N1523" t="s">
        <v>207</v>
      </c>
      <c r="X1523" t="s">
        <v>5546</v>
      </c>
      <c r="Y1523" t="s">
        <v>5547</v>
      </c>
      <c r="Z1523">
        <v>249.13381340000001</v>
      </c>
    </row>
    <row r="1524" spans="1:26">
      <c r="A1524">
        <v>1523</v>
      </c>
      <c r="B1524" s="2" t="s">
        <v>5548</v>
      </c>
      <c r="C1524" t="s">
        <v>161</v>
      </c>
      <c r="D1524" s="1" t="b">
        <v>1</v>
      </c>
      <c r="E1524">
        <v>4.5999999999999999E-2</v>
      </c>
      <c r="F1524">
        <v>1.337242168</v>
      </c>
      <c r="H1524" s="3">
        <v>3.7000000000000002E-6</v>
      </c>
      <c r="I1524" s="2">
        <v>0.45</v>
      </c>
      <c r="K1524" s="2">
        <v>2.2000000000000002</v>
      </c>
      <c r="L1524" s="2">
        <f>10^(-K1524)</f>
        <v>6.3095734448019251E-3</v>
      </c>
      <c r="M1524">
        <v>25</v>
      </c>
      <c r="N1524" t="s">
        <v>162</v>
      </c>
      <c r="P1524" t="s">
        <v>164</v>
      </c>
      <c r="R1524" s="2" t="s">
        <v>4345</v>
      </c>
      <c r="T1524" s="2" t="s">
        <v>4345</v>
      </c>
      <c r="U1524" s="2" t="s">
        <v>4345</v>
      </c>
      <c r="V1524" s="2" t="s">
        <v>31</v>
      </c>
      <c r="W1524" t="s">
        <v>5549</v>
      </c>
      <c r="X1524" t="s">
        <v>5550</v>
      </c>
      <c r="Y1524" t="s">
        <v>5551</v>
      </c>
      <c r="Z1524">
        <v>298.14500959999998</v>
      </c>
    </row>
    <row r="1525" spans="1:26">
      <c r="A1525">
        <v>1524</v>
      </c>
      <c r="B1525" s="2" t="s">
        <v>5552</v>
      </c>
      <c r="C1525" t="s">
        <v>83</v>
      </c>
      <c r="D1525" s="1" t="b">
        <v>1</v>
      </c>
      <c r="E1525">
        <v>4.6030000000000001E-2</v>
      </c>
      <c r="F1525">
        <v>1.3369590250000001</v>
      </c>
      <c r="M1525">
        <v>25</v>
      </c>
      <c r="N1525" t="s">
        <v>207</v>
      </c>
      <c r="X1525" t="s">
        <v>5553</v>
      </c>
      <c r="Y1525" t="s">
        <v>5554</v>
      </c>
      <c r="Z1525">
        <v>235.10040509999999</v>
      </c>
    </row>
    <row r="1526" spans="1:26" hidden="1">
      <c r="A1526">
        <v>1525</v>
      </c>
      <c r="B1526" t="s">
        <v>5555</v>
      </c>
      <c r="C1526" t="s">
        <v>134</v>
      </c>
      <c r="D1526" s="13" t="b">
        <v>0</v>
      </c>
      <c r="E1526">
        <v>1.4E-2</v>
      </c>
      <c r="F1526">
        <v>1.8538719640000001</v>
      </c>
      <c r="M1526">
        <v>25</v>
      </c>
      <c r="N1526" t="s">
        <v>179</v>
      </c>
      <c r="X1526" t="s">
        <v>5556</v>
      </c>
      <c r="Y1526" t="s">
        <v>5557</v>
      </c>
      <c r="Z1526">
        <v>413.12728809999999</v>
      </c>
    </row>
    <row r="1527" spans="1:26" hidden="1">
      <c r="A1527">
        <v>1526</v>
      </c>
      <c r="B1527" t="s">
        <v>5558</v>
      </c>
      <c r="C1527" t="s">
        <v>28</v>
      </c>
      <c r="D1527" s="1" t="b">
        <v>0</v>
      </c>
      <c r="E1527">
        <v>2.398833E-3</v>
      </c>
      <c r="F1527">
        <v>2.62</v>
      </c>
      <c r="G1527">
        <v>37.6</v>
      </c>
      <c r="H1527">
        <v>2.4700000000000001E-6</v>
      </c>
      <c r="I1527">
        <v>0.68</v>
      </c>
      <c r="J1527">
        <v>34.4</v>
      </c>
      <c r="K1527">
        <v>2.9603935699999999</v>
      </c>
      <c r="L1527">
        <v>5.1798526999999997E-2</v>
      </c>
      <c r="M1527">
        <v>25</v>
      </c>
      <c r="N1527" t="s">
        <v>2484</v>
      </c>
      <c r="O1527" t="s">
        <v>2484</v>
      </c>
      <c r="P1527" t="s">
        <v>2484</v>
      </c>
      <c r="R1527" t="s">
        <v>2484</v>
      </c>
      <c r="S1527" t="s">
        <v>2484</v>
      </c>
      <c r="T1527" t="s">
        <v>2484</v>
      </c>
      <c r="U1527" t="s">
        <v>31</v>
      </c>
      <c r="V1527" t="s">
        <v>31</v>
      </c>
      <c r="X1527" t="s">
        <v>5559</v>
      </c>
      <c r="Y1527" t="s">
        <v>5560</v>
      </c>
      <c r="Z1527">
        <v>490.284132</v>
      </c>
    </row>
    <row r="1528" spans="1:26" hidden="1">
      <c r="A1528">
        <v>1527</v>
      </c>
      <c r="B1528" t="s">
        <v>5561</v>
      </c>
      <c r="C1528" t="s">
        <v>28</v>
      </c>
      <c r="D1528" s="1" t="b">
        <v>0</v>
      </c>
      <c r="E1528">
        <v>2.6302679999999998E-3</v>
      </c>
      <c r="F1528">
        <v>2.58</v>
      </c>
      <c r="G1528">
        <v>52.1</v>
      </c>
      <c r="H1528">
        <v>2.52E-6</v>
      </c>
      <c r="I1528">
        <v>0.66</v>
      </c>
      <c r="J1528">
        <v>18.600000000000001</v>
      </c>
      <c r="K1528">
        <v>2.5776830570000002</v>
      </c>
      <c r="L1528">
        <v>7.5949771999999999E-2</v>
      </c>
      <c r="M1528">
        <v>25</v>
      </c>
      <c r="N1528" t="s">
        <v>2484</v>
      </c>
      <c r="O1528" t="s">
        <v>2484</v>
      </c>
      <c r="P1528" t="s">
        <v>2484</v>
      </c>
      <c r="R1528" t="s">
        <v>2484</v>
      </c>
      <c r="S1528" t="s">
        <v>2484</v>
      </c>
      <c r="T1528" t="s">
        <v>2484</v>
      </c>
      <c r="U1528" t="s">
        <v>31</v>
      </c>
      <c r="V1528" t="s">
        <v>31</v>
      </c>
      <c r="X1528" t="s">
        <v>5562</v>
      </c>
      <c r="Y1528" t="s">
        <v>5563</v>
      </c>
      <c r="Z1528">
        <v>476.26848189999998</v>
      </c>
    </row>
    <row r="1529" spans="1:26" hidden="1">
      <c r="A1529">
        <v>1528</v>
      </c>
      <c r="B1529" t="s">
        <v>5564</v>
      </c>
      <c r="C1529" t="s">
        <v>28</v>
      </c>
      <c r="D1529" s="1" t="b">
        <v>0</v>
      </c>
      <c r="E1529">
        <v>2.9512090000000002E-3</v>
      </c>
      <c r="F1529">
        <v>2.5299999999999998</v>
      </c>
      <c r="G1529">
        <v>53.2</v>
      </c>
      <c r="H1529">
        <v>2.5500000000000001E-6</v>
      </c>
      <c r="I1529">
        <v>0.64</v>
      </c>
      <c r="J1529">
        <v>18.8</v>
      </c>
      <c r="K1529">
        <v>2.5025237869999999</v>
      </c>
      <c r="L1529">
        <v>8.1878094999999998E-2</v>
      </c>
      <c r="M1529">
        <v>25</v>
      </c>
      <c r="N1529" t="s">
        <v>2484</v>
      </c>
      <c r="O1529" t="s">
        <v>2484</v>
      </c>
      <c r="P1529" t="s">
        <v>2484</v>
      </c>
      <c r="R1529" t="s">
        <v>2484</v>
      </c>
      <c r="S1529" t="s">
        <v>2484</v>
      </c>
      <c r="T1529" t="s">
        <v>2484</v>
      </c>
      <c r="U1529" t="s">
        <v>31</v>
      </c>
      <c r="V1529" t="s">
        <v>31</v>
      </c>
      <c r="X1529" t="s">
        <v>5565</v>
      </c>
      <c r="Y1529" t="s">
        <v>5566</v>
      </c>
      <c r="Z1529">
        <v>462.25283189999999</v>
      </c>
    </row>
    <row r="1530" spans="1:26" hidden="1">
      <c r="A1530">
        <v>1529</v>
      </c>
      <c r="B1530" t="s">
        <v>5567</v>
      </c>
      <c r="C1530" t="s">
        <v>28</v>
      </c>
      <c r="D1530" s="1" t="b">
        <v>0</v>
      </c>
      <c r="E1530">
        <v>3.0199519999999998E-3</v>
      </c>
      <c r="F1530">
        <v>2.52</v>
      </c>
      <c r="G1530">
        <v>54.4</v>
      </c>
      <c r="H1530">
        <v>2.5799999999999999E-6</v>
      </c>
      <c r="I1530">
        <v>0.62</v>
      </c>
      <c r="J1530">
        <v>17.600000000000001</v>
      </c>
      <c r="K1530">
        <v>2.4656865560000001</v>
      </c>
      <c r="L1530">
        <v>8.4950498999999999E-2</v>
      </c>
      <c r="M1530">
        <v>25</v>
      </c>
      <c r="N1530" t="s">
        <v>2484</v>
      </c>
      <c r="O1530" t="s">
        <v>2484</v>
      </c>
      <c r="P1530" t="s">
        <v>2484</v>
      </c>
      <c r="R1530" t="s">
        <v>2484</v>
      </c>
      <c r="S1530" t="s">
        <v>2484</v>
      </c>
      <c r="T1530" t="s">
        <v>2484</v>
      </c>
      <c r="U1530" t="s">
        <v>31</v>
      </c>
      <c r="V1530" t="s">
        <v>31</v>
      </c>
      <c r="X1530" t="s">
        <v>5568</v>
      </c>
      <c r="Y1530" t="s">
        <v>5569</v>
      </c>
      <c r="Z1530">
        <v>448.23718179999997</v>
      </c>
    </row>
    <row r="1531" spans="1:26" hidden="1">
      <c r="A1531">
        <v>1530</v>
      </c>
      <c r="B1531" t="s">
        <v>5570</v>
      </c>
      <c r="C1531" t="s">
        <v>28</v>
      </c>
      <c r="D1531" s="1" t="b">
        <v>0</v>
      </c>
      <c r="E1531">
        <v>3.2359369999999999E-3</v>
      </c>
      <c r="F1531">
        <v>2.4900000000000002</v>
      </c>
      <c r="G1531">
        <v>55.5</v>
      </c>
      <c r="H1531">
        <v>2.61E-6</v>
      </c>
      <c r="I1531">
        <v>0.6</v>
      </c>
      <c r="J1531">
        <v>18.100000000000001</v>
      </c>
      <c r="K1531">
        <v>2.41170332</v>
      </c>
      <c r="L1531">
        <v>8.9662440999999996E-2</v>
      </c>
      <c r="M1531">
        <v>25</v>
      </c>
      <c r="N1531" t="s">
        <v>2484</v>
      </c>
      <c r="O1531" t="s">
        <v>2484</v>
      </c>
      <c r="P1531" t="s">
        <v>2484</v>
      </c>
      <c r="R1531" t="s">
        <v>2484</v>
      </c>
      <c r="S1531" t="s">
        <v>2484</v>
      </c>
      <c r="T1531" t="s">
        <v>2484</v>
      </c>
      <c r="U1531" t="s">
        <v>31</v>
      </c>
      <c r="V1531" t="s">
        <v>31</v>
      </c>
      <c r="X1531" t="s">
        <v>5571</v>
      </c>
      <c r="Y1531" t="s">
        <v>5572</v>
      </c>
      <c r="Z1531">
        <v>434.22153179999998</v>
      </c>
    </row>
    <row r="1532" spans="1:26" hidden="1">
      <c r="A1532">
        <v>1531</v>
      </c>
      <c r="B1532" t="s">
        <v>5573</v>
      </c>
      <c r="C1532" t="s">
        <v>134</v>
      </c>
      <c r="D1532" s="1" t="b">
        <v>0</v>
      </c>
      <c r="E1532">
        <v>0.2</v>
      </c>
      <c r="F1532">
        <v>0.69897000399999998</v>
      </c>
      <c r="M1532">
        <v>25</v>
      </c>
      <c r="N1532" t="s">
        <v>89</v>
      </c>
      <c r="P1532" t="s">
        <v>103</v>
      </c>
      <c r="W1532" t="s">
        <v>5574</v>
      </c>
      <c r="X1532" t="s">
        <v>5575</v>
      </c>
      <c r="Y1532" t="s">
        <v>5576</v>
      </c>
      <c r="Z1532">
        <v>332.09056829999997</v>
      </c>
    </row>
    <row r="1533" spans="1:26">
      <c r="A1533">
        <v>1532</v>
      </c>
      <c r="B1533" s="2" t="s">
        <v>5577</v>
      </c>
      <c r="C1533" t="s">
        <v>161</v>
      </c>
      <c r="D1533" s="1" t="b">
        <v>1</v>
      </c>
      <c r="E1533">
        <v>5.8000000000000003E-2</v>
      </c>
      <c r="F1533">
        <v>1.2365720060000001</v>
      </c>
      <c r="M1533">
        <v>25</v>
      </c>
      <c r="N1533" t="s">
        <v>162</v>
      </c>
      <c r="P1533" t="s">
        <v>164</v>
      </c>
      <c r="W1533" t="s">
        <v>5578</v>
      </c>
      <c r="X1533" t="s">
        <v>5579</v>
      </c>
      <c r="Y1533" t="s">
        <v>5580</v>
      </c>
      <c r="Z1533">
        <v>268.15220310000001</v>
      </c>
    </row>
    <row r="1534" spans="1:26">
      <c r="A1534">
        <v>1533</v>
      </c>
      <c r="B1534" s="2" t="s">
        <v>5581</v>
      </c>
      <c r="C1534" t="s">
        <v>83</v>
      </c>
      <c r="D1534" s="1" t="b">
        <v>1</v>
      </c>
      <c r="E1534">
        <v>5.7939999999999998E-2</v>
      </c>
      <c r="F1534">
        <v>1.2370215090000001</v>
      </c>
      <c r="M1534">
        <v>25</v>
      </c>
      <c r="N1534" t="s">
        <v>207</v>
      </c>
      <c r="X1534" t="s">
        <v>5582</v>
      </c>
      <c r="Y1534" t="s">
        <v>5583</v>
      </c>
      <c r="Z1534">
        <v>205.10759859999999</v>
      </c>
    </row>
    <row r="1535" spans="1:26">
      <c r="A1535">
        <v>1534</v>
      </c>
      <c r="B1535" s="2" t="s">
        <v>5584</v>
      </c>
      <c r="C1535" t="s">
        <v>83</v>
      </c>
      <c r="D1535" s="1" t="b">
        <v>1</v>
      </c>
      <c r="E1535">
        <v>0.11990000000000001</v>
      </c>
      <c r="F1535">
        <v>0.92118081699999999</v>
      </c>
      <c r="M1535">
        <v>25</v>
      </c>
      <c r="N1535" t="s">
        <v>207</v>
      </c>
      <c r="X1535" t="s">
        <v>5585</v>
      </c>
      <c r="Y1535" t="s">
        <v>5586</v>
      </c>
      <c r="Z1535">
        <v>235.11816329999999</v>
      </c>
    </row>
    <row r="1536" spans="1:26" hidden="1">
      <c r="A1536">
        <v>1535</v>
      </c>
      <c r="B1536" t="s">
        <v>5587</v>
      </c>
      <c r="C1536" t="s">
        <v>83</v>
      </c>
      <c r="D1536" s="1" t="b">
        <v>0</v>
      </c>
      <c r="E1536">
        <v>0.97950000000000004</v>
      </c>
      <c r="F1536">
        <v>8.9955599999999997E-3</v>
      </c>
      <c r="M1536">
        <v>25</v>
      </c>
      <c r="N1536" t="s">
        <v>207</v>
      </c>
      <c r="W1536" t="s">
        <v>5588</v>
      </c>
      <c r="X1536" t="s">
        <v>5589</v>
      </c>
      <c r="Y1536" t="s">
        <v>5590</v>
      </c>
      <c r="Z1536">
        <v>118.0993797</v>
      </c>
    </row>
    <row r="1537" spans="1:26" hidden="1">
      <c r="A1537">
        <v>1536</v>
      </c>
      <c r="B1537" t="s">
        <v>5591</v>
      </c>
      <c r="C1537" t="s">
        <v>83</v>
      </c>
      <c r="D1537" s="1" t="b">
        <v>0</v>
      </c>
      <c r="E1537">
        <v>0.7762</v>
      </c>
      <c r="F1537">
        <v>0.110026362</v>
      </c>
      <c r="M1537">
        <v>25</v>
      </c>
      <c r="N1537" t="s">
        <v>207</v>
      </c>
      <c r="X1537" t="s">
        <v>5592</v>
      </c>
      <c r="Y1537" t="s">
        <v>5593</v>
      </c>
      <c r="Z1537">
        <v>338.23045339999999</v>
      </c>
    </row>
    <row r="1538" spans="1:26">
      <c r="A1538">
        <v>1537</v>
      </c>
      <c r="B1538" s="2" t="s">
        <v>5594</v>
      </c>
      <c r="C1538" t="s">
        <v>161</v>
      </c>
      <c r="D1538" s="1" t="b">
        <v>1</v>
      </c>
      <c r="E1538">
        <v>0.18</v>
      </c>
      <c r="F1538">
        <v>0.74472749500000002</v>
      </c>
      <c r="H1538" s="3">
        <v>2.9000000000000002E-6</v>
      </c>
      <c r="I1538" s="2">
        <v>0.57999999999999996</v>
      </c>
      <c r="K1538" s="2">
        <v>1.8</v>
      </c>
      <c r="L1538" s="2">
        <f>10^(-K1538)</f>
        <v>1.5848931924611124E-2</v>
      </c>
      <c r="M1538">
        <v>25</v>
      </c>
      <c r="N1538" t="s">
        <v>162</v>
      </c>
      <c r="P1538" t="s">
        <v>164</v>
      </c>
      <c r="R1538" s="2" t="s">
        <v>4345</v>
      </c>
      <c r="T1538" s="2" t="s">
        <v>4345</v>
      </c>
      <c r="U1538" s="2" t="s">
        <v>4345</v>
      </c>
      <c r="V1538" s="2" t="s">
        <v>31</v>
      </c>
      <c r="W1538" t="s">
        <v>5595</v>
      </c>
      <c r="X1538" t="s">
        <v>5596</v>
      </c>
      <c r="Y1538" t="s">
        <v>5597</v>
      </c>
      <c r="Z1538">
        <v>284.12935950000002</v>
      </c>
    </row>
    <row r="1539" spans="1:26">
      <c r="A1539">
        <v>1538</v>
      </c>
      <c r="B1539" s="2" t="s">
        <v>5598</v>
      </c>
      <c r="C1539" t="s">
        <v>83</v>
      </c>
      <c r="D1539" s="1" t="b">
        <v>1</v>
      </c>
      <c r="E1539">
        <v>0.1799</v>
      </c>
      <c r="F1539">
        <v>0.74496883700000005</v>
      </c>
      <c r="M1539">
        <v>25</v>
      </c>
      <c r="N1539" t="s">
        <v>207</v>
      </c>
      <c r="X1539" t="s">
        <v>5599</v>
      </c>
      <c r="Y1539" t="s">
        <v>5600</v>
      </c>
      <c r="Z1539">
        <v>221.084755</v>
      </c>
    </row>
    <row r="1540" spans="1:26" hidden="1">
      <c r="A1540">
        <v>1539</v>
      </c>
      <c r="B1540" t="s">
        <v>5601</v>
      </c>
      <c r="C1540" t="s">
        <v>28</v>
      </c>
      <c r="D1540" s="1" t="b">
        <v>0</v>
      </c>
      <c r="E1540">
        <v>0.1585</v>
      </c>
      <c r="F1540">
        <v>0.79997073299999999</v>
      </c>
      <c r="M1540">
        <v>25</v>
      </c>
      <c r="N1540" t="s">
        <v>5210</v>
      </c>
      <c r="X1540" t="s">
        <v>5602</v>
      </c>
      <c r="Y1540" t="s">
        <v>5603</v>
      </c>
      <c r="Z1540">
        <v>432.135088</v>
      </c>
    </row>
    <row r="1541" spans="1:26">
      <c r="A1541">
        <v>1540</v>
      </c>
      <c r="B1541" s="2" t="s">
        <v>5604</v>
      </c>
      <c r="C1541" t="s">
        <v>83</v>
      </c>
      <c r="D1541" s="1" t="b">
        <v>1</v>
      </c>
      <c r="E1541">
        <v>6.4599999999999998E-5</v>
      </c>
      <c r="F1541">
        <v>4.1897674819999997</v>
      </c>
      <c r="G1541">
        <v>37.9</v>
      </c>
      <c r="H1541">
        <v>1.99E-6</v>
      </c>
      <c r="I1541">
        <v>0.84</v>
      </c>
      <c r="J1541">
        <v>34.6</v>
      </c>
      <c r="K1541">
        <v>5.42</v>
      </c>
      <c r="L1541">
        <v>3.8199999999999998E-6</v>
      </c>
      <c r="M1541">
        <v>25</v>
      </c>
      <c r="N1541" t="s">
        <v>194</v>
      </c>
      <c r="O1541" t="s">
        <v>194</v>
      </c>
      <c r="Q1541" t="s">
        <v>194</v>
      </c>
      <c r="R1541" t="s">
        <v>194</v>
      </c>
      <c r="S1541" t="s">
        <v>194</v>
      </c>
      <c r="T1541" t="s">
        <v>194</v>
      </c>
      <c r="U1541" t="s">
        <v>194</v>
      </c>
      <c r="X1541" t="s">
        <v>5605</v>
      </c>
      <c r="Y1541" t="s">
        <v>5606</v>
      </c>
      <c r="Z1541">
        <v>1945.1595830000001</v>
      </c>
    </row>
    <row r="1542" spans="1:26" hidden="1">
      <c r="A1542">
        <v>1541</v>
      </c>
      <c r="B1542" t="s">
        <v>5607</v>
      </c>
      <c r="C1542" t="s">
        <v>54</v>
      </c>
      <c r="D1542" s="1" t="b">
        <v>0</v>
      </c>
      <c r="G1542">
        <v>51.1</v>
      </c>
      <c r="O1542" t="s">
        <v>29</v>
      </c>
      <c r="Q1542" t="s">
        <v>5249</v>
      </c>
      <c r="X1542" t="s">
        <v>5608</v>
      </c>
      <c r="Y1542" t="s">
        <v>5609</v>
      </c>
      <c r="Z1542">
        <v>171.0814771</v>
      </c>
    </row>
    <row r="1543" spans="1:26" hidden="1">
      <c r="A1543">
        <v>1542</v>
      </c>
      <c r="B1543" t="s">
        <v>5610</v>
      </c>
      <c r="C1543" t="s">
        <v>28</v>
      </c>
      <c r="D1543" s="1" t="b">
        <v>0</v>
      </c>
      <c r="E1543">
        <v>2.8840319999999999E-3</v>
      </c>
      <c r="F1543">
        <v>2.54</v>
      </c>
      <c r="G1543">
        <v>39.4</v>
      </c>
      <c r="H1543">
        <v>2.5299999999999999E-6</v>
      </c>
      <c r="I1543">
        <v>0.65</v>
      </c>
      <c r="J1543">
        <v>32.6</v>
      </c>
      <c r="K1543">
        <v>2.830780871</v>
      </c>
      <c r="L1543">
        <v>5.8966789999999998E-2</v>
      </c>
      <c r="M1543">
        <v>25</v>
      </c>
      <c r="N1543" t="s">
        <v>2484</v>
      </c>
      <c r="O1543" t="s">
        <v>2484</v>
      </c>
      <c r="P1543" t="s">
        <v>2484</v>
      </c>
      <c r="R1543" t="s">
        <v>2484</v>
      </c>
      <c r="S1543" t="s">
        <v>2484</v>
      </c>
      <c r="T1543" t="s">
        <v>2484</v>
      </c>
      <c r="U1543" t="s">
        <v>31</v>
      </c>
      <c r="V1543" t="s">
        <v>31</v>
      </c>
      <c r="X1543" t="s">
        <v>5611</v>
      </c>
      <c r="Y1543" t="s">
        <v>5612</v>
      </c>
      <c r="Z1543">
        <v>462.25283189999999</v>
      </c>
    </row>
    <row r="1544" spans="1:26" hidden="1">
      <c r="A1544">
        <v>1543</v>
      </c>
      <c r="B1544" t="s">
        <v>5613</v>
      </c>
      <c r="C1544" t="s">
        <v>28</v>
      </c>
      <c r="D1544" s="1" t="b">
        <v>0</v>
      </c>
      <c r="E1544">
        <v>3.2359369999999999E-3</v>
      </c>
      <c r="F1544">
        <v>2.4900000000000002</v>
      </c>
      <c r="G1544">
        <v>53.9</v>
      </c>
      <c r="H1544">
        <v>2.5600000000000001E-6</v>
      </c>
      <c r="I1544">
        <v>0.64</v>
      </c>
      <c r="J1544">
        <v>16.5</v>
      </c>
      <c r="K1544">
        <v>2.4466659339999999</v>
      </c>
      <c r="L1544">
        <v>8.6581775E-2</v>
      </c>
      <c r="M1544">
        <v>25</v>
      </c>
      <c r="N1544" t="s">
        <v>2484</v>
      </c>
      <c r="O1544" t="s">
        <v>2484</v>
      </c>
      <c r="P1544" t="s">
        <v>2484</v>
      </c>
      <c r="R1544" t="s">
        <v>2484</v>
      </c>
      <c r="S1544" t="s">
        <v>2484</v>
      </c>
      <c r="T1544" t="s">
        <v>2484</v>
      </c>
      <c r="U1544" t="s">
        <v>31</v>
      </c>
      <c r="V1544" t="s">
        <v>31</v>
      </c>
      <c r="X1544" t="s">
        <v>5614</v>
      </c>
      <c r="Y1544" t="s">
        <v>5615</v>
      </c>
      <c r="Z1544">
        <v>448.23718179999997</v>
      </c>
    </row>
    <row r="1545" spans="1:26" hidden="1">
      <c r="A1545">
        <v>1544</v>
      </c>
      <c r="B1545" t="s">
        <v>5616</v>
      </c>
      <c r="C1545" t="s">
        <v>28</v>
      </c>
      <c r="D1545" s="1" t="b">
        <v>0</v>
      </c>
      <c r="E1545">
        <v>3.5481340000000001E-3</v>
      </c>
      <c r="F1545">
        <v>2.4500000000000002</v>
      </c>
      <c r="G1545">
        <v>55.1</v>
      </c>
      <c r="H1545">
        <v>2.5900000000000002E-6</v>
      </c>
      <c r="I1545">
        <v>0.62</v>
      </c>
      <c r="J1545">
        <v>16.87</v>
      </c>
      <c r="K1545">
        <v>2.3801160029999999</v>
      </c>
      <c r="L1545">
        <v>9.2539841999999997E-2</v>
      </c>
      <c r="M1545">
        <v>25</v>
      </c>
      <c r="N1545" t="s">
        <v>2484</v>
      </c>
      <c r="O1545" t="s">
        <v>2484</v>
      </c>
      <c r="P1545" t="s">
        <v>648</v>
      </c>
      <c r="R1545" t="s">
        <v>2484</v>
      </c>
      <c r="S1545" t="s">
        <v>31</v>
      </c>
      <c r="T1545" t="s">
        <v>2484</v>
      </c>
      <c r="U1545" t="s">
        <v>31</v>
      </c>
      <c r="V1545" t="s">
        <v>31</v>
      </c>
      <c r="X1545" t="s">
        <v>5617</v>
      </c>
      <c r="Y1545" t="s">
        <v>5618</v>
      </c>
      <c r="Z1545">
        <v>434.22153179999998</v>
      </c>
    </row>
    <row r="1546" spans="1:26" hidden="1">
      <c r="A1546">
        <v>1545</v>
      </c>
      <c r="B1546" t="s">
        <v>5619</v>
      </c>
      <c r="C1546" t="s">
        <v>28</v>
      </c>
      <c r="D1546" s="1" t="b">
        <v>0</v>
      </c>
      <c r="E1546">
        <v>3.630781E-3</v>
      </c>
      <c r="F1546">
        <v>2.44</v>
      </c>
      <c r="G1546">
        <v>56.3</v>
      </c>
      <c r="H1546">
        <v>2.6199999999999999E-6</v>
      </c>
      <c r="I1546">
        <v>0.6</v>
      </c>
      <c r="J1546">
        <v>15.7</v>
      </c>
      <c r="K1546">
        <v>2.3441740850000001</v>
      </c>
      <c r="L1546">
        <v>9.5926395999999997E-2</v>
      </c>
      <c r="M1546">
        <v>25</v>
      </c>
      <c r="N1546" t="s">
        <v>2484</v>
      </c>
      <c r="O1546" t="s">
        <v>2484</v>
      </c>
      <c r="P1546" t="s">
        <v>2484</v>
      </c>
      <c r="R1546" t="s">
        <v>2484</v>
      </c>
      <c r="S1546" t="s">
        <v>2484</v>
      </c>
      <c r="T1546" t="s">
        <v>2484</v>
      </c>
      <c r="U1546" t="s">
        <v>31</v>
      </c>
      <c r="V1546" t="s">
        <v>31</v>
      </c>
      <c r="X1546" t="s">
        <v>5620</v>
      </c>
      <c r="Y1546" t="s">
        <v>5621</v>
      </c>
      <c r="Z1546">
        <v>420.20588170000002</v>
      </c>
    </row>
    <row r="1547" spans="1:26" hidden="1">
      <c r="A1547">
        <v>1546</v>
      </c>
      <c r="B1547" t="s">
        <v>5622</v>
      </c>
      <c r="C1547" t="s">
        <v>28</v>
      </c>
      <c r="D1547" s="1" t="b">
        <v>0</v>
      </c>
      <c r="E1547">
        <v>3.8904510000000001E-3</v>
      </c>
      <c r="F1547">
        <v>2.41</v>
      </c>
      <c r="G1547">
        <v>57.4</v>
      </c>
      <c r="H1547">
        <v>2.65E-6</v>
      </c>
      <c r="I1547">
        <v>0.57999999999999996</v>
      </c>
      <c r="J1547">
        <v>14.6</v>
      </c>
      <c r="K1547">
        <v>2.2910228140000002</v>
      </c>
      <c r="L1547">
        <v>0.10116293799999999</v>
      </c>
      <c r="M1547">
        <v>25</v>
      </c>
      <c r="N1547" t="s">
        <v>2484</v>
      </c>
      <c r="O1547" t="s">
        <v>2484</v>
      </c>
      <c r="P1547" t="s">
        <v>2484</v>
      </c>
      <c r="R1547" t="s">
        <v>2484</v>
      </c>
      <c r="S1547" t="s">
        <v>2484</v>
      </c>
      <c r="T1547" t="s">
        <v>2484</v>
      </c>
      <c r="U1547" t="s">
        <v>31</v>
      </c>
      <c r="V1547" t="s">
        <v>31</v>
      </c>
      <c r="X1547" t="s">
        <v>5623</v>
      </c>
      <c r="Y1547" t="s">
        <v>5624</v>
      </c>
      <c r="Z1547">
        <v>406.1902316</v>
      </c>
    </row>
    <row r="1548" spans="1:26" hidden="1">
      <c r="A1548">
        <v>1547</v>
      </c>
      <c r="B1548" t="s">
        <v>5625</v>
      </c>
      <c r="C1548" t="s">
        <v>83</v>
      </c>
      <c r="D1548" s="1" t="b">
        <v>0</v>
      </c>
      <c r="E1548">
        <v>2.3989999999999999E-5</v>
      </c>
      <c r="F1548">
        <v>4.6199697520000003</v>
      </c>
      <c r="M1548">
        <v>25</v>
      </c>
      <c r="N1548" t="s">
        <v>207</v>
      </c>
      <c r="X1548" t="s">
        <v>5626</v>
      </c>
      <c r="Y1548" t="s">
        <v>5627</v>
      </c>
      <c r="Z1548">
        <v>607.10152319999997</v>
      </c>
    </row>
    <row r="1549" spans="1:26" hidden="1">
      <c r="A1549">
        <v>1548</v>
      </c>
      <c r="B1549" t="s">
        <v>5628</v>
      </c>
      <c r="C1549" t="s">
        <v>83</v>
      </c>
      <c r="D1549" s="1" t="b">
        <v>0</v>
      </c>
      <c r="E1549">
        <v>1.4999999999999999E-4</v>
      </c>
      <c r="F1549">
        <v>3.8239087409999999</v>
      </c>
      <c r="M1549">
        <v>25</v>
      </c>
      <c r="N1549" t="s">
        <v>207</v>
      </c>
      <c r="X1549" t="s">
        <v>5629</v>
      </c>
      <c r="Y1549" t="s">
        <v>5630</v>
      </c>
      <c r="Z1549">
        <v>507.10791030000001</v>
      </c>
    </row>
    <row r="1550" spans="1:26" hidden="1">
      <c r="A1550">
        <v>1549</v>
      </c>
      <c r="B1550" t="s">
        <v>5631</v>
      </c>
      <c r="C1550" t="s">
        <v>83</v>
      </c>
      <c r="D1550" s="1" t="b">
        <v>0</v>
      </c>
      <c r="E1550">
        <v>9.7949999999999999E-3</v>
      </c>
      <c r="F1550">
        <v>2.0089955599999998</v>
      </c>
      <c r="M1550">
        <v>25</v>
      </c>
      <c r="N1550" t="s">
        <v>207</v>
      </c>
      <c r="X1550" t="s">
        <v>5632</v>
      </c>
      <c r="Y1550" t="s">
        <v>5633</v>
      </c>
      <c r="Z1550">
        <v>407.1142974</v>
      </c>
    </row>
    <row r="1551" spans="1:26" hidden="1">
      <c r="A1551">
        <v>1550</v>
      </c>
      <c r="B1551" t="s">
        <v>5634</v>
      </c>
      <c r="C1551" t="s">
        <v>83</v>
      </c>
      <c r="D1551" s="1" t="b">
        <v>0</v>
      </c>
      <c r="E1551">
        <v>1.099E-5</v>
      </c>
      <c r="F1551">
        <v>4.9590023079999996</v>
      </c>
      <c r="M1551">
        <v>25</v>
      </c>
      <c r="N1551" t="s">
        <v>207</v>
      </c>
      <c r="X1551" t="s">
        <v>5635</v>
      </c>
      <c r="Y1551" t="s">
        <v>5636</v>
      </c>
      <c r="Z1551">
        <v>651.12773790000006</v>
      </c>
    </row>
    <row r="1552" spans="1:26" hidden="1">
      <c r="A1552">
        <v>1551</v>
      </c>
      <c r="B1552" t="s">
        <v>5637</v>
      </c>
      <c r="C1552" t="s">
        <v>83</v>
      </c>
      <c r="D1552" s="1" t="b">
        <v>0</v>
      </c>
      <c r="E1552">
        <v>8.9950000000000004E-5</v>
      </c>
      <c r="F1552">
        <v>4.0459988320000004</v>
      </c>
      <c r="M1552">
        <v>25</v>
      </c>
      <c r="N1552" t="s">
        <v>207</v>
      </c>
      <c r="X1552" t="s">
        <v>5638</v>
      </c>
      <c r="Y1552" t="s">
        <v>5639</v>
      </c>
      <c r="Z1552">
        <v>551.13412500000004</v>
      </c>
    </row>
    <row r="1553" spans="1:26" hidden="1">
      <c r="A1553">
        <v>1552</v>
      </c>
      <c r="B1553" t="s">
        <v>5640</v>
      </c>
      <c r="C1553" t="s">
        <v>83</v>
      </c>
      <c r="D1553" s="1" t="b">
        <v>0</v>
      </c>
      <c r="E1553">
        <v>1.4E-3</v>
      </c>
      <c r="F1553">
        <v>2.8538719640000001</v>
      </c>
      <c r="M1553">
        <v>25</v>
      </c>
      <c r="N1553" t="s">
        <v>207</v>
      </c>
      <c r="X1553" t="s">
        <v>5641</v>
      </c>
      <c r="Y1553" t="s">
        <v>5642</v>
      </c>
      <c r="Z1553">
        <v>451.14051219999999</v>
      </c>
    </row>
    <row r="1554" spans="1:26">
      <c r="A1554">
        <v>1553</v>
      </c>
      <c r="B1554" s="2" t="s">
        <v>5643</v>
      </c>
      <c r="C1554" t="s">
        <v>83</v>
      </c>
      <c r="D1554" s="1" t="b">
        <v>1</v>
      </c>
      <c r="E1554">
        <v>7.2399999999999998E-5</v>
      </c>
      <c r="F1554">
        <v>4.1402614340000001</v>
      </c>
      <c r="G1554">
        <v>30.4</v>
      </c>
      <c r="H1554">
        <v>2.1600000000000001E-6</v>
      </c>
      <c r="I1554">
        <v>0.77</v>
      </c>
      <c r="J1554">
        <v>42.1</v>
      </c>
      <c r="K1554">
        <v>5.76</v>
      </c>
      <c r="L1554">
        <v>1.7400000000000001E-6</v>
      </c>
      <c r="M1554">
        <v>25</v>
      </c>
      <c r="N1554" t="s">
        <v>194</v>
      </c>
      <c r="O1554" t="s">
        <v>194</v>
      </c>
      <c r="Q1554" t="s">
        <v>194</v>
      </c>
      <c r="R1554" t="s">
        <v>194</v>
      </c>
      <c r="S1554" t="s">
        <v>194</v>
      </c>
      <c r="T1554" t="s">
        <v>194</v>
      </c>
      <c r="U1554" t="s">
        <v>194</v>
      </c>
      <c r="X1554" t="s">
        <v>5644</v>
      </c>
      <c r="Y1554" t="s">
        <v>5645</v>
      </c>
      <c r="Z1554">
        <v>1917.128283</v>
      </c>
    </row>
    <row r="1555" spans="1:26">
      <c r="A1555">
        <v>1554</v>
      </c>
      <c r="B1555" s="2" t="s">
        <v>5646</v>
      </c>
      <c r="C1555" t="s">
        <v>83</v>
      </c>
      <c r="D1555" s="1" t="b">
        <v>1</v>
      </c>
      <c r="E1555">
        <v>6.6099999999999994E-5</v>
      </c>
      <c r="F1555">
        <v>4.1797985410000003</v>
      </c>
      <c r="G1555">
        <v>41.6</v>
      </c>
      <c r="H1555">
        <v>1.86E-6</v>
      </c>
      <c r="I1555">
        <v>0.89</v>
      </c>
      <c r="J1555">
        <v>30.9</v>
      </c>
      <c r="K1555">
        <v>5.1100000000000003</v>
      </c>
      <c r="L1555">
        <v>7.7800000000000001E-6</v>
      </c>
      <c r="M1555">
        <v>25</v>
      </c>
      <c r="N1555" t="s">
        <v>194</v>
      </c>
      <c r="O1555" t="s">
        <v>194</v>
      </c>
      <c r="Q1555" t="s">
        <v>194</v>
      </c>
      <c r="R1555" t="s">
        <v>194</v>
      </c>
      <c r="S1555" t="s">
        <v>194</v>
      </c>
      <c r="T1555" t="s">
        <v>194</v>
      </c>
      <c r="U1555" t="s">
        <v>194</v>
      </c>
      <c r="X1555" t="s">
        <v>5647</v>
      </c>
      <c r="Y1555" t="s">
        <v>5648</v>
      </c>
      <c r="Z1555">
        <v>1945.1595830000001</v>
      </c>
    </row>
    <row r="1556" spans="1:26" hidden="1">
      <c r="A1556">
        <v>1555</v>
      </c>
      <c r="B1556" t="s">
        <v>5649</v>
      </c>
      <c r="C1556" t="s">
        <v>28</v>
      </c>
      <c r="D1556" s="1" t="b">
        <v>0</v>
      </c>
      <c r="E1556">
        <v>3.5481340000000001E-3</v>
      </c>
      <c r="F1556">
        <v>2.4500000000000002</v>
      </c>
      <c r="G1556">
        <v>42.6</v>
      </c>
      <c r="H1556">
        <v>2.5900000000000002E-6</v>
      </c>
      <c r="I1556">
        <v>0.62</v>
      </c>
      <c r="J1556">
        <v>16.899999999999999</v>
      </c>
      <c r="K1556">
        <v>2.6619063139999999</v>
      </c>
      <c r="L1556">
        <v>6.9815004999999999E-2</v>
      </c>
      <c r="M1556">
        <v>25</v>
      </c>
      <c r="N1556" t="s">
        <v>2484</v>
      </c>
      <c r="O1556" t="s">
        <v>2484</v>
      </c>
      <c r="P1556" t="s">
        <v>2484</v>
      </c>
      <c r="R1556" t="s">
        <v>2484</v>
      </c>
      <c r="S1556" t="s">
        <v>2484</v>
      </c>
      <c r="T1556" t="s">
        <v>2484</v>
      </c>
      <c r="U1556" t="s">
        <v>31</v>
      </c>
      <c r="V1556" t="s">
        <v>31</v>
      </c>
      <c r="X1556" t="s">
        <v>5650</v>
      </c>
      <c r="Y1556" t="s">
        <v>5651</v>
      </c>
      <c r="Z1556">
        <v>434.22153179999998</v>
      </c>
    </row>
    <row r="1557" spans="1:26" hidden="1">
      <c r="A1557">
        <v>1556</v>
      </c>
      <c r="B1557" t="s">
        <v>5652</v>
      </c>
      <c r="C1557" t="s">
        <v>28</v>
      </c>
      <c r="D1557" s="1" t="b">
        <v>0</v>
      </c>
      <c r="E1557">
        <v>3.8904510000000001E-3</v>
      </c>
      <c r="F1557">
        <v>2.41</v>
      </c>
      <c r="G1557">
        <v>55.7</v>
      </c>
      <c r="H1557">
        <v>2.6000000000000001E-6</v>
      </c>
      <c r="I1557">
        <v>0.62</v>
      </c>
      <c r="J1557">
        <v>16.3</v>
      </c>
      <c r="K1557">
        <v>2.3269108749999998</v>
      </c>
      <c r="L1557">
        <v>9.7596770999999999E-2</v>
      </c>
      <c r="M1557">
        <v>25</v>
      </c>
      <c r="N1557" t="s">
        <v>2484</v>
      </c>
      <c r="O1557" t="s">
        <v>2484</v>
      </c>
      <c r="P1557" t="s">
        <v>2484</v>
      </c>
      <c r="R1557" t="s">
        <v>2484</v>
      </c>
      <c r="S1557" t="s">
        <v>2484</v>
      </c>
      <c r="T1557" t="s">
        <v>2484</v>
      </c>
      <c r="U1557" t="s">
        <v>31</v>
      </c>
      <c r="V1557" t="s">
        <v>31</v>
      </c>
      <c r="X1557" t="s">
        <v>5653</v>
      </c>
      <c r="Y1557" t="s">
        <v>5654</v>
      </c>
      <c r="Z1557">
        <v>420.20588170000002</v>
      </c>
    </row>
    <row r="1558" spans="1:26" hidden="1">
      <c r="A1558">
        <v>1557</v>
      </c>
      <c r="B1558" t="s">
        <v>5655</v>
      </c>
      <c r="C1558" t="s">
        <v>28</v>
      </c>
      <c r="D1558" s="1" t="b">
        <v>0</v>
      </c>
      <c r="E1558">
        <v>4.073803E-3</v>
      </c>
      <c r="F1558">
        <v>2.39</v>
      </c>
      <c r="G1558">
        <v>56.6</v>
      </c>
      <c r="H1558">
        <v>2.6299999999999998E-6</v>
      </c>
      <c r="I1558">
        <v>0.6</v>
      </c>
      <c r="J1558">
        <v>15.4</v>
      </c>
      <c r="K1558">
        <v>2.2878783340000002</v>
      </c>
      <c r="L1558">
        <v>0.10148154400000001</v>
      </c>
      <c r="M1558">
        <v>25</v>
      </c>
      <c r="N1558" t="s">
        <v>2484</v>
      </c>
      <c r="O1558" t="s">
        <v>2484</v>
      </c>
      <c r="P1558" t="s">
        <v>2484</v>
      </c>
      <c r="R1558" t="s">
        <v>2484</v>
      </c>
      <c r="S1558" t="s">
        <v>2484</v>
      </c>
      <c r="T1558" t="s">
        <v>2484</v>
      </c>
      <c r="U1558" t="s">
        <v>31</v>
      </c>
      <c r="V1558" t="s">
        <v>31</v>
      </c>
      <c r="X1558" t="s">
        <v>5656</v>
      </c>
      <c r="Y1558" t="s">
        <v>5657</v>
      </c>
      <c r="Z1558">
        <v>406.1902316</v>
      </c>
    </row>
    <row r="1559" spans="1:26" hidden="1">
      <c r="A1559">
        <v>1558</v>
      </c>
      <c r="B1559" t="s">
        <v>5658</v>
      </c>
      <c r="C1559" t="s">
        <v>28</v>
      </c>
      <c r="D1559" s="1" t="b">
        <v>0</v>
      </c>
      <c r="E1559">
        <v>4.7863009999999998E-3</v>
      </c>
      <c r="F1559">
        <v>2.3199999999999998</v>
      </c>
      <c r="G1559">
        <v>57.8</v>
      </c>
      <c r="H1559">
        <v>2.6599999999999999E-6</v>
      </c>
      <c r="I1559">
        <v>0.57999999999999996</v>
      </c>
      <c r="J1559">
        <v>14.2</v>
      </c>
      <c r="K1559">
        <v>2.1926901029999999</v>
      </c>
      <c r="L1559">
        <v>0.111616086</v>
      </c>
      <c r="M1559">
        <v>25</v>
      </c>
      <c r="N1559" t="s">
        <v>2484</v>
      </c>
      <c r="O1559" t="s">
        <v>2484</v>
      </c>
      <c r="P1559" t="s">
        <v>2484</v>
      </c>
      <c r="R1559" t="s">
        <v>2484</v>
      </c>
      <c r="S1559" t="s">
        <v>2484</v>
      </c>
      <c r="T1559" t="s">
        <v>2484</v>
      </c>
      <c r="U1559" t="s">
        <v>31</v>
      </c>
      <c r="V1559" t="s">
        <v>31</v>
      </c>
      <c r="X1559" t="s">
        <v>5659</v>
      </c>
      <c r="Y1559" t="s">
        <v>5660</v>
      </c>
      <c r="Z1559">
        <v>392.17458160000001</v>
      </c>
    </row>
    <row r="1560" spans="1:26" hidden="1">
      <c r="A1560">
        <v>1559</v>
      </c>
      <c r="B1560" t="s">
        <v>5661</v>
      </c>
      <c r="C1560" t="s">
        <v>28</v>
      </c>
      <c r="D1560" s="1" t="b">
        <v>0</v>
      </c>
      <c r="E1560">
        <v>4.1686939999999997E-3</v>
      </c>
      <c r="F1560">
        <v>2.38</v>
      </c>
      <c r="G1560">
        <v>59.8</v>
      </c>
      <c r="H1560">
        <v>2.6900000000000001E-6</v>
      </c>
      <c r="I1560">
        <v>0.56000000000000005</v>
      </c>
      <c r="J1560">
        <v>12.2</v>
      </c>
      <c r="K1560">
        <v>2.210699543</v>
      </c>
      <c r="L1560">
        <v>0.10962393500000001</v>
      </c>
      <c r="M1560">
        <v>25</v>
      </c>
      <c r="N1560" t="s">
        <v>2484</v>
      </c>
      <c r="O1560" t="s">
        <v>2484</v>
      </c>
      <c r="P1560" t="s">
        <v>2484</v>
      </c>
      <c r="R1560" t="s">
        <v>2484</v>
      </c>
      <c r="S1560" t="s">
        <v>2484</v>
      </c>
      <c r="T1560" t="s">
        <v>2484</v>
      </c>
      <c r="U1560" t="s">
        <v>31</v>
      </c>
      <c r="V1560" t="s">
        <v>31</v>
      </c>
      <c r="X1560" t="s">
        <v>5662</v>
      </c>
      <c r="Y1560" t="s">
        <v>5663</v>
      </c>
      <c r="Z1560">
        <v>378.15893149999999</v>
      </c>
    </row>
    <row r="1561" spans="1:26">
      <c r="A1561">
        <v>1560</v>
      </c>
      <c r="B1561" s="2" t="s">
        <v>189</v>
      </c>
      <c r="C1561" t="s">
        <v>83</v>
      </c>
      <c r="D1561" s="1" t="b">
        <v>1</v>
      </c>
      <c r="E1561">
        <v>0.91</v>
      </c>
      <c r="F1561">
        <v>4.0958608000000001E-2</v>
      </c>
      <c r="G1561" s="7">
        <v>35</v>
      </c>
      <c r="H1561" s="2"/>
      <c r="I1561" s="2">
        <v>0.61</v>
      </c>
      <c r="J1561" s="2"/>
      <c r="K1561" s="2"/>
      <c r="L1561" s="2"/>
      <c r="M1561" s="2">
        <v>20</v>
      </c>
      <c r="N1561" t="s">
        <v>135</v>
      </c>
      <c r="O1561" s="2" t="s">
        <v>190</v>
      </c>
      <c r="P1561" s="2" t="s">
        <v>190</v>
      </c>
      <c r="Q1561" s="2" t="s">
        <v>190</v>
      </c>
      <c r="T1561" s="2" t="s">
        <v>190</v>
      </c>
      <c r="X1561" t="s">
        <v>5664</v>
      </c>
      <c r="Y1561" t="s">
        <v>5665</v>
      </c>
      <c r="Z1561">
        <v>338.23045339999999</v>
      </c>
    </row>
    <row r="1562" spans="1:26">
      <c r="A1562">
        <v>1561</v>
      </c>
      <c r="B1562" s="2" t="s">
        <v>203</v>
      </c>
      <c r="C1562" t="s">
        <v>83</v>
      </c>
      <c r="D1562" s="1" t="b">
        <v>1</v>
      </c>
      <c r="E1562">
        <v>0.1</v>
      </c>
      <c r="F1562">
        <v>1</v>
      </c>
      <c r="G1562" s="7">
        <v>33.6</v>
      </c>
      <c r="H1562" s="2"/>
      <c r="I1562" s="2">
        <v>0.77</v>
      </c>
      <c r="J1562" s="2"/>
      <c r="K1562" s="2"/>
      <c r="L1562" s="2"/>
      <c r="M1562" s="2">
        <v>20</v>
      </c>
      <c r="N1562" t="s">
        <v>135</v>
      </c>
      <c r="O1562" s="2" t="s">
        <v>190</v>
      </c>
      <c r="P1562" s="2" t="s">
        <v>190</v>
      </c>
      <c r="Q1562" s="2" t="s">
        <v>190</v>
      </c>
      <c r="T1562" s="2" t="s">
        <v>190</v>
      </c>
      <c r="X1562" t="s">
        <v>5666</v>
      </c>
      <c r="Y1562" t="s">
        <v>5667</v>
      </c>
      <c r="Z1562">
        <v>366.26175360000002</v>
      </c>
    </row>
    <row r="1563" spans="1:26" hidden="1">
      <c r="A1563">
        <v>1562</v>
      </c>
      <c r="B1563" t="s">
        <v>5668</v>
      </c>
      <c r="C1563" t="s">
        <v>83</v>
      </c>
      <c r="D1563" s="1" t="b">
        <v>0</v>
      </c>
      <c r="E1563">
        <v>1.8000000000000001E-4</v>
      </c>
      <c r="F1563">
        <v>3.7447274949999998</v>
      </c>
      <c r="G1563">
        <v>28</v>
      </c>
      <c r="H1563">
        <v>1.8300000000000001E-6</v>
      </c>
      <c r="I1563">
        <v>0.91</v>
      </c>
      <c r="J1563">
        <v>44</v>
      </c>
      <c r="K1563">
        <v>6.11</v>
      </c>
      <c r="L1563">
        <v>7.6799999999999999E-7</v>
      </c>
      <c r="M1563">
        <v>25</v>
      </c>
      <c r="N1563" t="s">
        <v>5669</v>
      </c>
      <c r="P1563" t="s">
        <v>5669</v>
      </c>
      <c r="R1563" t="s">
        <v>5669</v>
      </c>
      <c r="T1563" t="s">
        <v>5669</v>
      </c>
      <c r="X1563" t="s">
        <v>5670</v>
      </c>
      <c r="Y1563" t="s">
        <v>5671</v>
      </c>
      <c r="Z1563">
        <v>970.52065200000004</v>
      </c>
    </row>
    <row r="1564" spans="1:26">
      <c r="A1564">
        <v>1563</v>
      </c>
      <c r="B1564" s="2" t="s">
        <v>5672</v>
      </c>
      <c r="C1564" t="s">
        <v>83</v>
      </c>
      <c r="D1564" s="1" t="b">
        <v>1</v>
      </c>
      <c r="E1564">
        <v>2.41E-5</v>
      </c>
      <c r="F1564">
        <v>4.6179829569999997</v>
      </c>
      <c r="G1564">
        <v>40.4</v>
      </c>
      <c r="H1564">
        <v>9.7000000000000003E-7</v>
      </c>
      <c r="I1564">
        <v>1.71</v>
      </c>
      <c r="J1564">
        <v>32.1</v>
      </c>
      <c r="K1564">
        <v>6.43</v>
      </c>
      <c r="L1564">
        <v>3.7099999999999997E-7</v>
      </c>
      <c r="M1564">
        <v>25</v>
      </c>
      <c r="N1564" t="s">
        <v>5669</v>
      </c>
      <c r="P1564" t="s">
        <v>5669</v>
      </c>
      <c r="R1564" t="s">
        <v>5669</v>
      </c>
      <c r="S1564" t="s">
        <v>5669</v>
      </c>
      <c r="T1564" t="s">
        <v>5669</v>
      </c>
      <c r="U1564" t="s">
        <v>5669</v>
      </c>
      <c r="X1564" t="s">
        <v>5673</v>
      </c>
      <c r="Y1564" t="s">
        <v>5674</v>
      </c>
      <c r="Z1564">
        <v>1092.536302</v>
      </c>
    </row>
    <row r="1565" spans="1:26" hidden="1">
      <c r="A1565">
        <v>1564</v>
      </c>
      <c r="B1565" t="s">
        <v>5675</v>
      </c>
      <c r="C1565" t="s">
        <v>83</v>
      </c>
      <c r="D1565" s="1" t="b">
        <v>0</v>
      </c>
      <c r="E1565">
        <v>6.9999999999999994E-5</v>
      </c>
      <c r="F1565">
        <v>4.1549019600000001</v>
      </c>
      <c r="G1565">
        <v>26.7</v>
      </c>
      <c r="H1565">
        <v>1.6500000000000001E-6</v>
      </c>
      <c r="I1565">
        <v>1.01</v>
      </c>
      <c r="J1565">
        <v>45.3</v>
      </c>
      <c r="K1565">
        <v>6.47</v>
      </c>
      <c r="L1565">
        <v>3.3500000000000002E-7</v>
      </c>
      <c r="M1565">
        <v>25</v>
      </c>
      <c r="N1565" t="s">
        <v>5669</v>
      </c>
      <c r="P1565" t="s">
        <v>5669</v>
      </c>
      <c r="R1565" t="s">
        <v>5669</v>
      </c>
      <c r="T1565" t="s">
        <v>5669</v>
      </c>
      <c r="X1565" t="s">
        <v>5676</v>
      </c>
      <c r="Y1565" t="s">
        <v>5677</v>
      </c>
      <c r="Z1565">
        <v>1044.5394429999999</v>
      </c>
    </row>
    <row r="1566" spans="1:26">
      <c r="A1566">
        <v>1565</v>
      </c>
      <c r="B1566" s="2" t="s">
        <v>5678</v>
      </c>
      <c r="C1566" t="s">
        <v>83</v>
      </c>
      <c r="D1566" s="1" t="b">
        <v>1</v>
      </c>
      <c r="E1566">
        <v>1.63E-5</v>
      </c>
      <c r="F1566">
        <v>4.7878123959999996</v>
      </c>
      <c r="G1566">
        <v>35.4</v>
      </c>
      <c r="H1566">
        <v>1.6199999999999999E-6</v>
      </c>
      <c r="I1566">
        <v>1.03</v>
      </c>
      <c r="J1566">
        <v>37.1</v>
      </c>
      <c r="K1566">
        <v>6.26</v>
      </c>
      <c r="L1566">
        <v>5.6400000000000002E-7</v>
      </c>
      <c r="M1566">
        <v>25</v>
      </c>
      <c r="N1566" t="s">
        <v>5669</v>
      </c>
      <c r="P1566" t="s">
        <v>5669</v>
      </c>
      <c r="R1566" t="s">
        <v>5669</v>
      </c>
      <c r="S1566" t="s">
        <v>5669</v>
      </c>
      <c r="T1566" t="s">
        <v>5669</v>
      </c>
      <c r="U1566" t="s">
        <v>5669</v>
      </c>
      <c r="X1566" t="s">
        <v>5679</v>
      </c>
      <c r="Y1566" t="s">
        <v>5680</v>
      </c>
      <c r="Z1566">
        <v>1227.5629180000001</v>
      </c>
    </row>
    <row r="1567" spans="1:26">
      <c r="A1567">
        <v>1566</v>
      </c>
      <c r="B1567" s="2" t="s">
        <v>5681</v>
      </c>
      <c r="C1567" t="s">
        <v>83</v>
      </c>
      <c r="D1567" s="1" t="b">
        <v>1</v>
      </c>
      <c r="E1567">
        <v>8.1199999999999995E-5</v>
      </c>
      <c r="F1567">
        <v>4.090443971</v>
      </c>
      <c r="G1567">
        <v>27.9</v>
      </c>
      <c r="H1567">
        <v>2.4200000000000001E-6</v>
      </c>
      <c r="I1567">
        <v>0.69</v>
      </c>
      <c r="J1567">
        <v>44.6</v>
      </c>
      <c r="K1567">
        <v>5.81</v>
      </c>
      <c r="L1567">
        <v>1.55E-6</v>
      </c>
      <c r="M1567">
        <v>25</v>
      </c>
      <c r="N1567" t="s">
        <v>194</v>
      </c>
      <c r="O1567" t="s">
        <v>194</v>
      </c>
      <c r="Q1567" t="s">
        <v>194</v>
      </c>
      <c r="R1567" t="s">
        <v>194</v>
      </c>
      <c r="S1567" t="s">
        <v>194</v>
      </c>
      <c r="T1567" t="s">
        <v>194</v>
      </c>
      <c r="U1567" t="s">
        <v>194</v>
      </c>
      <c r="X1567" t="s">
        <v>5682</v>
      </c>
      <c r="Y1567" t="s">
        <v>5683</v>
      </c>
      <c r="Z1567">
        <v>1889.0969829999999</v>
      </c>
    </row>
    <row r="1568" spans="1:26">
      <c r="A1568">
        <v>1567</v>
      </c>
      <c r="B1568" s="2" t="s">
        <v>5684</v>
      </c>
      <c r="C1568" t="s">
        <v>83</v>
      </c>
      <c r="D1568" s="1" t="b">
        <v>1</v>
      </c>
      <c r="E1568">
        <v>7.08E-5</v>
      </c>
      <c r="F1568">
        <v>4.1499667420000002</v>
      </c>
      <c r="G1568">
        <v>39.799999999999997</v>
      </c>
      <c r="H1568">
        <v>1.9800000000000001E-6</v>
      </c>
      <c r="I1568">
        <v>0.84</v>
      </c>
      <c r="J1568">
        <v>32.700000000000003</v>
      </c>
      <c r="K1568">
        <v>5.28</v>
      </c>
      <c r="L1568">
        <v>5.2399999999999998E-6</v>
      </c>
      <c r="M1568">
        <v>25</v>
      </c>
      <c r="N1568" t="s">
        <v>194</v>
      </c>
      <c r="O1568" t="s">
        <v>194</v>
      </c>
      <c r="Q1568" t="s">
        <v>194</v>
      </c>
      <c r="R1568" t="s">
        <v>194</v>
      </c>
      <c r="S1568" t="s">
        <v>194</v>
      </c>
      <c r="T1568" t="s">
        <v>194</v>
      </c>
      <c r="U1568" t="s">
        <v>194</v>
      </c>
      <c r="X1568" t="s">
        <v>5685</v>
      </c>
      <c r="Y1568" t="s">
        <v>5686</v>
      </c>
      <c r="Z1568">
        <v>1903.112633</v>
      </c>
    </row>
    <row r="1569" spans="1:26" hidden="1">
      <c r="A1569">
        <v>1568</v>
      </c>
      <c r="B1569" t="s">
        <v>5687</v>
      </c>
      <c r="C1569" t="s">
        <v>28</v>
      </c>
      <c r="D1569" s="1" t="b">
        <v>0</v>
      </c>
      <c r="E1569">
        <v>4.2657950000000002E-3</v>
      </c>
      <c r="F1569">
        <v>2.37</v>
      </c>
      <c r="G1569">
        <v>44.8</v>
      </c>
      <c r="H1569">
        <v>2.6599999999999999E-6</v>
      </c>
      <c r="I1569">
        <v>0.59</v>
      </c>
      <c r="J1569">
        <v>27.2</v>
      </c>
      <c r="K1569">
        <v>2.5280398719999999</v>
      </c>
      <c r="L1569">
        <v>7.9815314999999998E-2</v>
      </c>
      <c r="M1569">
        <v>25</v>
      </c>
      <c r="N1569" t="s">
        <v>2484</v>
      </c>
      <c r="O1569" t="s">
        <v>2484</v>
      </c>
      <c r="P1569" t="s">
        <v>2484</v>
      </c>
      <c r="R1569" t="s">
        <v>2484</v>
      </c>
      <c r="S1569" t="s">
        <v>2484</v>
      </c>
      <c r="T1569" t="s">
        <v>2484</v>
      </c>
      <c r="U1569" t="s">
        <v>31</v>
      </c>
      <c r="V1569" t="s">
        <v>31</v>
      </c>
      <c r="X1569" t="s">
        <v>5688</v>
      </c>
      <c r="Y1569" t="s">
        <v>5689</v>
      </c>
      <c r="Z1569">
        <v>406.1902316</v>
      </c>
    </row>
    <row r="1570" spans="1:26" hidden="1">
      <c r="A1570">
        <v>1569</v>
      </c>
      <c r="B1570" t="s">
        <v>5690</v>
      </c>
      <c r="C1570" t="s">
        <v>28</v>
      </c>
      <c r="D1570" s="1" t="b">
        <v>0</v>
      </c>
      <c r="E1570">
        <v>4.6773509999999997E-3</v>
      </c>
      <c r="F1570">
        <v>2.33</v>
      </c>
      <c r="G1570">
        <v>56.6</v>
      </c>
      <c r="H1570">
        <v>2.6400000000000001E-6</v>
      </c>
      <c r="I1570">
        <v>0.6</v>
      </c>
      <c r="J1570">
        <v>15.4</v>
      </c>
      <c r="K1570">
        <v>2.2282651580000001</v>
      </c>
      <c r="L1570">
        <v>0.107715137</v>
      </c>
      <c r="M1570">
        <v>25</v>
      </c>
      <c r="N1570" t="s">
        <v>2484</v>
      </c>
      <c r="O1570" t="s">
        <v>2484</v>
      </c>
      <c r="P1570" t="s">
        <v>2484</v>
      </c>
      <c r="R1570" t="s">
        <v>2484</v>
      </c>
      <c r="S1570" t="s">
        <v>2484</v>
      </c>
      <c r="T1570" t="s">
        <v>2484</v>
      </c>
      <c r="U1570" t="s">
        <v>31</v>
      </c>
      <c r="V1570" t="s">
        <v>31</v>
      </c>
      <c r="X1570" t="s">
        <v>5691</v>
      </c>
      <c r="Y1570" t="s">
        <v>5692</v>
      </c>
      <c r="Z1570">
        <v>392.17458160000001</v>
      </c>
    </row>
    <row r="1571" spans="1:26" hidden="1">
      <c r="A1571">
        <v>1570</v>
      </c>
      <c r="B1571" t="s">
        <v>5693</v>
      </c>
      <c r="C1571" t="s">
        <v>28</v>
      </c>
      <c r="D1571" s="1" t="b">
        <v>0</v>
      </c>
      <c r="E1571">
        <v>5.0118719999999997E-3</v>
      </c>
      <c r="F1571">
        <v>2.2999999999999998</v>
      </c>
      <c r="G1571">
        <v>57.7</v>
      </c>
      <c r="H1571">
        <v>2.6699999999999998E-6</v>
      </c>
      <c r="I1571">
        <v>0.57999999999999996</v>
      </c>
      <c r="J1571">
        <v>14.3</v>
      </c>
      <c r="K1571">
        <v>2.1753536969999998</v>
      </c>
      <c r="L1571">
        <v>0.113567978</v>
      </c>
      <c r="M1571">
        <v>25</v>
      </c>
      <c r="N1571" t="s">
        <v>2484</v>
      </c>
      <c r="O1571" t="s">
        <v>2484</v>
      </c>
      <c r="P1571" t="s">
        <v>2484</v>
      </c>
      <c r="R1571" t="s">
        <v>2484</v>
      </c>
      <c r="S1571" t="s">
        <v>2484</v>
      </c>
      <c r="T1571" t="s">
        <v>2484</v>
      </c>
      <c r="U1571" t="s">
        <v>31</v>
      </c>
      <c r="V1571" t="s">
        <v>31</v>
      </c>
      <c r="X1571" t="s">
        <v>5694</v>
      </c>
      <c r="Y1571" t="s">
        <v>5695</v>
      </c>
      <c r="Z1571">
        <v>378.15893149999999</v>
      </c>
    </row>
    <row r="1572" spans="1:26" hidden="1">
      <c r="A1572">
        <v>1571</v>
      </c>
      <c r="B1572" t="s">
        <v>5696</v>
      </c>
      <c r="C1572" t="s">
        <v>28</v>
      </c>
      <c r="D1572" s="1" t="b">
        <v>0</v>
      </c>
      <c r="E1572">
        <v>5.4954089999999997E-3</v>
      </c>
      <c r="F1572">
        <v>2.2599999999999998</v>
      </c>
      <c r="G1572">
        <v>58.9</v>
      </c>
      <c r="H1572">
        <v>2.7E-6</v>
      </c>
      <c r="I1572">
        <v>0.56000000000000005</v>
      </c>
      <c r="J1572">
        <v>13.1</v>
      </c>
      <c r="K1572">
        <v>2.1107888990000001</v>
      </c>
      <c r="L1572">
        <v>0.12114236</v>
      </c>
      <c r="M1572">
        <v>25</v>
      </c>
      <c r="N1572" t="s">
        <v>2484</v>
      </c>
      <c r="O1572" t="s">
        <v>2484</v>
      </c>
      <c r="P1572" t="s">
        <v>2484</v>
      </c>
      <c r="R1572" t="s">
        <v>2484</v>
      </c>
      <c r="S1572" t="s">
        <v>2484</v>
      </c>
      <c r="T1572" t="s">
        <v>2484</v>
      </c>
      <c r="U1572" t="s">
        <v>31</v>
      </c>
      <c r="V1572" t="s">
        <v>31</v>
      </c>
      <c r="X1572" t="s">
        <v>5697</v>
      </c>
      <c r="Y1572" t="s">
        <v>5698</v>
      </c>
      <c r="Z1572">
        <v>364.14328139999998</v>
      </c>
    </row>
    <row r="1573" spans="1:26" hidden="1">
      <c r="A1573">
        <v>1572</v>
      </c>
      <c r="B1573" t="s">
        <v>5699</v>
      </c>
      <c r="C1573" t="s">
        <v>28</v>
      </c>
      <c r="D1573" s="1" t="b">
        <v>0</v>
      </c>
      <c r="E1573">
        <v>5.8884369999999998E-3</v>
      </c>
      <c r="F1573">
        <v>2.23</v>
      </c>
      <c r="G1573">
        <v>60.1</v>
      </c>
      <c r="H1573">
        <v>2.7099999999999999E-6</v>
      </c>
      <c r="I1573">
        <v>0.54</v>
      </c>
      <c r="J1573">
        <v>11.9</v>
      </c>
      <c r="K1573">
        <v>2.0554854919999999</v>
      </c>
      <c r="L1573">
        <v>0.12803066299999999</v>
      </c>
      <c r="M1573">
        <v>25</v>
      </c>
      <c r="N1573" t="s">
        <v>2484</v>
      </c>
      <c r="O1573" t="s">
        <v>2484</v>
      </c>
      <c r="P1573" t="s">
        <v>2484</v>
      </c>
      <c r="R1573" t="s">
        <v>2484</v>
      </c>
      <c r="S1573" t="s">
        <v>2484</v>
      </c>
      <c r="T1573" t="s">
        <v>2484</v>
      </c>
      <c r="U1573" t="s">
        <v>31</v>
      </c>
      <c r="V1573" t="s">
        <v>31</v>
      </c>
      <c r="X1573" t="s">
        <v>5700</v>
      </c>
      <c r="Y1573" t="s">
        <v>5701</v>
      </c>
      <c r="Z1573">
        <v>350.12763139999998</v>
      </c>
    </row>
    <row r="1574" spans="1:26" hidden="1">
      <c r="A1574">
        <v>1573</v>
      </c>
      <c r="B1574" t="s">
        <v>5702</v>
      </c>
      <c r="C1574" t="s">
        <v>83</v>
      </c>
      <c r="D1574" s="1" t="b">
        <v>0</v>
      </c>
      <c r="E1574" s="4">
        <v>2.9999999999999999E-7</v>
      </c>
      <c r="F1574">
        <v>6.523023534</v>
      </c>
      <c r="M1574">
        <v>25</v>
      </c>
      <c r="N1574" t="s">
        <v>207</v>
      </c>
      <c r="X1574" t="s">
        <v>5703</v>
      </c>
      <c r="Y1574" t="s">
        <v>5704</v>
      </c>
      <c r="Z1574">
        <v>693.07948599999997</v>
      </c>
    </row>
    <row r="1575" spans="1:26" hidden="1">
      <c r="A1575">
        <v>1574</v>
      </c>
      <c r="B1575" t="s">
        <v>5705</v>
      </c>
      <c r="C1575" t="s">
        <v>83</v>
      </c>
      <c r="D1575" s="1" t="b">
        <v>0</v>
      </c>
      <c r="E1575">
        <v>7.9980000000000003E-5</v>
      </c>
      <c r="F1575">
        <v>4.0970186000000002</v>
      </c>
      <c r="M1575">
        <v>25</v>
      </c>
      <c r="N1575" t="s">
        <v>207</v>
      </c>
      <c r="X1575" t="s">
        <v>5706</v>
      </c>
      <c r="Y1575" t="s">
        <v>5707</v>
      </c>
      <c r="Z1575">
        <v>480.09701130000002</v>
      </c>
    </row>
    <row r="1576" spans="1:26" hidden="1">
      <c r="A1576">
        <v>1575</v>
      </c>
      <c r="B1576" t="s">
        <v>5708</v>
      </c>
      <c r="C1576" t="s">
        <v>83</v>
      </c>
      <c r="D1576" s="1" t="b">
        <v>0</v>
      </c>
      <c r="E1576">
        <v>2.9990000000000003E-4</v>
      </c>
      <c r="F1576">
        <v>3.523023534</v>
      </c>
      <c r="M1576">
        <v>25</v>
      </c>
      <c r="N1576" t="s">
        <v>207</v>
      </c>
      <c r="X1576" t="s">
        <v>5709</v>
      </c>
      <c r="Y1576" t="s">
        <v>5710</v>
      </c>
      <c r="Z1576">
        <v>462.1064331</v>
      </c>
    </row>
    <row r="1577" spans="1:26" hidden="1">
      <c r="A1577">
        <v>1576</v>
      </c>
      <c r="B1577" t="s">
        <v>5711</v>
      </c>
      <c r="C1577" t="s">
        <v>83</v>
      </c>
      <c r="D1577" s="1" t="b">
        <v>0</v>
      </c>
      <c r="E1577">
        <v>2E-3</v>
      </c>
      <c r="F1577">
        <v>2.698970004</v>
      </c>
      <c r="M1577">
        <v>25</v>
      </c>
      <c r="N1577" t="s">
        <v>207</v>
      </c>
      <c r="X1577" t="s">
        <v>5712</v>
      </c>
      <c r="Y1577" t="s">
        <v>5713</v>
      </c>
      <c r="Z1577">
        <v>380.1033984</v>
      </c>
    </row>
    <row r="1578" spans="1:26" hidden="1">
      <c r="A1578">
        <v>1577</v>
      </c>
      <c r="B1578" t="s">
        <v>5714</v>
      </c>
      <c r="C1578" t="s">
        <v>83</v>
      </c>
      <c r="D1578" s="1" t="b">
        <v>0</v>
      </c>
      <c r="E1578">
        <v>7.9979999999999999E-3</v>
      </c>
      <c r="F1578">
        <v>2.0970186000000002</v>
      </c>
      <c r="M1578">
        <v>25</v>
      </c>
      <c r="N1578" t="s">
        <v>207</v>
      </c>
      <c r="X1578" t="s">
        <v>5715</v>
      </c>
      <c r="Y1578" t="s">
        <v>5716</v>
      </c>
      <c r="Z1578">
        <v>362.11282019999999</v>
      </c>
    </row>
    <row r="1579" spans="1:26" hidden="1">
      <c r="A1579">
        <v>1578</v>
      </c>
      <c r="B1579" t="s">
        <v>5717</v>
      </c>
      <c r="C1579" t="s">
        <v>83</v>
      </c>
      <c r="D1579" s="1" t="b">
        <v>0</v>
      </c>
      <c r="E1579">
        <v>1.199E-5</v>
      </c>
      <c r="F1579">
        <v>4.9211808169999998</v>
      </c>
      <c r="M1579">
        <v>25</v>
      </c>
      <c r="N1579" t="s">
        <v>207</v>
      </c>
      <c r="X1579" t="s">
        <v>5718</v>
      </c>
      <c r="Y1579" t="s">
        <v>5719</v>
      </c>
      <c r="Z1579">
        <v>769.19073209999999</v>
      </c>
    </row>
    <row r="1580" spans="1:26" hidden="1">
      <c r="A1580">
        <v>1579</v>
      </c>
      <c r="B1580" t="s">
        <v>5720</v>
      </c>
      <c r="C1580" t="s">
        <v>83</v>
      </c>
      <c r="D1580" s="1" t="b">
        <v>0</v>
      </c>
      <c r="E1580">
        <v>5.4949999999999997E-4</v>
      </c>
      <c r="F1580">
        <v>3.260032303</v>
      </c>
      <c r="M1580">
        <v>25</v>
      </c>
      <c r="N1580" t="s">
        <v>207</v>
      </c>
      <c r="X1580" t="s">
        <v>5721</v>
      </c>
      <c r="Y1580" t="s">
        <v>5722</v>
      </c>
      <c r="Z1580">
        <v>669.19711919999997</v>
      </c>
    </row>
    <row r="1581" spans="1:26" hidden="1">
      <c r="A1581">
        <v>1580</v>
      </c>
      <c r="B1581" t="s">
        <v>5723</v>
      </c>
      <c r="C1581" t="s">
        <v>83</v>
      </c>
      <c r="D1581" s="1" t="b">
        <v>0</v>
      </c>
      <c r="E1581">
        <v>4.7899999999999999E-5</v>
      </c>
      <c r="F1581">
        <v>4.3196644869999998</v>
      </c>
      <c r="G1581">
        <v>22.5</v>
      </c>
      <c r="H1581">
        <v>5.4700000000000001E-6</v>
      </c>
      <c r="I1581">
        <v>0.3</v>
      </c>
      <c r="J1581">
        <v>50</v>
      </c>
      <c r="K1581">
        <v>5.23</v>
      </c>
      <c r="L1581">
        <v>5.9100000000000002E-6</v>
      </c>
      <c r="M1581">
        <v>25</v>
      </c>
      <c r="N1581" t="s">
        <v>5724</v>
      </c>
      <c r="O1581" t="s">
        <v>5724</v>
      </c>
      <c r="Q1581" t="s">
        <v>5724</v>
      </c>
      <c r="R1581" t="s">
        <v>5724</v>
      </c>
      <c r="S1581" t="s">
        <v>5724</v>
      </c>
      <c r="T1581" t="s">
        <v>5724</v>
      </c>
      <c r="U1581" t="s">
        <v>5724</v>
      </c>
      <c r="X1581" t="s">
        <v>5725</v>
      </c>
      <c r="Y1581" t="s">
        <v>5726</v>
      </c>
      <c r="Z1581">
        <v>632.32658409999999</v>
      </c>
    </row>
    <row r="1582" spans="1:26" hidden="1">
      <c r="A1582">
        <v>1581</v>
      </c>
      <c r="B1582" t="s">
        <v>5727</v>
      </c>
      <c r="C1582" t="s">
        <v>83</v>
      </c>
      <c r="D1582" s="1" t="b">
        <v>0</v>
      </c>
      <c r="E1582">
        <v>5.24E-5</v>
      </c>
      <c r="F1582">
        <v>4.2806687129999998</v>
      </c>
      <c r="G1582">
        <v>22.9</v>
      </c>
      <c r="H1582">
        <v>5.4700000000000001E-6</v>
      </c>
      <c r="I1582">
        <v>0.37</v>
      </c>
      <c r="J1582">
        <v>49.6</v>
      </c>
      <c r="K1582">
        <v>5.52</v>
      </c>
      <c r="L1582">
        <v>3.01E-6</v>
      </c>
      <c r="M1582">
        <v>25</v>
      </c>
      <c r="N1582" t="s">
        <v>5724</v>
      </c>
      <c r="O1582" t="s">
        <v>5724</v>
      </c>
      <c r="Q1582" t="s">
        <v>5724</v>
      </c>
      <c r="R1582" t="s">
        <v>5724</v>
      </c>
      <c r="S1582" t="s">
        <v>5724</v>
      </c>
      <c r="T1582" t="s">
        <v>5724</v>
      </c>
      <c r="U1582" t="s">
        <v>5724</v>
      </c>
      <c r="X1582" t="s">
        <v>5728</v>
      </c>
      <c r="Y1582" t="s">
        <v>5729</v>
      </c>
      <c r="Z1582">
        <v>676.35279879999996</v>
      </c>
    </row>
    <row r="1583" spans="1:26" hidden="1">
      <c r="A1583">
        <v>1582</v>
      </c>
      <c r="B1583" t="s">
        <v>5730</v>
      </c>
      <c r="C1583" t="s">
        <v>83</v>
      </c>
      <c r="D1583" s="1" t="b">
        <v>0</v>
      </c>
      <c r="E1583">
        <v>1.35E-4</v>
      </c>
      <c r="F1583">
        <v>3.8696662320000002</v>
      </c>
      <c r="G1583">
        <v>23.1</v>
      </c>
      <c r="H1583">
        <v>3.9199999999999997E-6</v>
      </c>
      <c r="I1583">
        <v>0.48</v>
      </c>
      <c r="J1583">
        <v>49.4</v>
      </c>
      <c r="K1583">
        <v>5.08</v>
      </c>
      <c r="L1583">
        <v>8.3299999999999999E-6</v>
      </c>
      <c r="M1583">
        <v>25</v>
      </c>
      <c r="N1583" t="s">
        <v>5724</v>
      </c>
      <c r="O1583" t="s">
        <v>5724</v>
      </c>
      <c r="Q1583" t="s">
        <v>5724</v>
      </c>
      <c r="R1583" t="s">
        <v>5724</v>
      </c>
      <c r="S1583" t="s">
        <v>5724</v>
      </c>
      <c r="T1583" t="s">
        <v>5724</v>
      </c>
      <c r="U1583" t="s">
        <v>5724</v>
      </c>
      <c r="X1583" t="s">
        <v>5731</v>
      </c>
      <c r="Y1583" t="s">
        <v>5732</v>
      </c>
      <c r="Z1583">
        <v>720.37901360000001</v>
      </c>
    </row>
    <row r="1584" spans="1:26" hidden="1">
      <c r="A1584">
        <v>1583</v>
      </c>
      <c r="B1584" t="s">
        <v>5733</v>
      </c>
      <c r="C1584" t="s">
        <v>83</v>
      </c>
      <c r="D1584" s="1" t="b">
        <v>0</v>
      </c>
      <c r="E1584">
        <v>7.7600000000000002E-5</v>
      </c>
      <c r="F1584">
        <v>4.1101382790000001</v>
      </c>
      <c r="G1584">
        <v>23.6</v>
      </c>
      <c r="H1584">
        <v>3.7900000000000001E-6</v>
      </c>
      <c r="I1584">
        <v>0.44</v>
      </c>
      <c r="J1584">
        <v>48.9</v>
      </c>
      <c r="K1584">
        <v>5.31</v>
      </c>
      <c r="L1584">
        <v>4.9100000000000004E-6</v>
      </c>
      <c r="M1584">
        <v>25</v>
      </c>
      <c r="N1584" t="s">
        <v>5724</v>
      </c>
      <c r="O1584" t="s">
        <v>5724</v>
      </c>
      <c r="Q1584" t="s">
        <v>5724</v>
      </c>
      <c r="R1584" t="s">
        <v>5724</v>
      </c>
      <c r="S1584" t="s">
        <v>5724</v>
      </c>
      <c r="T1584" t="s">
        <v>5724</v>
      </c>
      <c r="U1584" t="s">
        <v>5724</v>
      </c>
      <c r="X1584" t="s">
        <v>5734</v>
      </c>
      <c r="Y1584" t="s">
        <v>5735</v>
      </c>
      <c r="Z1584">
        <v>792.38215490000005</v>
      </c>
    </row>
    <row r="1585" spans="1:26" hidden="1">
      <c r="A1585">
        <v>1584</v>
      </c>
      <c r="B1585" t="s">
        <v>5736</v>
      </c>
      <c r="C1585" t="s">
        <v>161</v>
      </c>
      <c r="D1585" s="1" t="b">
        <v>0</v>
      </c>
      <c r="E1585">
        <v>1.2999999999999999E-2</v>
      </c>
      <c r="F1585">
        <v>1.8860566480000001</v>
      </c>
      <c r="M1585">
        <v>25</v>
      </c>
      <c r="N1585" t="s">
        <v>89</v>
      </c>
      <c r="P1585" t="s">
        <v>103</v>
      </c>
      <c r="W1585" t="s">
        <v>5737</v>
      </c>
      <c r="X1585" t="s">
        <v>5738</v>
      </c>
      <c r="Y1585" t="s">
        <v>5739</v>
      </c>
      <c r="Z1585">
        <v>428.26214750000003</v>
      </c>
    </row>
    <row r="1586" spans="1:26" hidden="1">
      <c r="A1586">
        <v>1585</v>
      </c>
      <c r="B1586" t="s">
        <v>5740</v>
      </c>
      <c r="C1586" t="s">
        <v>83</v>
      </c>
      <c r="D1586" s="1" t="b">
        <v>0</v>
      </c>
      <c r="E1586">
        <v>1.45E-4</v>
      </c>
      <c r="F1586">
        <v>3.8386319979999999</v>
      </c>
      <c r="G1586">
        <v>21.5</v>
      </c>
      <c r="H1586">
        <v>3.4800000000000001E-6</v>
      </c>
      <c r="I1586">
        <v>0.44</v>
      </c>
      <c r="J1586">
        <v>51</v>
      </c>
      <c r="K1586">
        <v>5.31</v>
      </c>
      <c r="L1586">
        <v>3.7299999999999999E-6</v>
      </c>
      <c r="M1586">
        <v>25</v>
      </c>
      <c r="N1586" t="s">
        <v>5724</v>
      </c>
      <c r="O1586" t="s">
        <v>5724</v>
      </c>
      <c r="Q1586" t="s">
        <v>5724</v>
      </c>
      <c r="R1586" t="s">
        <v>5724</v>
      </c>
      <c r="S1586" t="s">
        <v>5724</v>
      </c>
      <c r="T1586" t="s">
        <v>5724</v>
      </c>
      <c r="U1586" t="s">
        <v>5724</v>
      </c>
      <c r="X1586" t="s">
        <v>5741</v>
      </c>
      <c r="Y1586" t="s">
        <v>5742</v>
      </c>
      <c r="Z1586">
        <v>808.43144310000002</v>
      </c>
    </row>
    <row r="1587" spans="1:26" hidden="1">
      <c r="A1587">
        <v>1586</v>
      </c>
      <c r="B1587" t="s">
        <v>5743</v>
      </c>
      <c r="C1587" t="s">
        <v>83</v>
      </c>
      <c r="D1587" s="1" t="b">
        <v>0</v>
      </c>
      <c r="E1587">
        <v>9.7700000000000003E-5</v>
      </c>
      <c r="F1587">
        <v>4.0101054359999999</v>
      </c>
      <c r="G1587">
        <v>21.2</v>
      </c>
      <c r="H1587">
        <v>3.0800000000000002E-6</v>
      </c>
      <c r="I1587">
        <v>0.54</v>
      </c>
      <c r="J1587">
        <v>51.3</v>
      </c>
      <c r="K1587">
        <v>5.84</v>
      </c>
      <c r="L1587">
        <v>1.4500000000000001E-6</v>
      </c>
      <c r="M1587">
        <v>25</v>
      </c>
      <c r="N1587" t="s">
        <v>5724</v>
      </c>
      <c r="O1587" t="s">
        <v>5724</v>
      </c>
      <c r="Q1587" t="s">
        <v>5724</v>
      </c>
      <c r="R1587" t="s">
        <v>5724</v>
      </c>
      <c r="S1587" t="s">
        <v>5724</v>
      </c>
      <c r="T1587" t="s">
        <v>5724</v>
      </c>
      <c r="U1587" t="s">
        <v>5724</v>
      </c>
      <c r="X1587" t="s">
        <v>5744</v>
      </c>
      <c r="Y1587" t="s">
        <v>5745</v>
      </c>
      <c r="Z1587">
        <v>880.43458439999995</v>
      </c>
    </row>
    <row r="1588" spans="1:26" hidden="1">
      <c r="A1588">
        <v>1587</v>
      </c>
      <c r="B1588" t="s">
        <v>5746</v>
      </c>
      <c r="C1588" t="s">
        <v>28</v>
      </c>
      <c r="D1588" s="1" t="b">
        <v>0</v>
      </c>
      <c r="E1588">
        <v>1.0499999999999999E-3</v>
      </c>
      <c r="F1588">
        <v>2.978810701</v>
      </c>
      <c r="M1588">
        <v>25</v>
      </c>
      <c r="N1588" t="s">
        <v>484</v>
      </c>
      <c r="P1588" t="s">
        <v>648</v>
      </c>
      <c r="W1588" t="s">
        <v>5747</v>
      </c>
      <c r="X1588" t="s">
        <v>5748</v>
      </c>
      <c r="Y1588" t="s">
        <v>5749</v>
      </c>
      <c r="Z1588">
        <v>1208.2382130000001</v>
      </c>
    </row>
    <row r="1589" spans="1:26" hidden="1">
      <c r="A1589">
        <v>1588</v>
      </c>
      <c r="B1589" t="s">
        <v>5750</v>
      </c>
      <c r="C1589" t="s">
        <v>28</v>
      </c>
      <c r="D1589" s="1" t="b">
        <v>0</v>
      </c>
      <c r="E1589">
        <v>1.4E-3</v>
      </c>
      <c r="F1589">
        <v>2.8538719640000001</v>
      </c>
      <c r="M1589">
        <v>25</v>
      </c>
      <c r="N1589" t="s">
        <v>484</v>
      </c>
      <c r="P1589" t="s">
        <v>648</v>
      </c>
      <c r="W1589" t="s">
        <v>5751</v>
      </c>
      <c r="X1589" t="s">
        <v>5752</v>
      </c>
      <c r="Y1589" t="s">
        <v>5753</v>
      </c>
      <c r="Z1589">
        <v>1152.1756130000001</v>
      </c>
    </row>
    <row r="1590" spans="1:26" hidden="1">
      <c r="A1590">
        <v>1589</v>
      </c>
      <c r="B1590" t="s">
        <v>5754</v>
      </c>
      <c r="C1590" t="s">
        <v>28</v>
      </c>
      <c r="D1590" s="1" t="b">
        <v>0</v>
      </c>
      <c r="E1590">
        <v>1.9319999999999999E-3</v>
      </c>
      <c r="F1590">
        <v>2.713992878</v>
      </c>
      <c r="M1590">
        <v>25</v>
      </c>
      <c r="N1590" t="s">
        <v>484</v>
      </c>
      <c r="P1590" t="s">
        <v>648</v>
      </c>
      <c r="W1590" t="s">
        <v>5755</v>
      </c>
      <c r="X1590" t="s">
        <v>5756</v>
      </c>
      <c r="Y1590" t="s">
        <v>5757</v>
      </c>
      <c r="Z1590">
        <v>1096.113012</v>
      </c>
    </row>
    <row r="1591" spans="1:26">
      <c r="A1591">
        <v>1590</v>
      </c>
      <c r="B1591" t="s">
        <v>5758</v>
      </c>
      <c r="C1591" t="s">
        <v>54</v>
      </c>
      <c r="D1591" s="1" t="b">
        <v>1</v>
      </c>
      <c r="E1591">
        <v>1.14E-2</v>
      </c>
      <c r="F1591">
        <v>1.9430951489999999</v>
      </c>
      <c r="G1591">
        <v>21.2</v>
      </c>
      <c r="H1591">
        <v>1.0100000000000001E-6</v>
      </c>
      <c r="I1591">
        <v>1.65</v>
      </c>
      <c r="J1591">
        <v>51.3</v>
      </c>
      <c r="K1591">
        <v>4.6138646630000002</v>
      </c>
      <c r="L1591" s="2">
        <v>2.4329620626558362E-5</v>
      </c>
      <c r="M1591">
        <v>25</v>
      </c>
      <c r="N1591" t="s">
        <v>5759</v>
      </c>
      <c r="O1591" t="s">
        <v>5759</v>
      </c>
      <c r="R1591" t="s">
        <v>5759</v>
      </c>
      <c r="S1591" t="s">
        <v>5759</v>
      </c>
      <c r="T1591" t="s">
        <v>5759</v>
      </c>
      <c r="U1591" t="s">
        <v>31</v>
      </c>
      <c r="V1591" t="s">
        <v>31</v>
      </c>
      <c r="X1591" t="s">
        <v>5760</v>
      </c>
      <c r="Y1591" t="s">
        <v>5761</v>
      </c>
      <c r="Z1591">
        <v>461.2035927</v>
      </c>
    </row>
    <row r="1592" spans="1:26">
      <c r="A1592">
        <v>1591</v>
      </c>
      <c r="B1592" t="s">
        <v>5762</v>
      </c>
      <c r="C1592" t="s">
        <v>54</v>
      </c>
      <c r="D1592" s="1" t="b">
        <v>1</v>
      </c>
      <c r="E1592">
        <v>5.7000000000000002E-3</v>
      </c>
      <c r="F1592">
        <v>2.2441251439999998</v>
      </c>
      <c r="G1592">
        <v>20</v>
      </c>
      <c r="H1592">
        <v>1.24E-6</v>
      </c>
      <c r="I1592">
        <v>1.34</v>
      </c>
      <c r="J1592">
        <v>52.5</v>
      </c>
      <c r="K1592">
        <v>4.504265245</v>
      </c>
      <c r="L1592" s="2">
        <v>3.1313726568810328E-5</v>
      </c>
      <c r="M1592">
        <v>25</v>
      </c>
      <c r="N1592" t="s">
        <v>5759</v>
      </c>
      <c r="O1592" t="s">
        <v>5759</v>
      </c>
      <c r="R1592" t="s">
        <v>5759</v>
      </c>
      <c r="S1592" t="s">
        <v>5759</v>
      </c>
      <c r="T1592" t="s">
        <v>5759</v>
      </c>
      <c r="U1592" t="s">
        <v>31</v>
      </c>
      <c r="V1592" t="s">
        <v>31</v>
      </c>
      <c r="X1592" t="s">
        <v>5763</v>
      </c>
      <c r="Y1592" t="s">
        <v>5764</v>
      </c>
      <c r="Z1592">
        <v>457.20867809999999</v>
      </c>
    </row>
    <row r="1593" spans="1:26" hidden="1">
      <c r="A1593">
        <v>1592</v>
      </c>
      <c r="B1593" t="s">
        <v>5765</v>
      </c>
      <c r="C1593" t="s">
        <v>83</v>
      </c>
      <c r="D1593" s="1" t="b">
        <v>0</v>
      </c>
      <c r="E1593">
        <v>4.1599999999999997E-4</v>
      </c>
      <c r="F1593">
        <v>3.3809066689999998</v>
      </c>
      <c r="G1593">
        <v>31.2</v>
      </c>
      <c r="H1593">
        <v>6.0999999999999998E-7</v>
      </c>
      <c r="I1593">
        <v>2.72</v>
      </c>
      <c r="J1593">
        <v>40.799999999999997</v>
      </c>
      <c r="K1593">
        <v>3.38</v>
      </c>
      <c r="L1593">
        <v>4.17E-4</v>
      </c>
      <c r="M1593">
        <v>25</v>
      </c>
      <c r="N1593" t="s">
        <v>5766</v>
      </c>
      <c r="O1593" t="s">
        <v>5766</v>
      </c>
      <c r="Q1593" t="s">
        <v>5766</v>
      </c>
      <c r="R1593" t="s">
        <v>5766</v>
      </c>
      <c r="T1593" t="s">
        <v>5766</v>
      </c>
      <c r="U1593" t="s">
        <v>5766</v>
      </c>
      <c r="X1593" t="s">
        <v>5767</v>
      </c>
      <c r="Y1593" t="s">
        <v>5768</v>
      </c>
      <c r="Z1593">
        <v>576.17340420000005</v>
      </c>
    </row>
    <row r="1594" spans="1:26" hidden="1">
      <c r="A1594">
        <v>1593</v>
      </c>
      <c r="B1594" t="s">
        <v>5769</v>
      </c>
      <c r="C1594" t="s">
        <v>83</v>
      </c>
      <c r="D1594" s="1" t="b">
        <v>0</v>
      </c>
      <c r="E1594">
        <v>3.5599999999999998E-4</v>
      </c>
      <c r="F1594">
        <v>3.4485500020000002</v>
      </c>
      <c r="G1594">
        <v>29.7</v>
      </c>
      <c r="H1594">
        <v>4.4000000000000002E-7</v>
      </c>
      <c r="I1594">
        <v>3.78</v>
      </c>
      <c r="J1594">
        <v>42.3</v>
      </c>
      <c r="K1594">
        <v>3.42</v>
      </c>
      <c r="L1594">
        <v>3.8000000000000002E-4</v>
      </c>
      <c r="M1594">
        <v>25</v>
      </c>
      <c r="N1594" t="s">
        <v>5766</v>
      </c>
      <c r="O1594" t="s">
        <v>5766</v>
      </c>
      <c r="Q1594" t="s">
        <v>5766</v>
      </c>
      <c r="R1594" t="s">
        <v>5766</v>
      </c>
      <c r="T1594" t="s">
        <v>5766</v>
      </c>
      <c r="U1594" t="s">
        <v>5766</v>
      </c>
      <c r="X1594" t="s">
        <v>5770</v>
      </c>
      <c r="Y1594" t="s">
        <v>5771</v>
      </c>
      <c r="Z1594">
        <v>872.2485696</v>
      </c>
    </row>
    <row r="1595" spans="1:26" hidden="1">
      <c r="A1595">
        <v>1594</v>
      </c>
      <c r="B1595" t="s">
        <v>5772</v>
      </c>
      <c r="C1595" t="s">
        <v>83</v>
      </c>
      <c r="D1595" s="1" t="b">
        <v>0</v>
      </c>
      <c r="E1595">
        <v>3.2699999999999998E-4</v>
      </c>
      <c r="F1595">
        <v>3.485452247</v>
      </c>
      <c r="G1595">
        <v>29</v>
      </c>
      <c r="H1595">
        <v>3.7E-7</v>
      </c>
      <c r="I1595">
        <v>4.4800000000000004</v>
      </c>
      <c r="J1595">
        <v>43</v>
      </c>
      <c r="K1595">
        <v>3.48</v>
      </c>
      <c r="L1595">
        <v>3.3100000000000002E-4</v>
      </c>
      <c r="M1595">
        <v>25</v>
      </c>
      <c r="N1595" t="s">
        <v>5766</v>
      </c>
      <c r="O1595" t="s">
        <v>5766</v>
      </c>
      <c r="Q1595" t="s">
        <v>5766</v>
      </c>
      <c r="R1595" t="s">
        <v>5766</v>
      </c>
      <c r="T1595" t="s">
        <v>5766</v>
      </c>
      <c r="U1595" t="s">
        <v>5766</v>
      </c>
      <c r="X1595" t="s">
        <v>5773</v>
      </c>
      <c r="Y1595" t="s">
        <v>5774</v>
      </c>
      <c r="Z1595">
        <v>1168.3237349999999</v>
      </c>
    </row>
    <row r="1596" spans="1:26">
      <c r="A1596">
        <v>1595</v>
      </c>
      <c r="B1596" s="2" t="s">
        <v>5775</v>
      </c>
      <c r="C1596" t="s">
        <v>161</v>
      </c>
      <c r="D1596" s="1" t="b">
        <v>1</v>
      </c>
      <c r="E1596">
        <v>3.6000000000000002E-4</v>
      </c>
      <c r="F1596">
        <v>3.4436974990000002</v>
      </c>
      <c r="G1596">
        <v>28</v>
      </c>
      <c r="H1596">
        <v>4.2400000000000001E-6</v>
      </c>
      <c r="I1596">
        <v>0.39</v>
      </c>
      <c r="J1596">
        <v>43.97</v>
      </c>
      <c r="K1596">
        <v>4.4400000000000004</v>
      </c>
      <c r="L1596">
        <v>3.6300000000000001E-5</v>
      </c>
      <c r="M1596">
        <v>25</v>
      </c>
      <c r="N1596" t="s">
        <v>162</v>
      </c>
      <c r="O1596" t="s">
        <v>946</v>
      </c>
      <c r="P1596" t="s">
        <v>946</v>
      </c>
      <c r="R1596" t="s">
        <v>946</v>
      </c>
      <c r="S1596" t="s">
        <v>31</v>
      </c>
      <c r="T1596" t="s">
        <v>946</v>
      </c>
      <c r="U1596" s="2" t="s">
        <v>946</v>
      </c>
      <c r="W1596" t="s">
        <v>5776</v>
      </c>
      <c r="X1596" t="s">
        <v>5777</v>
      </c>
      <c r="Y1596" t="s">
        <v>5778</v>
      </c>
      <c r="Z1596">
        <v>345.26677940000002</v>
      </c>
    </row>
    <row r="1597" spans="1:26">
      <c r="A1597">
        <v>1596</v>
      </c>
      <c r="B1597" t="s">
        <v>5779</v>
      </c>
      <c r="C1597" t="s">
        <v>54</v>
      </c>
      <c r="D1597" s="1" t="b">
        <v>1</v>
      </c>
      <c r="E1597">
        <v>7.4000000000000003E-3</v>
      </c>
      <c r="F1597">
        <v>2.1307682799999998</v>
      </c>
      <c r="G1597">
        <v>20.399999999999999</v>
      </c>
      <c r="H1597">
        <v>8.4E-7</v>
      </c>
      <c r="I1597">
        <v>1.98</v>
      </c>
      <c r="J1597">
        <v>52.1</v>
      </c>
      <c r="K1597">
        <v>5.4254606049999996</v>
      </c>
      <c r="L1597" s="2">
        <v>3.7543900912757462E-6</v>
      </c>
      <c r="M1597">
        <v>25</v>
      </c>
      <c r="N1597" t="s">
        <v>5759</v>
      </c>
      <c r="O1597" t="s">
        <v>5759</v>
      </c>
      <c r="R1597" t="s">
        <v>5759</v>
      </c>
      <c r="S1597" t="s">
        <v>5759</v>
      </c>
      <c r="T1597" t="s">
        <v>5759</v>
      </c>
      <c r="U1597" t="s">
        <v>31</v>
      </c>
      <c r="V1597" t="s">
        <v>31</v>
      </c>
      <c r="X1597" t="s">
        <v>5780</v>
      </c>
      <c r="Y1597" t="s">
        <v>5781</v>
      </c>
      <c r="Z1597">
        <v>454.17262690000001</v>
      </c>
    </row>
    <row r="1598" spans="1:26">
      <c r="A1598">
        <v>1597</v>
      </c>
      <c r="B1598" t="s">
        <v>5782</v>
      </c>
      <c r="C1598" t="s">
        <v>28</v>
      </c>
      <c r="D1598" s="1" t="b">
        <v>1</v>
      </c>
      <c r="E1598">
        <v>5.1286140000000001E-3</v>
      </c>
      <c r="F1598">
        <v>2.29</v>
      </c>
      <c r="G1598">
        <v>47.1</v>
      </c>
      <c r="H1598">
        <v>2.7300000000000001E-6</v>
      </c>
      <c r="I1598">
        <v>0.56000000000000005</v>
      </c>
      <c r="J1598">
        <v>24.9</v>
      </c>
      <c r="K1598">
        <v>2.3947970939999998</v>
      </c>
      <c r="L1598" s="2">
        <v>4.0290523103899568E-3</v>
      </c>
      <c r="M1598">
        <v>25</v>
      </c>
      <c r="N1598" t="s">
        <v>2484</v>
      </c>
      <c r="O1598" t="s">
        <v>2484</v>
      </c>
      <c r="P1598" t="s">
        <v>2484</v>
      </c>
      <c r="R1598" t="s">
        <v>2484</v>
      </c>
      <c r="S1598" t="s">
        <v>2484</v>
      </c>
      <c r="T1598" t="s">
        <v>2484</v>
      </c>
      <c r="U1598" t="s">
        <v>31</v>
      </c>
      <c r="V1598" t="s">
        <v>31</v>
      </c>
      <c r="X1598" t="s">
        <v>5783</v>
      </c>
      <c r="Y1598" t="s">
        <v>5784</v>
      </c>
      <c r="Z1598">
        <v>378.15893149999999</v>
      </c>
    </row>
    <row r="1599" spans="1:26">
      <c r="A1599">
        <v>1598</v>
      </c>
      <c r="B1599" t="s">
        <v>5785</v>
      </c>
      <c r="C1599" t="s">
        <v>28</v>
      </c>
      <c r="D1599" s="1" t="b">
        <v>1</v>
      </c>
      <c r="E1599">
        <v>5.6234129999999998E-3</v>
      </c>
      <c r="F1599">
        <v>2.25</v>
      </c>
      <c r="G1599">
        <v>58.5</v>
      </c>
      <c r="H1599">
        <v>2.6800000000000002E-6</v>
      </c>
      <c r="I1599">
        <v>0.57999999999999996</v>
      </c>
      <c r="J1599">
        <v>13.5</v>
      </c>
      <c r="K1599">
        <v>2.1083898539999999</v>
      </c>
      <c r="L1599" s="2">
        <v>7.7913039296680737E-3</v>
      </c>
      <c r="M1599">
        <v>25</v>
      </c>
      <c r="N1599" t="s">
        <v>2484</v>
      </c>
      <c r="O1599" t="s">
        <v>2484</v>
      </c>
      <c r="P1599" t="s">
        <v>2484</v>
      </c>
      <c r="R1599" t="s">
        <v>2484</v>
      </c>
      <c r="S1599" t="s">
        <v>2484</v>
      </c>
      <c r="T1599" t="s">
        <v>2484</v>
      </c>
      <c r="U1599" t="s">
        <v>31</v>
      </c>
      <c r="V1599" t="s">
        <v>31</v>
      </c>
      <c r="X1599" t="s">
        <v>5786</v>
      </c>
      <c r="Y1599" t="s">
        <v>5787</v>
      </c>
      <c r="Z1599">
        <v>364.14328139999998</v>
      </c>
    </row>
    <row r="1600" spans="1:26">
      <c r="A1600">
        <v>1599</v>
      </c>
      <c r="B1600" t="s">
        <v>5788</v>
      </c>
      <c r="C1600" t="s">
        <v>28</v>
      </c>
      <c r="D1600" s="1" t="b">
        <v>1</v>
      </c>
      <c r="E1600">
        <v>6.0255960000000003E-3</v>
      </c>
      <c r="F1600">
        <v>2.2200000000000002</v>
      </c>
      <c r="G1600">
        <v>59.6</v>
      </c>
      <c r="H1600">
        <v>2.7099999999999999E-6</v>
      </c>
      <c r="I1600">
        <v>0.56000000000000005</v>
      </c>
      <c r="J1600">
        <v>12.4</v>
      </c>
      <c r="K1600">
        <v>2.056257993</v>
      </c>
      <c r="L1600" s="2">
        <v>8.7850048784121892E-3</v>
      </c>
      <c r="M1600">
        <v>25</v>
      </c>
      <c r="N1600" t="s">
        <v>2484</v>
      </c>
      <c r="O1600" t="s">
        <v>2484</v>
      </c>
      <c r="P1600" t="s">
        <v>2484</v>
      </c>
      <c r="R1600" t="s">
        <v>2484</v>
      </c>
      <c r="S1600" t="s">
        <v>2484</v>
      </c>
      <c r="T1600" t="s">
        <v>2484</v>
      </c>
      <c r="U1600" t="s">
        <v>31</v>
      </c>
      <c r="V1600" t="s">
        <v>31</v>
      </c>
      <c r="X1600" t="s">
        <v>5789</v>
      </c>
      <c r="Y1600" t="s">
        <v>5790</v>
      </c>
      <c r="Z1600">
        <v>350.12763139999998</v>
      </c>
    </row>
    <row r="1601" spans="1:27">
      <c r="A1601">
        <v>1600</v>
      </c>
      <c r="B1601" t="s">
        <v>5791</v>
      </c>
      <c r="C1601" t="s">
        <v>28</v>
      </c>
      <c r="D1601" s="1" t="b">
        <v>1</v>
      </c>
      <c r="E1601">
        <v>6.6069340000000001E-3</v>
      </c>
      <c r="F1601">
        <v>2.1800000000000002</v>
      </c>
      <c r="G1601">
        <v>60.8</v>
      </c>
      <c r="H1601">
        <v>2.74E-6</v>
      </c>
      <c r="I1601">
        <v>0.54</v>
      </c>
      <c r="J1601">
        <v>11.2</v>
      </c>
      <c r="K1601">
        <v>1.99247986</v>
      </c>
      <c r="L1601" s="2">
        <v>1.0174665491452E-2</v>
      </c>
      <c r="M1601">
        <v>25</v>
      </c>
      <c r="N1601" t="s">
        <v>2484</v>
      </c>
      <c r="O1601" t="s">
        <v>2484</v>
      </c>
      <c r="P1601" t="s">
        <v>2484</v>
      </c>
      <c r="R1601" t="s">
        <v>2484</v>
      </c>
      <c r="S1601" t="s">
        <v>2484</v>
      </c>
      <c r="T1601" t="s">
        <v>2484</v>
      </c>
      <c r="U1601" t="s">
        <v>31</v>
      </c>
      <c r="V1601" t="s">
        <v>31</v>
      </c>
      <c r="X1601" t="s">
        <v>5792</v>
      </c>
      <c r="Y1601" t="s">
        <v>5793</v>
      </c>
      <c r="Z1601">
        <v>336.11198130000002</v>
      </c>
    </row>
    <row r="1602" spans="1:27">
      <c r="A1602">
        <f>A1601+1</f>
        <v>1601</v>
      </c>
      <c r="B1602" s="7" t="s">
        <v>5794</v>
      </c>
      <c r="C1602" s="2" t="s">
        <v>161</v>
      </c>
      <c r="D1602" s="2"/>
      <c r="E1602" s="3">
        <v>1.7499999999999998E-5</v>
      </c>
      <c r="F1602" s="2">
        <f>-LOG10(E1602)</f>
        <v>4.7569619513137056</v>
      </c>
      <c r="G1602" s="2">
        <v>36.5</v>
      </c>
      <c r="H1602" s="3">
        <v>3.36E-6</v>
      </c>
      <c r="I1602" s="2">
        <v>0.49399999999999999</v>
      </c>
      <c r="J1602" s="2">
        <f>72-G1602</f>
        <v>35.5</v>
      </c>
      <c r="K1602" s="2">
        <v>5.46</v>
      </c>
      <c r="L1602" s="2">
        <f>10^(-K1602)</f>
        <v>3.4673685045253126E-6</v>
      </c>
      <c r="M1602" s="2">
        <v>25</v>
      </c>
      <c r="N1602" s="2" t="s">
        <v>632</v>
      </c>
      <c r="O1602" s="2" t="s">
        <v>632</v>
      </c>
      <c r="P1602" s="2"/>
      <c r="Q1602" s="2"/>
      <c r="R1602" s="2" t="s">
        <v>632</v>
      </c>
      <c r="S1602" s="2" t="s">
        <v>31</v>
      </c>
      <c r="T1602" s="2" t="s">
        <v>632</v>
      </c>
      <c r="U1602" s="2" t="s">
        <v>632</v>
      </c>
      <c r="V1602" s="2" t="s">
        <v>31</v>
      </c>
      <c r="X1602" s="2"/>
      <c r="Y1602" s="2"/>
      <c r="AA1602" s="2"/>
    </row>
    <row r="1603" spans="1:27">
      <c r="A1603">
        <v>1601</v>
      </c>
      <c r="B1603" t="s">
        <v>5795</v>
      </c>
      <c r="C1603" t="s">
        <v>28</v>
      </c>
      <c r="D1603" s="1" t="b">
        <v>1</v>
      </c>
      <c r="E1603">
        <v>7.0794580000000003E-3</v>
      </c>
      <c r="F1603">
        <v>2.15</v>
      </c>
      <c r="G1603">
        <v>61.9</v>
      </c>
      <c r="H1603">
        <v>2.7499999999999999E-6</v>
      </c>
      <c r="I1603">
        <v>0.52</v>
      </c>
      <c r="J1603">
        <v>10.1</v>
      </c>
      <c r="K1603">
        <v>1.9398069710000001</v>
      </c>
      <c r="L1603" s="2">
        <v>1.1486640498231128E-2</v>
      </c>
      <c r="M1603">
        <v>25</v>
      </c>
      <c r="N1603" t="s">
        <v>2484</v>
      </c>
      <c r="O1603" t="s">
        <v>2484</v>
      </c>
      <c r="P1603" t="s">
        <v>2484</v>
      </c>
      <c r="R1603" t="s">
        <v>2484</v>
      </c>
      <c r="S1603" t="s">
        <v>2484</v>
      </c>
      <c r="T1603" t="s">
        <v>2484</v>
      </c>
      <c r="U1603" t="s">
        <v>31</v>
      </c>
      <c r="V1603" t="s">
        <v>31</v>
      </c>
      <c r="X1603" t="s">
        <v>5796</v>
      </c>
      <c r="Y1603" t="s">
        <v>5797</v>
      </c>
      <c r="Z1603">
        <v>322.09633120000001</v>
      </c>
    </row>
    <row r="1604" spans="1:27" hidden="1">
      <c r="A1604">
        <v>1602</v>
      </c>
      <c r="B1604" t="s">
        <v>5798</v>
      </c>
      <c r="C1604" t="s">
        <v>28</v>
      </c>
      <c r="D1604" s="1" t="b">
        <v>0</v>
      </c>
      <c r="E1604">
        <v>1.0989999999999999E-3</v>
      </c>
      <c r="F1604">
        <v>2.9590023080000001</v>
      </c>
      <c r="M1604">
        <v>25</v>
      </c>
      <c r="N1604" t="s">
        <v>484</v>
      </c>
      <c r="P1604" t="s">
        <v>648</v>
      </c>
      <c r="W1604" t="s">
        <v>5799</v>
      </c>
      <c r="X1604" t="s">
        <v>5800</v>
      </c>
      <c r="Y1604" t="s">
        <v>5801</v>
      </c>
      <c r="Z1604">
        <v>1088.215338</v>
      </c>
    </row>
    <row r="1605" spans="1:27">
      <c r="A1605">
        <f>A1604+1</f>
        <v>1603</v>
      </c>
      <c r="B1605" s="7" t="s">
        <v>5802</v>
      </c>
      <c r="C1605" s="2" t="s">
        <v>161</v>
      </c>
      <c r="D1605" s="2"/>
      <c r="E1605" s="3">
        <v>5.6200000000000004E-6</v>
      </c>
      <c r="F1605" s="2">
        <f>-LOG10(E1605)</f>
        <v>5.2502636844309389</v>
      </c>
      <c r="G1605" s="2">
        <v>35.700000000000003</v>
      </c>
      <c r="H1605" s="3">
        <v>3.32E-6</v>
      </c>
      <c r="I1605" s="2">
        <v>0.499</v>
      </c>
      <c r="J1605" s="2">
        <f>72-G1605</f>
        <v>36.299999999999997</v>
      </c>
      <c r="K1605" s="2">
        <v>5.95</v>
      </c>
      <c r="L1605" s="2">
        <f>10^(-K1605)</f>
        <v>1.1220184543019616E-6</v>
      </c>
      <c r="M1605" s="2">
        <v>25</v>
      </c>
      <c r="N1605" s="2" t="s">
        <v>632</v>
      </c>
      <c r="O1605" s="2" t="s">
        <v>632</v>
      </c>
      <c r="P1605" s="2"/>
      <c r="Q1605" s="2"/>
      <c r="R1605" s="2" t="s">
        <v>632</v>
      </c>
      <c r="S1605" s="2" t="s">
        <v>31</v>
      </c>
      <c r="T1605" s="2" t="s">
        <v>632</v>
      </c>
      <c r="U1605" s="2" t="s">
        <v>632</v>
      </c>
      <c r="V1605" s="2" t="s">
        <v>31</v>
      </c>
      <c r="X1605" s="2"/>
      <c r="Y1605" s="2"/>
      <c r="AA1605" s="2"/>
    </row>
    <row r="1606" spans="1:27" hidden="1">
      <c r="A1606">
        <v>1603</v>
      </c>
      <c r="B1606" t="s">
        <v>5803</v>
      </c>
      <c r="C1606" t="s">
        <v>28</v>
      </c>
      <c r="D1606" s="1" t="b">
        <v>0</v>
      </c>
      <c r="E1606">
        <v>1.291E-3</v>
      </c>
      <c r="F1606">
        <v>2.8890737579999999</v>
      </c>
      <c r="M1606">
        <v>25</v>
      </c>
      <c r="N1606" t="s">
        <v>484</v>
      </c>
      <c r="P1606" t="s">
        <v>648</v>
      </c>
      <c r="X1606" t="s">
        <v>5804</v>
      </c>
      <c r="Y1606" t="s">
        <v>5805</v>
      </c>
      <c r="Z1606">
        <v>1032.152738</v>
      </c>
    </row>
    <row r="1607" spans="1:27">
      <c r="A1607">
        <f>A1606+1</f>
        <v>1604</v>
      </c>
      <c r="B1607" s="7" t="s">
        <v>5806</v>
      </c>
      <c r="C1607" s="2" t="s">
        <v>161</v>
      </c>
      <c r="D1607" s="2"/>
      <c r="E1607" s="3">
        <v>8.7000000000000001E-5</v>
      </c>
      <c r="F1607" s="2">
        <f>-LOG10(E1607)</f>
        <v>4.0604807473813818</v>
      </c>
      <c r="G1607" s="2">
        <v>28.4</v>
      </c>
      <c r="H1607" s="3">
        <v>4.4499999999999997E-6</v>
      </c>
      <c r="I1607" s="2">
        <v>37.299999999999997</v>
      </c>
      <c r="J1607" s="2">
        <f>72-G1607</f>
        <v>43.6</v>
      </c>
      <c r="K1607" s="2">
        <v>4.9800000000000004</v>
      </c>
      <c r="L1607" s="2">
        <f>10^(-K1607)</f>
        <v>1.0471285480508972E-5</v>
      </c>
      <c r="M1607" s="2">
        <v>25</v>
      </c>
      <c r="N1607" s="2" t="s">
        <v>946</v>
      </c>
      <c r="O1607" s="2" t="s">
        <v>946</v>
      </c>
      <c r="P1607" s="2"/>
      <c r="Q1607" s="2"/>
      <c r="R1607" s="2" t="s">
        <v>946</v>
      </c>
      <c r="S1607" s="2" t="s">
        <v>31</v>
      </c>
      <c r="T1607" s="2" t="s">
        <v>946</v>
      </c>
      <c r="U1607" s="2" t="s">
        <v>946</v>
      </c>
      <c r="V1607" s="2" t="s">
        <v>31</v>
      </c>
      <c r="X1607" s="2"/>
      <c r="Y1607" s="2"/>
      <c r="AA1607" s="2"/>
    </row>
    <row r="1608" spans="1:27" hidden="1">
      <c r="A1608">
        <v>1604</v>
      </c>
      <c r="B1608" t="s">
        <v>5807</v>
      </c>
      <c r="C1608" t="s">
        <v>28</v>
      </c>
      <c r="D1608" s="1" t="b">
        <v>0</v>
      </c>
      <c r="E1608">
        <v>1.8619999999999999E-3</v>
      </c>
      <c r="F1608">
        <v>2.7300203230000002</v>
      </c>
      <c r="M1608">
        <v>25</v>
      </c>
      <c r="N1608" t="s">
        <v>484</v>
      </c>
      <c r="P1608" t="s">
        <v>648</v>
      </c>
      <c r="W1608" t="s">
        <v>5808</v>
      </c>
      <c r="X1608" t="s">
        <v>5809</v>
      </c>
      <c r="Y1608" t="s">
        <v>5810</v>
      </c>
      <c r="Z1608">
        <v>976.09013779999998</v>
      </c>
    </row>
    <row r="1609" spans="1:27">
      <c r="A1609">
        <f>A1608+1</f>
        <v>1605</v>
      </c>
      <c r="B1609" s="7" t="s">
        <v>5811</v>
      </c>
      <c r="C1609" s="2" t="s">
        <v>161</v>
      </c>
      <c r="D1609" s="2"/>
      <c r="E1609" s="3">
        <v>1.4800000000000001E-5</v>
      </c>
      <c r="F1609" s="2">
        <f>-LOG10(E1609)</f>
        <v>4.8297382846050425</v>
      </c>
      <c r="G1609" s="2">
        <v>36.299999999999997</v>
      </c>
      <c r="H1609" s="3">
        <v>4.6800000000000001E-6</v>
      </c>
      <c r="I1609" s="2">
        <v>35.5</v>
      </c>
      <c r="J1609" s="2">
        <f>72-G1609</f>
        <v>35.700000000000003</v>
      </c>
      <c r="K1609" s="2">
        <v>5.43</v>
      </c>
      <c r="L1609" s="2">
        <f>10^(-K1609)</f>
        <v>3.7153522909717272E-6</v>
      </c>
      <c r="M1609" s="2">
        <v>25</v>
      </c>
      <c r="N1609" s="2" t="s">
        <v>946</v>
      </c>
      <c r="O1609" s="2" t="s">
        <v>946</v>
      </c>
      <c r="P1609" s="2"/>
      <c r="Q1609" s="2"/>
      <c r="R1609" s="2" t="s">
        <v>946</v>
      </c>
      <c r="S1609" s="2" t="s">
        <v>31</v>
      </c>
      <c r="T1609" s="2" t="s">
        <v>946</v>
      </c>
      <c r="U1609" s="2" t="s">
        <v>946</v>
      </c>
      <c r="V1609" s="2" t="s">
        <v>31</v>
      </c>
      <c r="X1609" s="2"/>
      <c r="Y1609" s="2"/>
      <c r="AA1609" s="2"/>
    </row>
    <row r="1610" spans="1:27" hidden="1">
      <c r="A1610">
        <v>1605</v>
      </c>
      <c r="B1610" t="s">
        <v>5812</v>
      </c>
      <c r="C1610" t="s">
        <v>28</v>
      </c>
      <c r="D1610" s="1" t="b">
        <v>0</v>
      </c>
      <c r="E1610">
        <v>1.91E-3</v>
      </c>
      <c r="F1610">
        <v>2.718966633</v>
      </c>
      <c r="M1610">
        <v>25</v>
      </c>
      <c r="N1610" t="s">
        <v>484</v>
      </c>
      <c r="P1610" t="s">
        <v>648</v>
      </c>
      <c r="W1610" t="s">
        <v>5813</v>
      </c>
      <c r="X1610" t="s">
        <v>5814</v>
      </c>
      <c r="Y1610" t="s">
        <v>5815</v>
      </c>
      <c r="Z1610">
        <v>962.07448780000004</v>
      </c>
    </row>
    <row r="1611" spans="1:27">
      <c r="A1611">
        <v>1606</v>
      </c>
      <c r="B1611" s="2" t="s">
        <v>5816</v>
      </c>
      <c r="C1611" t="s">
        <v>134</v>
      </c>
      <c r="D1611" s="1" t="b">
        <v>1</v>
      </c>
      <c r="E1611" s="2">
        <v>3.5999999999999997E-2</v>
      </c>
      <c r="F1611" s="2">
        <f>-LOG10(E1611)</f>
        <v>1.4436974992327127</v>
      </c>
      <c r="G1611" s="2">
        <v>24.6</v>
      </c>
      <c r="H1611" s="3">
        <v>3.9999999999999998E-6</v>
      </c>
      <c r="I1611" s="2">
        <f>42/100</f>
        <v>0.42</v>
      </c>
      <c r="J1611" s="2">
        <v>47.4</v>
      </c>
      <c r="K1611" s="2">
        <f>-LOG10(L1611)</f>
        <v>2.4168253528324115</v>
      </c>
      <c r="L1611" s="2">
        <f>E1611/9.4</f>
        <v>3.8297872340425526E-3</v>
      </c>
      <c r="M1611">
        <v>25</v>
      </c>
      <c r="N1611" t="s">
        <v>135</v>
      </c>
      <c r="P1611" s="2" t="s">
        <v>5817</v>
      </c>
      <c r="Q1611" s="2" t="s">
        <v>5817</v>
      </c>
      <c r="R1611" s="2" t="s">
        <v>5817</v>
      </c>
      <c r="S1611" s="2" t="s">
        <v>5817</v>
      </c>
      <c r="T1611" s="2" t="s">
        <v>5817</v>
      </c>
      <c r="U1611" s="2" t="s">
        <v>31</v>
      </c>
      <c r="V1611" s="2" t="s">
        <v>5817</v>
      </c>
      <c r="X1611" t="s">
        <v>5818</v>
      </c>
      <c r="Y1611" t="s">
        <v>5819</v>
      </c>
      <c r="Z1611">
        <v>417.9650686</v>
      </c>
    </row>
    <row r="1612" spans="1:27" hidden="1">
      <c r="A1612">
        <v>1607</v>
      </c>
      <c r="B1612" t="s">
        <v>5820</v>
      </c>
      <c r="C1612" t="s">
        <v>134</v>
      </c>
      <c r="D1612" s="1" t="b">
        <v>0</v>
      </c>
      <c r="E1612">
        <v>0.03</v>
      </c>
      <c r="F1612">
        <v>1.5228787450000001</v>
      </c>
      <c r="G1612">
        <v>20.2</v>
      </c>
      <c r="H1612">
        <v>2.7999999999999999E-6</v>
      </c>
      <c r="I1612">
        <v>0.59</v>
      </c>
      <c r="J1612">
        <v>51.8</v>
      </c>
      <c r="K1612">
        <v>2.57</v>
      </c>
      <c r="L1612">
        <v>2.6800000000000001E-3</v>
      </c>
      <c r="M1612">
        <v>25</v>
      </c>
      <c r="N1612" t="s">
        <v>89</v>
      </c>
      <c r="P1612" t="s">
        <v>103</v>
      </c>
      <c r="R1612" t="s">
        <v>137</v>
      </c>
      <c r="S1612" t="s">
        <v>137</v>
      </c>
      <c r="W1612" t="s">
        <v>5821</v>
      </c>
      <c r="X1612" t="s">
        <v>5822</v>
      </c>
      <c r="Y1612" t="s">
        <v>5823</v>
      </c>
      <c r="Z1612">
        <v>435.95564680000001</v>
      </c>
    </row>
    <row r="1613" spans="1:27" hidden="1">
      <c r="A1613">
        <v>1608</v>
      </c>
      <c r="B1613" t="s">
        <v>5824</v>
      </c>
      <c r="C1613" t="s">
        <v>134</v>
      </c>
      <c r="D1613" s="1" t="b">
        <v>0</v>
      </c>
      <c r="E1613">
        <v>4.8999999999999998E-3</v>
      </c>
      <c r="F1613">
        <v>2.3098039199999998</v>
      </c>
      <c r="M1613">
        <v>25</v>
      </c>
      <c r="N1613" t="s">
        <v>89</v>
      </c>
      <c r="P1613" t="s">
        <v>103</v>
      </c>
      <c r="W1613" t="s">
        <v>5825</v>
      </c>
      <c r="X1613" t="s">
        <v>5826</v>
      </c>
      <c r="Y1613" t="s">
        <v>5827</v>
      </c>
      <c r="Z1613">
        <v>469.97868849999998</v>
      </c>
    </row>
    <row r="1614" spans="1:27" hidden="1">
      <c r="A1614">
        <v>1609</v>
      </c>
      <c r="B1614" t="s">
        <v>5828</v>
      </c>
      <c r="C1614" t="s">
        <v>134</v>
      </c>
      <c r="D1614" s="1" t="b">
        <v>0</v>
      </c>
      <c r="E1614">
        <v>2.9000000000000001E-2</v>
      </c>
      <c r="F1614">
        <v>1.5376020020000001</v>
      </c>
      <c r="G1614">
        <v>20.6</v>
      </c>
      <c r="H1614">
        <v>3.8999999999999999E-6</v>
      </c>
      <c r="I1614">
        <v>0.43</v>
      </c>
      <c r="J1614">
        <v>51.4</v>
      </c>
      <c r="K1614">
        <v>2.5099999999999998</v>
      </c>
      <c r="L1614">
        <v>3.1199999999999999E-3</v>
      </c>
      <c r="M1614">
        <v>25</v>
      </c>
      <c r="N1614" t="s">
        <v>89</v>
      </c>
      <c r="P1614" t="s">
        <v>103</v>
      </c>
      <c r="R1614" t="s">
        <v>137</v>
      </c>
      <c r="S1614" t="s">
        <v>137</v>
      </c>
      <c r="W1614" t="s">
        <v>5829</v>
      </c>
      <c r="X1614" t="s">
        <v>5830</v>
      </c>
      <c r="Y1614" t="s">
        <v>5831</v>
      </c>
      <c r="Z1614">
        <v>451.92958420000002</v>
      </c>
    </row>
    <row r="1615" spans="1:27" hidden="1">
      <c r="A1615">
        <v>1610</v>
      </c>
      <c r="B1615" t="s">
        <v>5832</v>
      </c>
      <c r="C1615" t="s">
        <v>134</v>
      </c>
      <c r="D1615" s="1" t="b">
        <v>0</v>
      </c>
      <c r="E1615">
        <v>3.3000000000000002E-2</v>
      </c>
      <c r="F1615">
        <v>1.4814860599999999</v>
      </c>
      <c r="M1615">
        <v>25</v>
      </c>
      <c r="N1615" t="s">
        <v>89</v>
      </c>
      <c r="P1615" t="s">
        <v>103</v>
      </c>
      <c r="W1615" t="s">
        <v>5833</v>
      </c>
      <c r="X1615" t="s">
        <v>5834</v>
      </c>
      <c r="Y1615" t="s">
        <v>5835</v>
      </c>
      <c r="Z1615">
        <v>419.98188210000001</v>
      </c>
    </row>
    <row r="1616" spans="1:27" hidden="1">
      <c r="A1616">
        <v>1611</v>
      </c>
      <c r="B1616" t="s">
        <v>5836</v>
      </c>
      <c r="C1616" t="s">
        <v>134</v>
      </c>
      <c r="D1616" s="1" t="b">
        <v>0</v>
      </c>
      <c r="E1616">
        <v>0.03</v>
      </c>
      <c r="F1616">
        <v>1.5228787450000001</v>
      </c>
      <c r="G1616">
        <v>24.6</v>
      </c>
      <c r="H1616">
        <v>3.9999999999999998E-6</v>
      </c>
      <c r="I1616">
        <v>0.42</v>
      </c>
      <c r="J1616">
        <v>47.4</v>
      </c>
      <c r="K1616">
        <v>2.5</v>
      </c>
      <c r="L1616">
        <v>3.1900000000000001E-3</v>
      </c>
      <c r="M1616">
        <v>25</v>
      </c>
      <c r="N1616" t="s">
        <v>89</v>
      </c>
      <c r="P1616" t="s">
        <v>103</v>
      </c>
      <c r="R1616" t="s">
        <v>137</v>
      </c>
      <c r="S1616" t="s">
        <v>137</v>
      </c>
      <c r="W1616" t="s">
        <v>5837</v>
      </c>
      <c r="X1616" t="s">
        <v>5838</v>
      </c>
      <c r="Y1616" t="s">
        <v>5839</v>
      </c>
      <c r="Z1616">
        <v>435.95564680000001</v>
      </c>
    </row>
    <row r="1617" spans="1:26">
      <c r="A1617">
        <v>1612</v>
      </c>
      <c r="B1617" s="2" t="s">
        <v>5824</v>
      </c>
      <c r="C1617" t="s">
        <v>134</v>
      </c>
      <c r="D1617" s="1" t="b">
        <v>1</v>
      </c>
      <c r="E1617">
        <v>4.8999999999999998E-3</v>
      </c>
      <c r="F1617">
        <v>2.3098039199999998</v>
      </c>
      <c r="G1617" s="2"/>
      <c r="H1617" s="2"/>
      <c r="I1617" s="2"/>
      <c r="J1617" s="2"/>
      <c r="K1617" s="2"/>
      <c r="L1617" s="2"/>
      <c r="M1617">
        <v>25</v>
      </c>
      <c r="N1617" t="s">
        <v>135</v>
      </c>
      <c r="P1617" s="2" t="s">
        <v>5840</v>
      </c>
      <c r="W1617" t="s">
        <v>5841</v>
      </c>
      <c r="X1617" t="s">
        <v>5842</v>
      </c>
      <c r="Y1617" t="s">
        <v>5843</v>
      </c>
      <c r="Z1617">
        <v>369.98507569999998</v>
      </c>
    </row>
    <row r="1618" spans="1:26">
      <c r="A1618">
        <v>1617</v>
      </c>
      <c r="B1618" t="s">
        <v>5844</v>
      </c>
      <c r="C1618" t="s">
        <v>83</v>
      </c>
      <c r="D1618" s="1" t="b">
        <v>1</v>
      </c>
      <c r="E1618">
        <v>1.6000000000000001E-4</v>
      </c>
      <c r="F1618">
        <v>3.795880017</v>
      </c>
      <c r="G1618" s="2"/>
      <c r="H1618" s="2"/>
      <c r="I1618" s="2"/>
      <c r="J1618" s="2"/>
      <c r="K1618" s="2"/>
      <c r="L1618" s="2"/>
      <c r="M1618">
        <v>20</v>
      </c>
      <c r="N1618" t="s">
        <v>135</v>
      </c>
      <c r="W1618" t="s">
        <v>5845</v>
      </c>
      <c r="X1618" t="s">
        <v>5846</v>
      </c>
      <c r="Y1618" t="s">
        <v>5847</v>
      </c>
      <c r="Z1618">
        <v>551.07530840000004</v>
      </c>
    </row>
    <row r="1619" spans="1:26">
      <c r="A1619">
        <v>1618</v>
      </c>
      <c r="B1619" t="s">
        <v>5848</v>
      </c>
      <c r="C1619" t="s">
        <v>83</v>
      </c>
      <c r="D1619" s="1" t="b">
        <v>1</v>
      </c>
      <c r="E1619">
        <v>6.0999999999999997E-4</v>
      </c>
      <c r="F1619">
        <v>3.2146701649999998</v>
      </c>
      <c r="G1619" s="2"/>
      <c r="H1619" s="2"/>
      <c r="I1619" s="2"/>
      <c r="J1619" s="2"/>
      <c r="K1619" s="2"/>
      <c r="L1619" s="2"/>
      <c r="M1619">
        <v>20</v>
      </c>
      <c r="N1619" t="s">
        <v>135</v>
      </c>
      <c r="W1619" t="s">
        <v>5849</v>
      </c>
      <c r="X1619" t="s">
        <v>5850</v>
      </c>
      <c r="Y1619" t="s">
        <v>5851</v>
      </c>
      <c r="Z1619">
        <v>980.38028810000003</v>
      </c>
    </row>
    <row r="1620" spans="1:26">
      <c r="A1620">
        <v>1613</v>
      </c>
      <c r="B1620" s="2" t="s">
        <v>5852</v>
      </c>
      <c r="C1620" t="s">
        <v>134</v>
      </c>
      <c r="D1620" s="1" t="b">
        <v>1</v>
      </c>
      <c r="E1620">
        <v>2.9000000000000001E-2</v>
      </c>
      <c r="F1620">
        <v>1.5376020020000001</v>
      </c>
      <c r="G1620" s="2">
        <v>20.6</v>
      </c>
      <c r="H1620" s="3">
        <v>3.8999999999999999E-6</v>
      </c>
      <c r="I1620" s="2">
        <f>43/100</f>
        <v>0.43</v>
      </c>
      <c r="J1620" s="2">
        <v>51.4</v>
      </c>
      <c r="K1620" s="2">
        <f>-LOG10(L1620)</f>
        <v>2.5060849506549792</v>
      </c>
      <c r="L1620" s="2">
        <f>E1620/9.3</f>
        <v>3.1182795698924729E-3</v>
      </c>
      <c r="M1620">
        <v>25</v>
      </c>
      <c r="N1620" t="s">
        <v>135</v>
      </c>
      <c r="P1620" s="2" t="s">
        <v>5817</v>
      </c>
      <c r="Q1620" s="2" t="s">
        <v>5817</v>
      </c>
      <c r="R1620" s="2" t="s">
        <v>5817</v>
      </c>
      <c r="S1620" s="2" t="s">
        <v>5817</v>
      </c>
      <c r="T1620" s="2" t="s">
        <v>5817</v>
      </c>
      <c r="U1620" s="2" t="s">
        <v>31</v>
      </c>
      <c r="V1620" s="2" t="s">
        <v>5817</v>
      </c>
      <c r="W1620" t="s">
        <v>5853</v>
      </c>
      <c r="X1620" t="s">
        <v>5854</v>
      </c>
      <c r="Y1620" t="s">
        <v>5855</v>
      </c>
      <c r="Z1620">
        <v>351.93597130000001</v>
      </c>
    </row>
    <row r="1621" spans="1:26">
      <c r="A1621">
        <v>1614</v>
      </c>
      <c r="B1621" s="2" t="s">
        <v>5856</v>
      </c>
      <c r="C1621" t="s">
        <v>134</v>
      </c>
      <c r="D1621" s="1" t="b">
        <v>1</v>
      </c>
      <c r="E1621">
        <v>3.3000000000000002E-2</v>
      </c>
      <c r="F1621">
        <v>1.4814860599999999</v>
      </c>
      <c r="G1621" s="2"/>
      <c r="H1621" s="2"/>
      <c r="I1621" s="2"/>
      <c r="J1621" s="2"/>
      <c r="K1621" s="2"/>
      <c r="L1621" s="2"/>
      <c r="M1621">
        <v>25</v>
      </c>
      <c r="N1621" t="s">
        <v>135</v>
      </c>
      <c r="P1621" s="2" t="s">
        <v>5840</v>
      </c>
      <c r="W1621" t="s">
        <v>5857</v>
      </c>
      <c r="X1621" t="s">
        <v>5858</v>
      </c>
      <c r="Y1621" t="s">
        <v>5859</v>
      </c>
      <c r="Z1621">
        <v>319.98826919999999</v>
      </c>
    </row>
    <row r="1622" spans="1:26">
      <c r="A1622">
        <v>1615</v>
      </c>
      <c r="B1622" s="2" t="s">
        <v>5860</v>
      </c>
      <c r="C1622" t="s">
        <v>134</v>
      </c>
      <c r="D1622" s="1" t="b">
        <v>1</v>
      </c>
      <c r="E1622" s="2">
        <v>3.2000000000000001E-2</v>
      </c>
      <c r="F1622" s="2">
        <f>-LOG10(E1622)</f>
        <v>1.494850021680094</v>
      </c>
      <c r="G1622" s="2">
        <v>20.2</v>
      </c>
      <c r="H1622" s="3">
        <v>2.7999999999999999E-6</v>
      </c>
      <c r="I1622" s="2">
        <f>43.5/100</f>
        <v>0.435</v>
      </c>
      <c r="J1622" s="2">
        <v>51.8</v>
      </c>
      <c r="K1622" s="2">
        <f>-LOG10(L1622)</f>
        <v>2.5440680443502757</v>
      </c>
      <c r="L1622" s="2">
        <f>E1622/11.2</f>
        <v>2.8571428571428576E-3</v>
      </c>
      <c r="M1622">
        <v>25</v>
      </c>
      <c r="N1622" t="s">
        <v>135</v>
      </c>
      <c r="P1622" s="2" t="s">
        <v>5817</v>
      </c>
      <c r="Q1622" s="2" t="s">
        <v>5817</v>
      </c>
      <c r="R1622" s="2" t="s">
        <v>5817</v>
      </c>
      <c r="S1622" s="2" t="s">
        <v>5817</v>
      </c>
      <c r="T1622" s="2" t="s">
        <v>5817</v>
      </c>
      <c r="U1622" s="2" t="s">
        <v>31</v>
      </c>
      <c r="V1622" s="2" t="s">
        <v>5817</v>
      </c>
      <c r="W1622" t="s">
        <v>5861</v>
      </c>
      <c r="X1622" t="s">
        <v>5862</v>
      </c>
      <c r="Y1622" t="s">
        <v>5863</v>
      </c>
      <c r="Z1622">
        <v>335.96203389999999</v>
      </c>
    </row>
    <row r="1623" spans="1:26" hidden="1">
      <c r="A1623">
        <v>1616</v>
      </c>
      <c r="B1623" t="s">
        <v>5864</v>
      </c>
      <c r="C1623" t="s">
        <v>134</v>
      </c>
      <c r="D1623" s="1" t="b">
        <v>0</v>
      </c>
      <c r="E1623">
        <v>6.3E-3</v>
      </c>
      <c r="F1623">
        <v>2.2006594509999999</v>
      </c>
      <c r="G1623">
        <v>29.8</v>
      </c>
      <c r="H1623">
        <v>3.0000000000000001E-6</v>
      </c>
      <c r="I1623">
        <v>0.55000000000000004</v>
      </c>
      <c r="J1623">
        <v>42.2</v>
      </c>
      <c r="K1623">
        <v>3.2</v>
      </c>
      <c r="L1623">
        <v>6.3000000000000003E-4</v>
      </c>
      <c r="M1623">
        <v>25</v>
      </c>
      <c r="N1623" t="s">
        <v>103</v>
      </c>
      <c r="P1623" t="s">
        <v>103</v>
      </c>
      <c r="R1623" t="s">
        <v>137</v>
      </c>
      <c r="S1623" t="s">
        <v>137</v>
      </c>
      <c r="V1623" t="s">
        <v>137</v>
      </c>
      <c r="W1623" t="s">
        <v>5865</v>
      </c>
      <c r="X1623" t="s">
        <v>5866</v>
      </c>
      <c r="Y1623" t="s">
        <v>5867</v>
      </c>
      <c r="Z1623">
        <v>505.94567419999998</v>
      </c>
    </row>
    <row r="1624" spans="1:26" hidden="1">
      <c r="A1624">
        <v>1619</v>
      </c>
      <c r="B1624" t="s">
        <v>5868</v>
      </c>
      <c r="C1624" t="s">
        <v>83</v>
      </c>
      <c r="D1624" s="1" t="b">
        <v>0</v>
      </c>
      <c r="E1624">
        <v>4.7970000000000003E-5</v>
      </c>
      <c r="F1624">
        <v>4.3190302819999999</v>
      </c>
      <c r="M1624">
        <v>25</v>
      </c>
      <c r="N1624" t="s">
        <v>207</v>
      </c>
      <c r="W1624" t="s">
        <v>5869</v>
      </c>
      <c r="X1624" t="s">
        <v>5870</v>
      </c>
      <c r="Y1624" t="s">
        <v>5871</v>
      </c>
      <c r="Z1624">
        <v>732.20015599999999</v>
      </c>
    </row>
    <row r="1625" spans="1:26" hidden="1">
      <c r="A1625">
        <v>1620</v>
      </c>
      <c r="B1625" t="s">
        <v>5872</v>
      </c>
      <c r="C1625" t="s">
        <v>83</v>
      </c>
      <c r="D1625" s="1" t="b">
        <v>0</v>
      </c>
      <c r="E1625">
        <v>3.6980000000000002E-5</v>
      </c>
      <c r="F1625">
        <v>4.4320330930000003</v>
      </c>
      <c r="M1625">
        <v>25</v>
      </c>
      <c r="N1625" t="s">
        <v>207</v>
      </c>
      <c r="X1625" t="s">
        <v>5873</v>
      </c>
      <c r="Y1625" t="s">
        <v>5874</v>
      </c>
      <c r="Z1625">
        <v>644.14772649999998</v>
      </c>
    </row>
    <row r="1626" spans="1:26" hidden="1">
      <c r="A1626">
        <v>1621</v>
      </c>
      <c r="B1626" t="s">
        <v>5875</v>
      </c>
      <c r="C1626" t="s">
        <v>83</v>
      </c>
      <c r="D1626" s="1" t="b">
        <v>0</v>
      </c>
      <c r="E1626">
        <v>2.7990000000000001E-5</v>
      </c>
      <c r="F1626">
        <v>4.552997102</v>
      </c>
      <c r="M1626">
        <v>25</v>
      </c>
      <c r="N1626" t="s">
        <v>207</v>
      </c>
      <c r="W1626" t="s">
        <v>5876</v>
      </c>
      <c r="X1626" t="s">
        <v>5877</v>
      </c>
      <c r="Y1626" t="s">
        <v>5878</v>
      </c>
      <c r="Z1626">
        <v>556.09529699999996</v>
      </c>
    </row>
    <row r="1627" spans="1:26" hidden="1">
      <c r="A1627">
        <v>1622</v>
      </c>
      <c r="B1627" t="s">
        <v>5879</v>
      </c>
      <c r="C1627" t="s">
        <v>83</v>
      </c>
      <c r="D1627" s="1" t="b">
        <v>0</v>
      </c>
      <c r="E1627">
        <v>2.5000000000000001E-5</v>
      </c>
      <c r="F1627">
        <v>4.602059991</v>
      </c>
      <c r="M1627">
        <v>25</v>
      </c>
      <c r="N1627" t="s">
        <v>207</v>
      </c>
      <c r="W1627" t="s">
        <v>5880</v>
      </c>
      <c r="X1627" t="s">
        <v>5881</v>
      </c>
      <c r="Y1627" t="s">
        <v>5882</v>
      </c>
      <c r="Z1627">
        <v>512.06908229999999</v>
      </c>
    </row>
    <row r="1628" spans="1:26" hidden="1">
      <c r="A1628">
        <v>1623</v>
      </c>
      <c r="B1628" t="s">
        <v>5883</v>
      </c>
      <c r="C1628" t="s">
        <v>83</v>
      </c>
      <c r="D1628" s="1" t="b">
        <v>0</v>
      </c>
      <c r="E1628">
        <v>2.5999999999999998E-5</v>
      </c>
      <c r="F1628">
        <v>4.5850266519999998</v>
      </c>
      <c r="M1628">
        <v>25</v>
      </c>
      <c r="N1628" t="s">
        <v>207</v>
      </c>
      <c r="X1628" t="s">
        <v>5884</v>
      </c>
      <c r="Y1628" t="s">
        <v>5885</v>
      </c>
      <c r="Z1628">
        <v>676.1020393</v>
      </c>
    </row>
    <row r="1629" spans="1:26" hidden="1">
      <c r="A1629">
        <v>1624</v>
      </c>
      <c r="B1629" t="s">
        <v>5886</v>
      </c>
      <c r="C1629" t="s">
        <v>83</v>
      </c>
      <c r="D1629" s="1" t="b">
        <v>0</v>
      </c>
      <c r="E1629">
        <v>3.396E-5</v>
      </c>
      <c r="F1629">
        <v>4.469032318</v>
      </c>
      <c r="M1629">
        <v>25</v>
      </c>
      <c r="N1629" t="s">
        <v>207</v>
      </c>
      <c r="X1629" t="s">
        <v>5887</v>
      </c>
      <c r="Y1629" t="s">
        <v>5888</v>
      </c>
      <c r="Z1629">
        <v>780.13162509999995</v>
      </c>
    </row>
    <row r="1630" spans="1:26">
      <c r="A1630">
        <v>1629</v>
      </c>
      <c r="B1630" s="7" t="s">
        <v>5889</v>
      </c>
      <c r="C1630" s="2" t="s">
        <v>28</v>
      </c>
      <c r="E1630" s="3">
        <v>4.0999999999999999E-4</v>
      </c>
      <c r="F1630" s="2">
        <v>3.3872161432802645</v>
      </c>
      <c r="G1630" s="2">
        <v>40.299999999999997</v>
      </c>
      <c r="H1630" s="3">
        <v>3.7E-7</v>
      </c>
      <c r="I1630" s="2">
        <v>4.4589999999999996</v>
      </c>
      <c r="J1630" s="2">
        <v>32.5</v>
      </c>
      <c r="K1630" s="2">
        <v>5.6020599913279625</v>
      </c>
      <c r="L1630" s="3">
        <v>2.5000000000000002E-6</v>
      </c>
      <c r="M1630" s="2">
        <v>20</v>
      </c>
      <c r="N1630" s="2" t="s">
        <v>4972</v>
      </c>
      <c r="O1630" s="2" t="s">
        <v>31</v>
      </c>
      <c r="R1630" s="2" t="s">
        <v>4972</v>
      </c>
      <c r="S1630" s="2" t="s">
        <v>4972</v>
      </c>
      <c r="T1630" s="2" t="s">
        <v>4972</v>
      </c>
      <c r="U1630" s="2" t="s">
        <v>31</v>
      </c>
      <c r="V1630" s="2" t="s">
        <v>4972</v>
      </c>
    </row>
    <row r="1631" spans="1:26">
      <c r="A1631">
        <v>1630</v>
      </c>
      <c r="B1631" s="7" t="s">
        <v>5890</v>
      </c>
      <c r="C1631" s="2" t="s">
        <v>28</v>
      </c>
      <c r="E1631" s="3">
        <v>2.3000000000000001E-4</v>
      </c>
      <c r="F1631" s="2">
        <v>3.6382721639824069</v>
      </c>
      <c r="G1631" s="2">
        <v>38.299999999999997</v>
      </c>
      <c r="H1631" s="3">
        <v>3.8000000000000001E-7</v>
      </c>
      <c r="I1631" s="2">
        <v>4.359</v>
      </c>
      <c r="J1631" s="2">
        <v>34.5</v>
      </c>
      <c r="K1631" s="2">
        <v>6.0655015487564325</v>
      </c>
      <c r="L1631" s="3">
        <v>8.6000000000000002E-7</v>
      </c>
      <c r="M1631" s="2">
        <v>20</v>
      </c>
      <c r="N1631" s="2" t="s">
        <v>4972</v>
      </c>
      <c r="O1631" s="2" t="s">
        <v>31</v>
      </c>
      <c r="P1631" s="2"/>
      <c r="R1631" s="2" t="s">
        <v>4972</v>
      </c>
      <c r="S1631" s="2" t="s">
        <v>4972</v>
      </c>
      <c r="T1631" s="2" t="s">
        <v>4972</v>
      </c>
      <c r="U1631" s="2" t="s">
        <v>31</v>
      </c>
      <c r="V1631" s="2" t="s">
        <v>4972</v>
      </c>
    </row>
    <row r="1632" spans="1:26">
      <c r="A1632">
        <v>1631</v>
      </c>
      <c r="B1632" s="7" t="s">
        <v>5891</v>
      </c>
      <c r="C1632" s="2" t="s">
        <v>28</v>
      </c>
      <c r="E1632" s="3">
        <v>1.1E-4</v>
      </c>
      <c r="F1632" s="2">
        <v>3.9586073148417751</v>
      </c>
      <c r="G1632" s="2">
        <v>37.599999999999994</v>
      </c>
      <c r="H1632" s="3">
        <v>3.9000000000000002E-7</v>
      </c>
      <c r="I1632" s="2">
        <v>4.3019999999999996</v>
      </c>
      <c r="J1632" s="2">
        <v>35.200000000000003</v>
      </c>
      <c r="K1632" s="2">
        <v>6.346787486224656</v>
      </c>
      <c r="L1632" s="3">
        <v>4.4999999999999998E-7</v>
      </c>
      <c r="M1632" s="2">
        <v>20</v>
      </c>
      <c r="N1632" s="2" t="s">
        <v>4972</v>
      </c>
      <c r="O1632" s="2" t="s">
        <v>31</v>
      </c>
      <c r="P1632" s="2"/>
      <c r="R1632" s="2" t="s">
        <v>4972</v>
      </c>
      <c r="S1632" s="2" t="s">
        <v>4972</v>
      </c>
      <c r="T1632" s="2" t="s">
        <v>4972</v>
      </c>
      <c r="U1632" s="2" t="s">
        <v>31</v>
      </c>
      <c r="V1632" s="2" t="s">
        <v>4972</v>
      </c>
    </row>
    <row r="1633" spans="1:28">
      <c r="A1633">
        <v>1625</v>
      </c>
      <c r="B1633" s="7" t="s">
        <v>5892</v>
      </c>
      <c r="C1633" s="2" t="s">
        <v>28</v>
      </c>
      <c r="E1633">
        <v>1.8E-3</v>
      </c>
      <c r="F1633">
        <v>2.744727494896694</v>
      </c>
      <c r="G1633">
        <v>37</v>
      </c>
      <c r="H1633" s="4">
        <v>1.24E-6</v>
      </c>
      <c r="I1633" s="4">
        <v>0.9</v>
      </c>
      <c r="J1633">
        <v>35</v>
      </c>
      <c r="K1633" s="2">
        <v>3.4514161135213972</v>
      </c>
      <c r="L1633" s="2">
        <v>3.536583256444157E-4</v>
      </c>
      <c r="M1633">
        <v>25</v>
      </c>
      <c r="N1633" t="s">
        <v>627</v>
      </c>
      <c r="O1633" t="s">
        <v>29</v>
      </c>
      <c r="Q1633" s="8" t="s">
        <v>627</v>
      </c>
      <c r="R1633" s="8" t="s">
        <v>627</v>
      </c>
      <c r="S1633" t="s">
        <v>31</v>
      </c>
      <c r="T1633" s="8" t="s">
        <v>627</v>
      </c>
      <c r="U1633" t="s">
        <v>31</v>
      </c>
      <c r="V1633" t="s">
        <v>31</v>
      </c>
      <c r="Z1633">
        <v>412.44290000000001</v>
      </c>
    </row>
    <row r="1634" spans="1:28">
      <c r="A1634">
        <v>1626</v>
      </c>
      <c r="B1634" s="7" t="s">
        <v>5893</v>
      </c>
      <c r="C1634" s="2" t="s">
        <v>28</v>
      </c>
      <c r="E1634" s="4">
        <v>5.0000000000000001E-3</v>
      </c>
      <c r="F1634">
        <v>2.3010299956639813</v>
      </c>
      <c r="G1634">
        <v>30</v>
      </c>
      <c r="H1634" s="4">
        <v>9.0999999999999997E-7</v>
      </c>
      <c r="I1634" s="4">
        <v>1.22</v>
      </c>
      <c r="J1634">
        <v>42</v>
      </c>
      <c r="K1634" s="2">
        <v>3.7133717917139375</v>
      </c>
      <c r="L1634" s="2">
        <v>1.9347649372227689E-4</v>
      </c>
      <c r="M1634">
        <v>25</v>
      </c>
      <c r="N1634" t="s">
        <v>627</v>
      </c>
      <c r="O1634" t="s">
        <v>29</v>
      </c>
      <c r="Q1634" s="8" t="s">
        <v>627</v>
      </c>
      <c r="R1634" s="8" t="s">
        <v>627</v>
      </c>
      <c r="S1634" t="s">
        <v>31</v>
      </c>
      <c r="T1634" s="8" t="s">
        <v>627</v>
      </c>
      <c r="U1634" t="s">
        <v>31</v>
      </c>
      <c r="V1634" t="s">
        <v>31</v>
      </c>
      <c r="Z1634">
        <v>413.42689999999999</v>
      </c>
    </row>
    <row r="1635" spans="1:28">
      <c r="A1635">
        <v>1627</v>
      </c>
      <c r="B1635" s="7" t="s">
        <v>5894</v>
      </c>
      <c r="C1635" s="2" t="s">
        <v>54</v>
      </c>
      <c r="E1635" s="3">
        <v>2.47E-3</v>
      </c>
      <c r="F1635" s="2">
        <v>2.6073030467403342</v>
      </c>
      <c r="G1635">
        <v>26.7</v>
      </c>
      <c r="H1635" s="4">
        <v>2.88E-6</v>
      </c>
      <c r="I1635">
        <v>0.57599999999999996</v>
      </c>
      <c r="J1635">
        <v>45.3</v>
      </c>
      <c r="K1635">
        <v>3.16</v>
      </c>
      <c r="L1635">
        <v>6.9183097091893579E-4</v>
      </c>
      <c r="M1635">
        <v>25</v>
      </c>
      <c r="O1635" t="s">
        <v>29</v>
      </c>
    </row>
    <row r="1636" spans="1:28">
      <c r="A1636">
        <v>1628</v>
      </c>
      <c r="B1636" s="7" t="s">
        <v>5895</v>
      </c>
      <c r="C1636" s="2" t="s">
        <v>54</v>
      </c>
      <c r="E1636" s="3">
        <v>1.1299999999999999E-3</v>
      </c>
      <c r="F1636" s="2">
        <v>2.9469215565165805</v>
      </c>
      <c r="G1636">
        <v>30.1</v>
      </c>
      <c r="H1636" s="4">
        <v>2.6199999999999999E-6</v>
      </c>
      <c r="I1636">
        <v>0.63400000000000001</v>
      </c>
      <c r="J1636">
        <v>41.9</v>
      </c>
      <c r="K1636">
        <v>3.58</v>
      </c>
      <c r="L1636">
        <v>2.6302679918953782E-4</v>
      </c>
      <c r="M1636">
        <v>25</v>
      </c>
      <c r="O1636" t="s">
        <v>29</v>
      </c>
    </row>
    <row r="1637" spans="1:28">
      <c r="A1637">
        <v>1636</v>
      </c>
      <c r="B1637" s="7" t="s">
        <v>5896</v>
      </c>
      <c r="C1637" s="2" t="s">
        <v>54</v>
      </c>
      <c r="E1637" s="3">
        <v>4.6E-5</v>
      </c>
      <c r="F1637" s="2">
        <v>4.3372421683184257</v>
      </c>
      <c r="G1637" s="2">
        <v>33.799999999999997</v>
      </c>
      <c r="H1637" s="3">
        <v>1.13E-6</v>
      </c>
      <c r="I1637" s="2">
        <v>1.47</v>
      </c>
      <c r="J1637" s="2">
        <v>37.400000000000006</v>
      </c>
      <c r="M1637" s="2">
        <v>30</v>
      </c>
      <c r="N1637" s="2" t="s">
        <v>5897</v>
      </c>
      <c r="O1637" s="2" t="s">
        <v>5897</v>
      </c>
      <c r="R1637" s="2" t="s">
        <v>5897</v>
      </c>
      <c r="S1637" s="2" t="s">
        <v>31</v>
      </c>
      <c r="T1637" s="2" t="s">
        <v>5897</v>
      </c>
    </row>
    <row r="1638" spans="1:28">
      <c r="A1638">
        <v>1637</v>
      </c>
      <c r="B1638" s="7" t="s">
        <v>5898</v>
      </c>
      <c r="C1638" s="2" t="s">
        <v>54</v>
      </c>
      <c r="E1638" s="3">
        <v>1.2E-5</v>
      </c>
      <c r="F1638" s="2">
        <f>-LOG10(E1638)</f>
        <v>4.9208187539523749</v>
      </c>
      <c r="G1638" s="2">
        <v>31.9</v>
      </c>
      <c r="H1638" s="3">
        <v>1.1200000000000001E-6</v>
      </c>
      <c r="I1638" s="2">
        <v>1.48</v>
      </c>
      <c r="J1638" s="2">
        <v>39.300000000000004</v>
      </c>
      <c r="M1638" s="2">
        <v>30</v>
      </c>
      <c r="N1638" s="2" t="s">
        <v>5897</v>
      </c>
      <c r="O1638" s="2" t="s">
        <v>5897</v>
      </c>
      <c r="R1638" s="2" t="s">
        <v>5897</v>
      </c>
      <c r="S1638" s="2" t="s">
        <v>31</v>
      </c>
      <c r="T1638" s="2" t="s">
        <v>5897</v>
      </c>
    </row>
    <row r="1639" spans="1:28">
      <c r="A1639">
        <v>1638</v>
      </c>
      <c r="B1639" s="7" t="s">
        <v>5899</v>
      </c>
      <c r="C1639" s="2" t="s">
        <v>54</v>
      </c>
      <c r="E1639" s="3">
        <v>9.2E-5</v>
      </c>
      <c r="F1639" s="2">
        <f>-LOG10(E1639)</f>
        <v>4.0362121726544444</v>
      </c>
      <c r="G1639" s="2">
        <v>30.1</v>
      </c>
      <c r="H1639" s="3">
        <v>1.46E-6</v>
      </c>
      <c r="I1639" s="2">
        <v>1.1299999999999999</v>
      </c>
      <c r="J1639" s="2">
        <f>71.2-G1639</f>
        <v>41.1</v>
      </c>
      <c r="K1639" s="2"/>
      <c r="L1639" s="2"/>
      <c r="M1639" s="2">
        <v>30</v>
      </c>
      <c r="N1639" s="2" t="s">
        <v>5900</v>
      </c>
      <c r="O1639" s="2" t="s">
        <v>5900</v>
      </c>
      <c r="P1639" s="2"/>
      <c r="Q1639" s="2"/>
      <c r="R1639" s="2" t="s">
        <v>5900</v>
      </c>
      <c r="S1639" s="2" t="s">
        <v>31</v>
      </c>
      <c r="T1639" s="2" t="s">
        <v>5900</v>
      </c>
      <c r="U1639" s="2"/>
      <c r="V1639" s="2"/>
      <c r="W1639" s="2"/>
      <c r="X1639" s="2"/>
      <c r="Y1639" s="2"/>
      <c r="Z1639" s="2"/>
    </row>
    <row r="1640" spans="1:28">
      <c r="A1640">
        <v>1639</v>
      </c>
      <c r="B1640" s="7" t="s">
        <v>5901</v>
      </c>
      <c r="C1640" s="2" t="s">
        <v>54</v>
      </c>
      <c r="E1640" s="3">
        <v>2.4000000000000001E-5</v>
      </c>
      <c r="F1640" s="2">
        <f>-LOG10(E1640)</f>
        <v>4.6197887582883936</v>
      </c>
      <c r="G1640" s="2">
        <v>33.4</v>
      </c>
      <c r="H1640" s="3">
        <v>1.1999999999999999E-6</v>
      </c>
      <c r="I1640" s="2">
        <v>1.38</v>
      </c>
      <c r="J1640" s="2">
        <f>71.2-G1640</f>
        <v>37.800000000000004</v>
      </c>
      <c r="K1640" s="2"/>
      <c r="L1640" s="2"/>
      <c r="M1640" s="2">
        <v>30</v>
      </c>
      <c r="N1640" s="2" t="s">
        <v>5900</v>
      </c>
      <c r="O1640" s="2" t="s">
        <v>5900</v>
      </c>
      <c r="P1640" s="2"/>
      <c r="Q1640" s="2"/>
      <c r="R1640" s="2" t="s">
        <v>5900</v>
      </c>
      <c r="S1640" s="2" t="s">
        <v>31</v>
      </c>
      <c r="T1640" s="2" t="s">
        <v>5900</v>
      </c>
      <c r="U1640" s="2"/>
      <c r="V1640" s="2"/>
      <c r="W1640" s="2"/>
      <c r="X1640" s="2"/>
      <c r="Y1640" s="2"/>
      <c r="Z1640" s="2"/>
    </row>
    <row r="1641" spans="1:28">
      <c r="A1641">
        <v>1632</v>
      </c>
      <c r="B1641" s="7" t="s">
        <v>5902</v>
      </c>
      <c r="C1641" s="2" t="s">
        <v>54</v>
      </c>
      <c r="E1641" s="3">
        <v>5.8999999999999998E-5</v>
      </c>
      <c r="F1641" s="2">
        <v>4.2291479883578562</v>
      </c>
      <c r="G1641" s="2">
        <v>34.4</v>
      </c>
      <c r="H1641" s="3">
        <v>1.66E-6</v>
      </c>
      <c r="I1641" s="2">
        <v>1.0009999999999999</v>
      </c>
      <c r="J1641" s="2">
        <v>37.6</v>
      </c>
      <c r="K1641" s="2">
        <v>5.17</v>
      </c>
      <c r="L1641" s="2">
        <v>6.7608297539198155E-6</v>
      </c>
      <c r="M1641" s="2">
        <v>25</v>
      </c>
      <c r="N1641" s="2" t="s">
        <v>4902</v>
      </c>
      <c r="O1641" s="2" t="s">
        <v>4902</v>
      </c>
      <c r="R1641" s="2" t="s">
        <v>4902</v>
      </c>
      <c r="S1641" s="2" t="s">
        <v>31</v>
      </c>
      <c r="T1641" s="2" t="s">
        <v>4902</v>
      </c>
      <c r="U1641" s="2" t="s">
        <v>4902</v>
      </c>
      <c r="V1641" s="2" t="s">
        <v>31</v>
      </c>
      <c r="AB1641" t="s">
        <v>71</v>
      </c>
    </row>
    <row r="1642" spans="1:28">
      <c r="A1642">
        <v>1633</v>
      </c>
      <c r="B1642" s="7" t="s">
        <v>5903</v>
      </c>
      <c r="C1642" s="2" t="s">
        <v>54</v>
      </c>
      <c r="E1642" s="3">
        <v>3.0000000000000001E-5</v>
      </c>
      <c r="F1642" s="2">
        <v>4.5228787452803374</v>
      </c>
      <c r="G1642" s="2">
        <v>34.1</v>
      </c>
      <c r="H1642" s="3">
        <v>1.2899999999999999E-6</v>
      </c>
      <c r="I1642" s="2">
        <v>1.288</v>
      </c>
      <c r="J1642" s="2">
        <v>37.9</v>
      </c>
      <c r="K1642" s="2">
        <v>5.73</v>
      </c>
      <c r="L1642" s="2">
        <v>1.8620871366628635E-6</v>
      </c>
      <c r="M1642" s="2">
        <v>25</v>
      </c>
      <c r="N1642" s="2" t="s">
        <v>5904</v>
      </c>
      <c r="O1642" s="2" t="s">
        <v>4902</v>
      </c>
      <c r="R1642" s="2" t="s">
        <v>4902</v>
      </c>
      <c r="S1642" s="2" t="s">
        <v>31</v>
      </c>
      <c r="T1642" s="2" t="s">
        <v>4902</v>
      </c>
      <c r="U1642" s="2" t="s">
        <v>4902</v>
      </c>
      <c r="V1642" s="2" t="s">
        <v>31</v>
      </c>
    </row>
    <row r="1643" spans="1:28">
      <c r="A1643">
        <v>1642</v>
      </c>
      <c r="B1643" s="7" t="s">
        <v>5905</v>
      </c>
      <c r="C1643" s="2" t="s">
        <v>83</v>
      </c>
      <c r="E1643" s="2">
        <f>10^(-F1643)</f>
        <v>1.584893192461112E-4</v>
      </c>
      <c r="F1643" s="2">
        <v>3.8</v>
      </c>
      <c r="G1643" s="2">
        <v>23.2</v>
      </c>
      <c r="H1643" s="3">
        <v>4.4000000000000002E-6</v>
      </c>
      <c r="I1643" s="2">
        <f>38.2/100</f>
        <v>0.38200000000000001</v>
      </c>
      <c r="N1643" s="2" t="s">
        <v>148</v>
      </c>
      <c r="O1643" s="2" t="s">
        <v>148</v>
      </c>
      <c r="R1643" s="2" t="s">
        <v>148</v>
      </c>
      <c r="T1643" s="2" t="s">
        <v>148</v>
      </c>
    </row>
    <row r="1644" spans="1:28">
      <c r="A1644">
        <v>1643</v>
      </c>
      <c r="B1644" s="7" t="s">
        <v>5906</v>
      </c>
      <c r="C1644" s="2" t="s">
        <v>83</v>
      </c>
      <c r="E1644" s="2">
        <f>10^(-F1644)</f>
        <v>6.3095734448019244E-4</v>
      </c>
      <c r="F1644" s="2">
        <v>3.2</v>
      </c>
      <c r="G1644" s="2">
        <v>24.5</v>
      </c>
      <c r="H1644" s="3">
        <v>4.6999999999999999E-6</v>
      </c>
      <c r="I1644" s="2">
        <f>35.3/100</f>
        <v>0.35299999999999998</v>
      </c>
      <c r="N1644" s="2" t="s">
        <v>148</v>
      </c>
      <c r="O1644" s="2" t="s">
        <v>148</v>
      </c>
      <c r="R1644" s="2" t="s">
        <v>148</v>
      </c>
      <c r="T1644" s="2" t="s">
        <v>148</v>
      </c>
    </row>
    <row r="1645" spans="1:28">
      <c r="A1645">
        <f>A1644+1</f>
        <v>1644</v>
      </c>
      <c r="B1645" s="7" t="s">
        <v>5907</v>
      </c>
      <c r="C1645" s="2" t="s">
        <v>83</v>
      </c>
      <c r="E1645" s="2">
        <f>10^(-F1645)</f>
        <v>1E-3</v>
      </c>
      <c r="F1645" s="2">
        <v>3</v>
      </c>
      <c r="G1645" s="2">
        <v>25.8</v>
      </c>
      <c r="H1645" s="3">
        <v>4.1999999999999996E-6</v>
      </c>
      <c r="I1645" s="2">
        <f>39.3/100</f>
        <v>0.39299999999999996</v>
      </c>
      <c r="N1645" s="2" t="s">
        <v>148</v>
      </c>
      <c r="O1645" s="2" t="s">
        <v>148</v>
      </c>
      <c r="R1645" s="2" t="s">
        <v>148</v>
      </c>
      <c r="T1645" s="2" t="s">
        <v>148</v>
      </c>
    </row>
    <row r="1646" spans="1:28">
      <c r="A1646">
        <f>A1645+1</f>
        <v>1645</v>
      </c>
      <c r="B1646" s="7" t="s">
        <v>5908</v>
      </c>
      <c r="C1646" s="2" t="s">
        <v>83</v>
      </c>
      <c r="E1646" s="2">
        <f>10^(-F1646)</f>
        <v>3.1622776601683764E-3</v>
      </c>
      <c r="F1646" s="2">
        <v>2.5</v>
      </c>
      <c r="G1646" s="2">
        <v>26.9</v>
      </c>
      <c r="H1646" s="3">
        <v>2.6000000000000001E-6</v>
      </c>
      <c r="I1646" s="2">
        <f>64.6/100</f>
        <v>0.64599999999999991</v>
      </c>
      <c r="K1646" s="2"/>
      <c r="N1646" s="2" t="s">
        <v>148</v>
      </c>
      <c r="O1646" s="2" t="s">
        <v>148</v>
      </c>
      <c r="R1646" s="2" t="s">
        <v>148</v>
      </c>
      <c r="T1646" s="2" t="s">
        <v>148</v>
      </c>
    </row>
    <row r="1647" spans="1:28">
      <c r="A1647">
        <f>A1646+1</f>
        <v>1646</v>
      </c>
      <c r="B1647" s="7" t="s">
        <v>5909</v>
      </c>
      <c r="C1647" s="2" t="s">
        <v>83</v>
      </c>
      <c r="E1647" s="2">
        <f>10^(-F1647)</f>
        <v>1.5848931924611134E-3</v>
      </c>
      <c r="F1647" s="2">
        <v>2.8</v>
      </c>
      <c r="G1647" s="2">
        <v>27.8</v>
      </c>
      <c r="H1647" s="3">
        <v>2.3E-6</v>
      </c>
      <c r="I1647" s="2">
        <f>50.2/100</f>
        <v>0.502</v>
      </c>
      <c r="N1647" s="2" t="s">
        <v>148</v>
      </c>
      <c r="O1647" s="2" t="s">
        <v>148</v>
      </c>
      <c r="R1647" s="2" t="s">
        <v>148</v>
      </c>
      <c r="T1647" s="2" t="s">
        <v>148</v>
      </c>
    </row>
    <row r="1648" spans="1:28">
      <c r="A1648">
        <f>A1647+1</f>
        <v>1647</v>
      </c>
      <c r="B1648" s="7" t="s">
        <v>5910</v>
      </c>
      <c r="C1648" s="2" t="s">
        <v>161</v>
      </c>
      <c r="D1648" s="2"/>
      <c r="E1648" s="3">
        <v>7.7400000000000004E-6</v>
      </c>
      <c r="F1648" s="2">
        <f>-LOG10(E1648)</f>
        <v>5.1112590393171073</v>
      </c>
      <c r="G1648" s="2">
        <v>34.299999999999997</v>
      </c>
      <c r="H1648" s="3">
        <v>3.6500000000000002E-6</v>
      </c>
      <c r="I1648" s="2">
        <v>0.45</v>
      </c>
      <c r="J1648" s="2">
        <v>38.5</v>
      </c>
      <c r="K1648" s="2">
        <v>6.11</v>
      </c>
      <c r="L1648" s="2">
        <f>10^(-K1648)</f>
        <v>7.7624711662869019E-7</v>
      </c>
      <c r="M1648" s="2">
        <v>20</v>
      </c>
      <c r="N1648" s="2" t="s">
        <v>446</v>
      </c>
      <c r="O1648" t="s">
        <v>446</v>
      </c>
      <c r="P1648" s="2"/>
      <c r="Q1648" s="2"/>
      <c r="R1648" s="2" t="s">
        <v>446</v>
      </c>
      <c r="S1648" s="2" t="s">
        <v>446</v>
      </c>
      <c r="T1648" s="2" t="s">
        <v>446</v>
      </c>
      <c r="U1648" s="2" t="s">
        <v>446</v>
      </c>
      <c r="V1648" s="2" t="s">
        <v>31</v>
      </c>
      <c r="X1648" s="2"/>
      <c r="Y1648" s="2"/>
      <c r="AA1648" s="2"/>
    </row>
    <row r="1649" spans="1:27">
      <c r="A1649">
        <f>A1648+1</f>
        <v>1648</v>
      </c>
      <c r="B1649" s="7" t="s">
        <v>5911</v>
      </c>
      <c r="C1649" s="2" t="s">
        <v>161</v>
      </c>
      <c r="D1649" s="2"/>
      <c r="E1649" s="3">
        <v>2.8499999999999998E-6</v>
      </c>
      <c r="F1649" s="2">
        <f>-LOG10(E1649)</f>
        <v>5.5451551399914898</v>
      </c>
      <c r="G1649" s="2">
        <v>33.1</v>
      </c>
      <c r="H1649" s="3">
        <v>3.9700000000000001E-6</v>
      </c>
      <c r="I1649" s="2">
        <v>0.42</v>
      </c>
      <c r="J1649" s="2">
        <v>39.700000000000003</v>
      </c>
      <c r="K1649" s="2">
        <v>6.49</v>
      </c>
      <c r="L1649" s="2">
        <f>10^(-K1649)</f>
        <v>3.2359365692962763E-7</v>
      </c>
      <c r="M1649" s="2">
        <v>20</v>
      </c>
      <c r="N1649" s="2" t="s">
        <v>446</v>
      </c>
      <c r="O1649" t="s">
        <v>446</v>
      </c>
      <c r="P1649" s="2"/>
      <c r="Q1649" s="2"/>
      <c r="R1649" s="2" t="s">
        <v>446</v>
      </c>
      <c r="S1649" s="2" t="s">
        <v>446</v>
      </c>
      <c r="T1649" s="2" t="s">
        <v>446</v>
      </c>
      <c r="U1649" s="2" t="s">
        <v>446</v>
      </c>
      <c r="V1649" s="2" t="s">
        <v>31</v>
      </c>
      <c r="X1649" s="2"/>
      <c r="Y1649" s="2"/>
      <c r="AA1649" s="2"/>
    </row>
    <row r="1650" spans="1:27">
      <c r="A1650">
        <f>A1649+1</f>
        <v>1649</v>
      </c>
      <c r="B1650" s="7" t="s">
        <v>5912</v>
      </c>
      <c r="C1650" s="2" t="s">
        <v>161</v>
      </c>
      <c r="D1650" s="2"/>
      <c r="E1650" s="3">
        <v>5.38E-5</v>
      </c>
      <c r="F1650" s="2">
        <f>-LOG10(E1650)</f>
        <v>4.2692177243336111</v>
      </c>
      <c r="G1650" s="2">
        <v>35.799999999999997</v>
      </c>
      <c r="H1650" s="3">
        <v>3.8399999999999997E-6</v>
      </c>
      <c r="I1650" s="2">
        <v>0.43</v>
      </c>
      <c r="J1650" s="2">
        <v>37</v>
      </c>
      <c r="K1650" s="2">
        <v>5.09</v>
      </c>
      <c r="L1650" s="2">
        <f>10^(-K1650)</f>
        <v>8.128305161640983E-6</v>
      </c>
      <c r="M1650" s="2">
        <v>20</v>
      </c>
      <c r="N1650" s="2" t="s">
        <v>446</v>
      </c>
      <c r="O1650" t="s">
        <v>446</v>
      </c>
      <c r="P1650" s="2"/>
      <c r="Q1650" s="2"/>
      <c r="R1650" s="2" t="s">
        <v>446</v>
      </c>
      <c r="S1650" s="2" t="s">
        <v>446</v>
      </c>
      <c r="T1650" s="2" t="s">
        <v>446</v>
      </c>
      <c r="U1650" s="2" t="s">
        <v>446</v>
      </c>
      <c r="V1650" s="2" t="s">
        <v>31</v>
      </c>
      <c r="X1650" s="2"/>
      <c r="Y1650" s="2"/>
      <c r="AA1650" s="2"/>
    </row>
    <row r="1651" spans="1:27">
      <c r="A1651">
        <v>1634</v>
      </c>
      <c r="B1651" s="7" t="s">
        <v>5913</v>
      </c>
      <c r="C1651" s="2" t="s">
        <v>54</v>
      </c>
      <c r="E1651" s="3">
        <v>1.5999999999999999E-5</v>
      </c>
      <c r="F1651" s="2">
        <v>4.795880017344075</v>
      </c>
      <c r="G1651" s="2">
        <v>33.700000000000003</v>
      </c>
      <c r="H1651" s="3">
        <v>1.17E-6</v>
      </c>
      <c r="I1651" s="2">
        <v>1.4140000000000001</v>
      </c>
      <c r="J1651" s="2">
        <v>38.299999999999997</v>
      </c>
      <c r="K1651" s="2">
        <v>6.17</v>
      </c>
      <c r="L1651" s="2">
        <v>6.7608297539198085E-7</v>
      </c>
      <c r="M1651" s="2">
        <v>25</v>
      </c>
      <c r="N1651" s="2" t="s">
        <v>5914</v>
      </c>
      <c r="O1651" s="2" t="s">
        <v>4902</v>
      </c>
      <c r="R1651" s="2" t="s">
        <v>4902</v>
      </c>
      <c r="S1651" s="2" t="s">
        <v>31</v>
      </c>
      <c r="T1651" s="2" t="s">
        <v>4902</v>
      </c>
      <c r="U1651" s="2" t="s">
        <v>4902</v>
      </c>
      <c r="V1651" s="2" t="s">
        <v>31</v>
      </c>
    </row>
    <row r="1652" spans="1:27">
      <c r="A1652">
        <v>1635</v>
      </c>
      <c r="B1652" s="7" t="s">
        <v>5915</v>
      </c>
      <c r="C1652" s="2" t="s">
        <v>54</v>
      </c>
      <c r="E1652" s="3">
        <v>1.2E-5</v>
      </c>
      <c r="F1652" s="2">
        <v>4.9208187539523749</v>
      </c>
      <c r="G1652" s="2">
        <v>36.9</v>
      </c>
      <c r="H1652" s="3">
        <v>9.7000000000000003E-7</v>
      </c>
      <c r="I1652" s="2">
        <v>1.7080000000000002</v>
      </c>
      <c r="J1652" s="2">
        <v>35.1</v>
      </c>
      <c r="K1652" s="2">
        <v>6.28</v>
      </c>
      <c r="L1652" s="2">
        <v>5.2480746024977148E-7</v>
      </c>
      <c r="M1652" s="2">
        <v>25</v>
      </c>
      <c r="N1652" s="2" t="s">
        <v>5916</v>
      </c>
      <c r="O1652" s="2" t="s">
        <v>4902</v>
      </c>
      <c r="R1652" s="2" t="s">
        <v>4902</v>
      </c>
      <c r="S1652" s="2" t="s">
        <v>31</v>
      </c>
      <c r="T1652" s="2" t="s">
        <v>4902</v>
      </c>
      <c r="U1652" s="2" t="s">
        <v>4902</v>
      </c>
      <c r="V1652" s="2" t="s">
        <v>31</v>
      </c>
    </row>
    <row r="1653" spans="1:27">
      <c r="A1653">
        <v>1640</v>
      </c>
      <c r="B1653" s="7" t="s">
        <v>5917</v>
      </c>
      <c r="C1653" s="2" t="s">
        <v>28</v>
      </c>
      <c r="E1653" s="3">
        <v>8.4000000000000003E-4</v>
      </c>
      <c r="F1653" s="2">
        <f>-LOG10(E1653)</f>
        <v>3.0757207139381184</v>
      </c>
      <c r="G1653" s="2">
        <v>32</v>
      </c>
      <c r="H1653" s="3">
        <v>3.3799999999999998E-6</v>
      </c>
      <c r="I1653" s="2">
        <v>0.36399999999999999</v>
      </c>
      <c r="J1653" s="2">
        <f>72-G1653</f>
        <v>40</v>
      </c>
      <c r="K1653" s="2">
        <f>-LOG10(L1653)</f>
        <v>4.4559319556497243</v>
      </c>
      <c r="L1653" s="3">
        <f>E1653/24</f>
        <v>3.5000000000000004E-5</v>
      </c>
      <c r="M1653" s="2">
        <v>25</v>
      </c>
      <c r="N1653" s="2" t="s">
        <v>67</v>
      </c>
      <c r="O1653" s="2" t="s">
        <v>67</v>
      </c>
      <c r="P1653" s="2"/>
      <c r="Q1653" s="2"/>
      <c r="R1653" s="2" t="s">
        <v>67</v>
      </c>
      <c r="S1653" s="2" t="s">
        <v>31</v>
      </c>
      <c r="T1653" s="2" t="s">
        <v>67</v>
      </c>
      <c r="U1653" s="2" t="s">
        <v>31</v>
      </c>
      <c r="V1653" s="2" t="s">
        <v>68</v>
      </c>
      <c r="W1653" s="2"/>
    </row>
    <row r="1654" spans="1:27">
      <c r="A1654">
        <v>1641</v>
      </c>
      <c r="B1654" s="7" t="s">
        <v>5918</v>
      </c>
      <c r="C1654" s="2" t="s">
        <v>28</v>
      </c>
      <c r="E1654" s="3">
        <v>9.1E-4</v>
      </c>
      <c r="F1654" s="2">
        <f>-LOG10(E1654)</f>
        <v>3.0409586076789066</v>
      </c>
      <c r="G1654" s="2">
        <v>35</v>
      </c>
      <c r="H1654" s="3">
        <v>1.5799999999999999E-6</v>
      </c>
      <c r="I1654" s="2">
        <v>1.05</v>
      </c>
      <c r="J1654" s="2">
        <f>72-G1654</f>
        <v>37</v>
      </c>
      <c r="K1654" s="2"/>
      <c r="L1654" s="2"/>
      <c r="M1654" s="2">
        <v>25</v>
      </c>
      <c r="N1654" s="2" t="s">
        <v>41</v>
      </c>
      <c r="O1654" s="2" t="s">
        <v>41</v>
      </c>
      <c r="P1654" s="2" t="s">
        <v>3741</v>
      </c>
      <c r="Q1654" s="2" t="s">
        <v>3741</v>
      </c>
      <c r="R1654" s="2" t="s">
        <v>3741</v>
      </c>
      <c r="S1654" s="2" t="s">
        <v>31</v>
      </c>
      <c r="T1654" s="2" t="s">
        <v>3741</v>
      </c>
    </row>
  </sheetData>
  <autoFilter ref="A1:AA1654" xr:uid="{A9BBA499-6FA0-47B9-8B71-0F26E6C515BB}">
    <filterColumn colId="3">
      <filters blank="1">
        <filter val="TRUE"/>
      </filters>
    </filterColumn>
    <sortState xmlns:xlrd2="http://schemas.microsoft.com/office/spreadsheetml/2017/richdata2" ref="A2:AA1654">
      <sortCondition ref="A1:A1654"/>
    </sortState>
  </autoFilter>
  <phoneticPr fontId="6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C Theis Marchan</dc:creator>
  <cp:keywords/>
  <dc:description/>
  <cp:lastModifiedBy>Gabriela C Theis Marchan</cp:lastModifiedBy>
  <cp:revision/>
  <dcterms:created xsi:type="dcterms:W3CDTF">2025-11-20T21:15:14Z</dcterms:created>
  <dcterms:modified xsi:type="dcterms:W3CDTF">2025-12-16T04:15:46Z</dcterms:modified>
  <cp:category/>
  <cp:contentStatus/>
</cp:coreProperties>
</file>